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0471_matahari_com/Documents/Matahari/Merchandising/NEVADA DISNEY (Dewinta)/DISNEY/PMT/PROMO WEEKLY/"/>
    </mc:Choice>
  </mc:AlternateContent>
  <xr:revisionPtr revIDLastSave="64" documentId="14_{6BE95239-ADF9-428A-9A5E-7E0096340FD0}" xr6:coauthVersionLast="47" xr6:coauthVersionMax="47" xr10:uidLastSave="{C94D5CF4-6FF4-4F71-8832-ECF67762AC6C}"/>
  <bookViews>
    <workbookView xWindow="-108" yWindow="-108" windowWidth="23256" windowHeight="12456" firstSheet="10" activeTab="13" xr2:uid="{00000000-000D-0000-FFFF-FFFF00000000}"/>
  </bookViews>
  <sheets>
    <sheet name="ALL CROCS SANDALS SP20K" sheetId="34" r:id="rId1"/>
    <sheet name="2019 OLDER D95" sheetId="13" r:id="rId2"/>
    <sheet name="2020 D90" sheetId="14" r:id="rId3"/>
    <sheet name="2021 D90" sheetId="15" r:id="rId4"/>
    <sheet name="2022 D90" sheetId="16" r:id="rId5"/>
    <sheet name="2023 D90" sheetId="17" r:id="rId6"/>
    <sheet name="2024 HANGING B1 NORMAL, B2 100K" sheetId="38" r:id="rId7"/>
    <sheet name="2024 B1 NORMAL, B2 100K" sheetId="35" r:id="rId8"/>
    <sheet name="2025 H1 B1 NORMAL, B2 150K" sheetId="33" r:id="rId9"/>
    <sheet name="2025 Q3 SP 199K" sheetId="44" r:id="rId10"/>
    <sheet name="2025 Q4 BUY 3 D10" sheetId="39" r:id="rId11"/>
    <sheet name="2025 HANGING B1 NORMAL, B2 150K" sheetId="41" r:id="rId12"/>
    <sheet name="2026 Q1 BUY 3 D10" sheetId="42" r:id="rId13"/>
    <sheet name="2026 HANGING BUY 3 D10" sheetId="43" r:id="rId14"/>
  </sheets>
  <externalReferences>
    <externalReference r:id="rId15"/>
    <externalReference r:id="rId16"/>
  </externalReferences>
  <definedNames>
    <definedName name="_xlnm._FilterDatabase" localSheetId="1" hidden="1">'2019 OLDER D95'!$A$1:$P$246</definedName>
    <definedName name="_xlnm._FilterDatabase" localSheetId="2" hidden="1">'2020 D90'!$A$1:$P$131</definedName>
    <definedName name="_xlnm._FilterDatabase" localSheetId="3" hidden="1">'2021 D90'!$A$1:$P$287</definedName>
    <definedName name="_xlnm._FilterDatabase" localSheetId="4" hidden="1">'2022 D90'!$A$1:$P$374</definedName>
    <definedName name="_xlnm._FilterDatabase" localSheetId="5" hidden="1">'2023 D90'!$A$1:$P$500</definedName>
    <definedName name="_xlnm._FilterDatabase" localSheetId="7" hidden="1">'2024 B1 NORMAL, B2 100K'!$A$1:$Q$101</definedName>
    <definedName name="_xlnm._FilterDatabase" localSheetId="6" hidden="1">'2024 HANGING B1 NORMAL, B2 100K'!$A$1:$P$1</definedName>
    <definedName name="_xlnm._FilterDatabase" localSheetId="8" hidden="1">'2025 H1 B1 NORMAL, B2 150K'!$A$1:$P$91</definedName>
    <definedName name="_xlnm._FilterDatabase" localSheetId="11" hidden="1">'2025 HANGING B1 NORMAL, B2 150K'!$A$1:$P$169</definedName>
    <definedName name="_xlnm._FilterDatabase" localSheetId="9" hidden="1">'2025 Q3 SP 199K'!$A$1:$Q$56</definedName>
    <definedName name="_xlnm._FilterDatabase" localSheetId="10" hidden="1">'2025 Q4 BUY 3 D10'!$A$1:$Q$146</definedName>
    <definedName name="_xlnm._FilterDatabase" localSheetId="13" hidden="1">'2026 HANGING BUY 3 D10'!$A$1:$Q$1</definedName>
    <definedName name="_xlnm._FilterDatabase" localSheetId="12" hidden="1">'2026 Q1 BUY 3 D10'!$A$1:$Q$1</definedName>
    <definedName name="A" localSheetId="8">#REF!</definedName>
    <definedName name="A" localSheetId="11">#REF!</definedName>
    <definedName name="A" localSheetId="9">#REF!</definedName>
    <definedName name="A" localSheetId="10">#REF!</definedName>
    <definedName name="A" localSheetId="13">#REF!</definedName>
    <definedName name="A" localSheetId="12">#REF!</definedName>
    <definedName name="A">#REF!</definedName>
    <definedName name="AA" localSheetId="8">#REF!</definedName>
    <definedName name="AA" localSheetId="11">#REF!</definedName>
    <definedName name="AA" localSheetId="9">#REF!</definedName>
    <definedName name="AA" localSheetId="10">#REF!</definedName>
    <definedName name="AA" localSheetId="13">#REF!</definedName>
    <definedName name="AA" localSheetId="12">#REF!</definedName>
    <definedName name="AA">#REF!</definedName>
    <definedName name="AAAA" localSheetId="8">#REF!</definedName>
    <definedName name="AAAA" localSheetId="11">#REF!</definedName>
    <definedName name="AAAA" localSheetId="9">#REF!</definedName>
    <definedName name="AAAA" localSheetId="10">#REF!</definedName>
    <definedName name="AAAA" localSheetId="13">#REF!</definedName>
    <definedName name="AAAA" localSheetId="12">#REF!</definedName>
    <definedName name="AAAA">#REF!</definedName>
    <definedName name="all" localSheetId="1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 localSheetId="8">#REF!</definedName>
    <definedName name="all" localSheetId="11">#REF!</definedName>
    <definedName name="all" localSheetId="9">#REF!</definedName>
    <definedName name="all" localSheetId="10">#REF!</definedName>
    <definedName name="all" localSheetId="13">#REF!</definedName>
    <definedName name="all" localSheetId="12">#REF!</definedName>
    <definedName name="all">#REF!</definedName>
    <definedName name="COLE" localSheetId="1">#REF!</definedName>
    <definedName name="COLE" localSheetId="2">#REF!</definedName>
    <definedName name="COLE" localSheetId="3">#REF!</definedName>
    <definedName name="COLE" localSheetId="4">#REF!</definedName>
    <definedName name="COLE" localSheetId="5">#REF!</definedName>
    <definedName name="COLE" localSheetId="8">#REF!</definedName>
    <definedName name="COLE" localSheetId="11">#REF!</definedName>
    <definedName name="COLE" localSheetId="9">#REF!</definedName>
    <definedName name="COLE" localSheetId="10">#REF!</definedName>
    <definedName name="COLE" localSheetId="13">#REF!</definedName>
    <definedName name="COLE" localSheetId="12">#REF!</definedName>
    <definedName name="COLE">#REF!</definedName>
    <definedName name="des" localSheetId="1">#REF!</definedName>
    <definedName name="des" localSheetId="2">#REF!</definedName>
    <definedName name="des" localSheetId="3">#REF!</definedName>
    <definedName name="des" localSheetId="4">#REF!</definedName>
    <definedName name="des" localSheetId="5">#REF!</definedName>
    <definedName name="des" localSheetId="8">#REF!</definedName>
    <definedName name="des" localSheetId="11">#REF!</definedName>
    <definedName name="des" localSheetId="9">#REF!</definedName>
    <definedName name="des" localSheetId="10">#REF!</definedName>
    <definedName name="des" localSheetId="13">#REF!</definedName>
    <definedName name="des" localSheetId="12">#REF!</definedName>
    <definedName name="des">#REF!</definedName>
    <definedName name="K2K" localSheetId="1">#REF!</definedName>
    <definedName name="K2K" localSheetId="2">#REF!</definedName>
    <definedName name="K2K" localSheetId="3">#REF!</definedName>
    <definedName name="K2K" localSheetId="4">#REF!</definedName>
    <definedName name="K2K" localSheetId="5">#REF!</definedName>
    <definedName name="K2K" localSheetId="8">#REF!</definedName>
    <definedName name="K2K" localSheetId="11">#REF!</definedName>
    <definedName name="K2K" localSheetId="9">#REF!</definedName>
    <definedName name="K2K" localSheetId="10">#REF!</definedName>
    <definedName name="K2K" localSheetId="13">#REF!</definedName>
    <definedName name="K2K" localSheetId="12">#REF!</definedName>
    <definedName name="K2K">#REF!</definedName>
    <definedName name="komStor" localSheetId="1">#REF!</definedName>
    <definedName name="komStor" localSheetId="2">#REF!</definedName>
    <definedName name="komStor" localSheetId="3">#REF!</definedName>
    <definedName name="komStor" localSheetId="4">#REF!</definedName>
    <definedName name="komStor" localSheetId="5">#REF!</definedName>
    <definedName name="komStor" localSheetId="8">#REF!</definedName>
    <definedName name="komStor" localSheetId="11">#REF!</definedName>
    <definedName name="komStor" localSheetId="9">#REF!</definedName>
    <definedName name="komStor" localSheetId="10">#REF!</definedName>
    <definedName name="komStor" localSheetId="13">#REF!</definedName>
    <definedName name="komStor" localSheetId="12">#REF!</definedName>
    <definedName name="komStor">#REF!</definedName>
    <definedName name="mar" localSheetId="1">#REF!</definedName>
    <definedName name="mar" localSheetId="2">#REF!</definedName>
    <definedName name="mar" localSheetId="3">#REF!</definedName>
    <definedName name="mar" localSheetId="4">#REF!</definedName>
    <definedName name="mar" localSheetId="5">#REF!</definedName>
    <definedName name="mar" localSheetId="8">#REF!</definedName>
    <definedName name="mar" localSheetId="11">#REF!</definedName>
    <definedName name="mar" localSheetId="9">#REF!</definedName>
    <definedName name="mar" localSheetId="10">#REF!</definedName>
    <definedName name="mar" localSheetId="13">#REF!</definedName>
    <definedName name="mar" localSheetId="12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1" i="15" l="1"/>
  <c r="O290" i="15"/>
  <c r="O289" i="15"/>
  <c r="O288" i="15"/>
  <c r="O543" i="17" l="1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01" i="17" l="1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276" i="17" l="1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P6" i="34" l="1"/>
  <c r="N6" i="34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" i="17"/>
  <c r="N3" i="34" l="1"/>
  <c r="N4" i="34" s="1"/>
  <c r="N5" i="34" s="1"/>
  <c r="P3" i="34"/>
  <c r="P4" i="34" s="1"/>
  <c r="P5" i="34" s="1"/>
  <c r="O375" i="16" l="1"/>
  <c r="O376" i="16"/>
  <c r="O377" i="16"/>
  <c r="O378" i="16"/>
  <c r="O37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2" i="16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71CF86-6629-4B5B-ABC7-8D6EBC92F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D97836-30F0-4EE1-899B-8AFB576742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6F7A9-837F-41DE-AEA5-7748511CE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27C885-72A5-4F16-9349-EA8EF41AC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60AC9E-7C07-4FBB-9EAE-21F4CD587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7CFCC2-42FE-4069-BB0D-3FB924508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BF5575-02C0-4495-939E-CCE3606AF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FACD06-0737-4F22-9317-7222783BA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017C48-9E75-45F2-AB95-082B83E88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5611F6-7DFC-40C9-9640-B8015C8C0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35E7EA-4A4B-4A98-9628-91316E762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710F71-6534-4293-BB91-A7D1B4FAC0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CFF91-2ED0-4204-8A70-33F9F80CE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F6A4CE-0D3E-4C7A-8F44-7FD2321D7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4531AB-AB76-4FD0-BEEF-9A30F9030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61AA0-698A-4F02-B5AD-2F5251A08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CB7DC2-1FC3-40FF-9C68-DAA64230F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8EA423C-A69C-4387-9804-29011EB19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DBEAD5-A235-486F-A464-B9BD7CFDC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528023-28DF-4C98-9B00-5C867EAE5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47B6B32-74B5-4949-BE42-655F75EAC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D69DA4-8A47-4222-B38F-5377AF52A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070055-9B0D-422F-BFAB-8860A47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2662CF-4CA8-42EF-BB9A-CE8CB0512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77A47D-8D5E-4B49-9B87-956487EC27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94F550-9229-4695-8F9A-C0FD4FF88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DA979F-EDB8-4C92-A168-83297B46B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962CF2-7E18-4DB8-A59F-50FC6348F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874A2-0DCF-4903-B438-B1936DD03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818063-4459-4F48-8285-57F93C0C0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71352D-2D46-487C-A7F1-3EBD2D870B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C58AF-EB23-45FE-B36F-6F532C227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CFBC52-1411-4940-BAC7-321C17D81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04562B-86CD-4D62-8E9E-66BAD5E364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FFCB70-E8A6-43F4-913B-B708CCD6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0595C2-7FE8-42D3-A47C-A1C9F9E4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6E9913-D428-428F-ADCB-392684E4B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19BE60-CA6D-448C-AB7F-81C796C9A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F80C97-3A2C-4AD2-BB87-967EE975D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6873A7-EA0B-4A02-AA16-1DA700EC3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CEBEC4-F9F9-4DA7-B963-BBCAAE875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C4878E-A0AE-4B19-B11D-0CC4DCC45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E5E5677-180A-4845-BD54-2AA186A0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204A7D-41FF-4F00-B0FE-761FBE2D8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1641C2-FDD3-4142-B027-689E14E81A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14F5A-3535-4C5F-B160-0B6AC5792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68D5DC-9A4D-41C0-9F4D-FD533250D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09A2E-8C68-4554-922D-4793C68F8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DF0821-1612-46BD-B62D-37DEF3050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3A357C-34C8-41D3-B38C-F0BB47B6B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17362EB-6413-4C9D-ADC4-278F1BE73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09D327-B153-42D5-8CDA-977A5FFFF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5751EE-A46C-4ECE-9E65-DAF851416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E801A5-E7A0-493B-B2EA-58C0004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6E194C-05DE-4D2E-B07F-4CAD6F78D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3F2862-79EE-42F0-B535-779B9F462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03FFC-B924-4191-8DD7-4697F9E50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11CAF6-7AFE-42EB-BAE0-2FA9A2ECA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60D4C63-F7C1-45FE-A243-733824E25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ED52CA-324B-4D02-A418-CD771CD72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387E92-170D-4FE9-91F1-06A028DF43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8145C3-C900-4206-9DE4-0E7342A7B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687DCA-D0CF-41AF-85D2-C7E54FF7D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1679DC-AA5A-4C53-9B24-67184B705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F2CAC5-D20B-4557-810B-35A8A0C7B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A1AC1-556C-41E5-8956-C9C75F6E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8CE6AB-58D5-478F-8305-0217FB5C6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5E715-EDAE-49D4-AE20-5145A6062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1A0C3F-3067-4D07-9D0D-E0D865EF3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104AC5-C863-4037-A197-32964DE1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350340-623A-4C9C-8969-1694FABE2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2E7B99-88DC-402E-B3A7-B1574260C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3B7A03-1E05-48F4-A79D-9AFC639BC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9BDC6-FEDA-40E8-9677-30889297A4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68757B-6558-4FE4-B2AB-F2381F025E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E02C4C-BB4A-4192-A4F1-57F0FB2FB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6E9359-FBD7-438C-9838-1CB65AA8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4D3945-E05C-4C84-A843-BE3101494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727F21-E059-4BB3-BDE4-72BB26A0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D63286-6E2A-4644-B67A-64D406217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974750-F0E3-4A41-A1A0-E75FAACFC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5007FF-FA1E-4EA3-96C7-50FD37984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50DE6-97B7-468C-A608-A0E8863E0B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591E25-5CA2-48CB-9DC2-2C5C6DB81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190D8B-8086-4207-B81F-3C84576E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BB5235-A5F1-42E8-8B35-9B1AA499A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170479-B721-4393-A34F-13121274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4ED2B6-6F4A-4445-9E27-F3EF352B1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1964B5-8201-457D-9C84-15F4812E4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DE5123-6AF3-4CBC-954F-4CD3B90E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2F1CA2-A4F3-44C0-BF56-DA577ADC1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39CF63-ED26-4979-85AC-BD9507647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11F53F-C91E-4C5E-A197-8B4BC01A5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BE14F0-88D5-4EBC-A4BD-7D261FC8F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31B9FE-95D0-4796-842C-F3FC0E347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B51655-59A1-430F-8C29-FD4E11856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F21838-B2F9-4249-A051-EA7EEB55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ED4968-59A4-4489-AE13-8B92281E9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25382-007D-4948-9560-6F9A741BA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BB5F86-AC55-43A6-8CA1-D12E9E988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62CBA-192F-4D79-B503-5D5E793A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CF0F0B-3790-4E85-9A4D-7C9BD3FB7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B61EFF-2AD6-4A67-884B-CF9591E46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DE1C7E-ECFA-4CE5-A4CC-9DA67A29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DA23D-0209-48DC-985F-1F854AF88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65A957-3385-49A3-B47B-094E730FC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49E1152-FD03-4824-B19A-5E5D21B23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B21DB-2819-4049-8094-75E3642CD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5277D-D0E5-43E4-B52B-82EE21F1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F9EB07-D7D6-4CC8-A342-D0695EF81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5AC1E5C-B7ED-4E0E-99D6-30816316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1B46F1-F812-4B19-BCCB-E14CDE463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<sst xmlns="http://schemas.openxmlformats.org/spreadsheetml/2006/main" count="16474" uniqueCount="3226">
  <si>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</si>
  <si>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</si>
  <si>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</si>
  <si>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</si>
  <si>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</si>
  <si>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</si>
  <si>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</si>
  <si>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</si>
  <si>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</si>
  <si>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</si>
  <si>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</si>
  <si>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</si>
  <si>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</si>
  <si>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</si>
  <si>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</si>
  <si>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</si>
  <si>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</si>
  <si>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DISNEY</t>
  </si>
  <si>
    <t>MKBAS20</t>
  </si>
  <si>
    <t>MARB111</t>
  </si>
  <si>
    <t>SLIPPER SANDALS WOMEN MARB111:KHAKI:36:PRINT:SLIPPER SANDALS</t>
  </si>
  <si>
    <t>SLIPPER SANDALS WOMEN MARB111:KHAKI:37:PRINT:SLIPPER SANDALS</t>
  </si>
  <si>
    <t>SLIPPER SANDALS WOMEN MARB111:KHAKI:38:PRINT:SLIPPER SANDALS</t>
  </si>
  <si>
    <t>SLIPPER SANDALS WOMEN MARB111:KHAKI:39:PRINT:SLIPPER SANDALS</t>
  </si>
  <si>
    <t>SLIPPER SANDALS WOMEN MARB111:KHAKI:40:PRINT:SLIPPER SANDALS</t>
  </si>
  <si>
    <t>SLIPPER SANDALS WOMEN MARB111:LIGHT BLUE:36:PRINT:SLIPPER SANDALS</t>
  </si>
  <si>
    <t>SLIPPER SANDALS WOMEN MARB111:LIGHT BLUE:37:PRINT:SLIPPER SANDALS</t>
  </si>
  <si>
    <t>SLIPPER SANDALS WOMEN MARB111:LIGHT BLUE:38:PRINT:SLIPPER SANDALS</t>
  </si>
  <si>
    <t>SLIPPER SANDALS WOMEN MARB111:LIGHT BLUE:39:PRINT:SLIPPER SANDALS</t>
  </si>
  <si>
    <t>SLIPPER SANDALS WOMEN MARB111:LIGHT BLUE:40:PRINT:SLIPPER SANDALS</t>
  </si>
  <si>
    <t>MK2216</t>
  </si>
  <si>
    <t>MKBAS34</t>
  </si>
  <si>
    <t>MN07NV</t>
  </si>
  <si>
    <t>67450101MIN SP SD MN07:NAVY BLUE:XL</t>
  </si>
  <si>
    <t>TS1706CO</t>
  </si>
  <si>
    <t>67450101TTN WG SP TS1706:BROWN SUGAR:40</t>
  </si>
  <si>
    <t>TS1706PK</t>
  </si>
  <si>
    <t>67450101TTN WG SP TS1706:PASTEL PINK:38</t>
  </si>
  <si>
    <t>MKAH1PT</t>
  </si>
  <si>
    <t>67450101MIC SD SP MKAH1:WHITE:XL</t>
  </si>
  <si>
    <t>TS1716KU</t>
  </si>
  <si>
    <t>67450101TTN FL SP TS1716:MUSTARD:M</t>
  </si>
  <si>
    <t>67450101TTN FL SP TS1716:MUSTARD:XL</t>
  </si>
  <si>
    <t>MK08-K</t>
  </si>
  <si>
    <t>67450101 SP MK08:CLASSIC YELLOW:S</t>
  </si>
  <si>
    <t>67450101 SP MK08:CLASSIC YELLOW:M</t>
  </si>
  <si>
    <t>MK08-PK</t>
  </si>
  <si>
    <t>67450101 SP MK08:PASTEL PINK:XL</t>
  </si>
  <si>
    <t>TS1803-N</t>
  </si>
  <si>
    <t>67450101TTN TS1803:NAVY BLUE:M</t>
  </si>
  <si>
    <t>TS1803-PK</t>
  </si>
  <si>
    <t>67450101TTN TS1803:PASTEL PINK:S</t>
  </si>
  <si>
    <t>67450101TTN TS1803:PASTEL PINK:M</t>
  </si>
  <si>
    <t>67450101TTN TS1803:PASTEL PINK:L</t>
  </si>
  <si>
    <t>TS1803-P</t>
  </si>
  <si>
    <t>67450101TTN TS1803:WHITE:S</t>
  </si>
  <si>
    <t>67450101TTN TS1803:WHITE:M</t>
  </si>
  <si>
    <t>67450101TTN TS1803:WHITE:L</t>
  </si>
  <si>
    <t>67450101TTN TS1803:WHITE:XL</t>
  </si>
  <si>
    <t>MK09-H</t>
  </si>
  <si>
    <t>SANDAL FLAT Y-GIRL MK09:BLACK:S</t>
  </si>
  <si>
    <t>SANDAL FLAT Y-GIRL MK09:BLACK:XL</t>
  </si>
  <si>
    <t>MK09-PK</t>
  </si>
  <si>
    <t>SANDAL FLAT Y-GIRL MK09:PASTEL PINK:S</t>
  </si>
  <si>
    <t>SANDAL FLAT Y-GIRL MK09:PASTEL PINK:M</t>
  </si>
  <si>
    <t>SANDAL FLAT Y-GIRL MK09:PASTEL PINK:L</t>
  </si>
  <si>
    <t>SANDAL FLAT Y-GIRL MK09:PASTEL PINK:XL</t>
  </si>
  <si>
    <t>TS1904-K</t>
  </si>
  <si>
    <t>SANDAL FLAT Y-GIRL TS1904:CLASSIC YELLOW:S</t>
  </si>
  <si>
    <t>TS1904-N</t>
  </si>
  <si>
    <t>SANDAL FLAT Y-GIRL TS1904:NAVY BLUE:S</t>
  </si>
  <si>
    <t>SANDAL FLAT Y-GIRL TS1904:NAVY BLUE:M</t>
  </si>
  <si>
    <t>SANDAL FLAT Y-GIRL TS1904:NAVY BLUE:XL</t>
  </si>
  <si>
    <t>TS1904-CR</t>
  </si>
  <si>
    <t>SANDAL FLAT Y-GIRL TS1904:CORAL:S</t>
  </si>
  <si>
    <t>SANDAL FLAT Y-GIRL TS1904:CORAL:M</t>
  </si>
  <si>
    <t>SANDAL FLAT Y-GIRL TS1904:CORAL:L</t>
  </si>
  <si>
    <t>SANDAL FLAT Y-GIRL TS1904:CORAL:XL</t>
  </si>
  <si>
    <t>MK10-H</t>
  </si>
  <si>
    <t>SANDAL FLAT Y-GIRL MK10:BLACK:M</t>
  </si>
  <si>
    <t>SANDAL FLAT Y-GIRL MK10:BLACK:XL</t>
  </si>
  <si>
    <t>MK10-U</t>
  </si>
  <si>
    <t>SANDAL FLAT Y-GIRL MK10:PASTEL PURPLE:S</t>
  </si>
  <si>
    <t>SANDAL FLAT Y-GIRL MK10:PASTEL PURPLE:M</t>
  </si>
  <si>
    <t>SANDAL FLAT Y-GIRL MK10:PASTEL PURPLE:XL</t>
  </si>
  <si>
    <t>MK10-PK</t>
  </si>
  <si>
    <t>SANDAL FLAT Y-GIRL MK10:PASTEL PINK:S</t>
  </si>
  <si>
    <t>SANDAL FLAT Y-GIRL MK10:PASTEL PINK:XL</t>
  </si>
  <si>
    <t>TS1905-KH</t>
  </si>
  <si>
    <t>SANDAL FLAT Y-GIRL TS1905:KHAKI:S</t>
  </si>
  <si>
    <t>SANDAL FLAT Y-GIRL TS1905:KHAKI:M</t>
  </si>
  <si>
    <t>SANDAL FLAT Y-GIRL TS1905:KHAKI:L</t>
  </si>
  <si>
    <t>SANDAL FLAT Y-GIRL TS1905:KHAKI:XL</t>
  </si>
  <si>
    <t>TS1905-TC</t>
  </si>
  <si>
    <t>SANDAL FLAT Y-GIRL TS1905:TURQUOISE:S</t>
  </si>
  <si>
    <t>SANDAL FLAT Y-GIRL TS1905:TURQUOISE:M</t>
  </si>
  <si>
    <t>SANDAL FLAT Y-GIRL TS1905:TURQUOISE:L</t>
  </si>
  <si>
    <t>SANDAL FLAT Y-GIRL TS1905:TURQUOISE:XL</t>
  </si>
  <si>
    <t>MK11W-H</t>
  </si>
  <si>
    <t>SANDAL WEDGES Y-GIRL:BLACK:M</t>
  </si>
  <si>
    <t>MK11W-F</t>
  </si>
  <si>
    <t>SANDAL WEDGES Y-GIRL:FUSCHIA:M</t>
  </si>
  <si>
    <t>SANDAL WEDGES Y-GIRL:FUSCHIA:L</t>
  </si>
  <si>
    <t>MK09-N</t>
  </si>
  <si>
    <t>SANDAL FLAT Y-GIRL MK09:NAVY BLUE:S</t>
  </si>
  <si>
    <t>SANDAL FLAT Y-GIRL MK09:NAVY BLUE:XL</t>
  </si>
  <si>
    <t>MN08-H</t>
  </si>
  <si>
    <t>SANDAL FLAT Y-GIRL MN08:BLACK:S</t>
  </si>
  <si>
    <t>SANDAL FLAT Y-GIRL MN08:BLACK:M</t>
  </si>
  <si>
    <t>SANDAL FLAT Y-GIRL MN08:BLACK:XL</t>
  </si>
  <si>
    <t>MN08-N</t>
  </si>
  <si>
    <t>SANDAL FLAT Y-GIRL MN08:NAVY BLUE:S</t>
  </si>
  <si>
    <t>SANDAL FLAT Y-GIRL MN08:NAVY BLUE:M</t>
  </si>
  <si>
    <t>SANDAL FLAT Y-GIRL MN08:NAVY BLUE:L</t>
  </si>
  <si>
    <t>SANDAL FLAT Y-GIRL MN08:NAVY BLUE:XL</t>
  </si>
  <si>
    <t>MN08-M</t>
  </si>
  <si>
    <t>SANDAL FLAT Y-GIRL MN08:CLASSIC RED:S</t>
  </si>
  <si>
    <t>SANDAL FLAT Y-GIRL MN08:CLASSIC RED:M</t>
  </si>
  <si>
    <t>SANDAL FLAT Y-GIRL MN08:CLASSIC RED:L</t>
  </si>
  <si>
    <t>SANDAL FLAT Y-GIRL MN08:CLASSIC RED:XL</t>
  </si>
  <si>
    <t>MC01-N</t>
  </si>
  <si>
    <t>SANDAL FLAT Y-GIRL MC01:NAVY BLUE:M</t>
  </si>
  <si>
    <t>MC01-B</t>
  </si>
  <si>
    <t>SANDAL FLAT Y-GIRL MC01:LIGHT BLUE:M</t>
  </si>
  <si>
    <t>MC01-F</t>
  </si>
  <si>
    <t>SANDAL FLAT Y-GIRL MC01:FUSCHIA:M</t>
  </si>
  <si>
    <t>SANDAL FLAT Y-GIRL MC01:FUSCHIA:XL</t>
  </si>
  <si>
    <t>TS1906-H</t>
  </si>
  <si>
    <t>SANDAL FLAT Y-GIRL TS1906:BLACK:S</t>
  </si>
  <si>
    <t>SANDAL FLAT Y-GIRL TS1906:BLACK:M</t>
  </si>
  <si>
    <t>SANDAL FLAT Y-GIRL TS1906:BLACK:L</t>
  </si>
  <si>
    <t>SANDAL FLAT Y-GIRL TS1906:BLACK:XL</t>
  </si>
  <si>
    <t>TS1906-HJ</t>
  </si>
  <si>
    <t>SANDAL FLAT Y-GIRL TS1906:PASTEL GREEN:S</t>
  </si>
  <si>
    <t>SANDAL FLAT Y-GIRL TS1906:PASTEL GREEN:M</t>
  </si>
  <si>
    <t>SANDAL FLAT Y-GIRL TS1906:PASTEL GREEN:L</t>
  </si>
  <si>
    <t>SANDAL FLAT Y-GIRL TS1906:PASTEL GREEN:XL</t>
  </si>
  <si>
    <t>TS1906-N</t>
  </si>
  <si>
    <t>SANDAL FLAT Y-GIRL TS1906:NAVY BLUE:S</t>
  </si>
  <si>
    <t>SANDAL FLAT Y-GIRL TS1906:NAVY BLUE:M</t>
  </si>
  <si>
    <t>SANDAL FLAT Y-GIRL TS1906:NAVY BLUE:L</t>
  </si>
  <si>
    <t>SANDAL FLAT Y-GIRL TS1906:NAVY BLUE:XL</t>
  </si>
  <si>
    <t>TS1906-U</t>
  </si>
  <si>
    <t>SANDAL FLAT Y-GIRL TS1906:CLASSIC PURPLE:S</t>
  </si>
  <si>
    <t>SANDAL FLAT Y-GIRL TS1906:CLASSIC PURPLE:M</t>
  </si>
  <si>
    <t>SANDAL FLAT Y-GIRL TS1906:CLASSIC PURPLE:L</t>
  </si>
  <si>
    <t>SANDAL FLAT Y-GIRL TS1906:CLASSIC PURPLE:XL</t>
  </si>
  <si>
    <t>TS1906-PK</t>
  </si>
  <si>
    <t>SANDAL FLAT Y-GIRL TS1906:PASTEL PINK:S</t>
  </si>
  <si>
    <t>SANDAL FLAT Y-GIRL TS1906:PASTEL PINK:M</t>
  </si>
  <si>
    <t>SANDAL FLAT Y-GIRL TS1906:PASTEL PINK:XL</t>
  </si>
  <si>
    <t>MN08-O</t>
  </si>
  <si>
    <t>SANDAL FLAT Y-GIRL MN08:OLIVE:S</t>
  </si>
  <si>
    <t>SANDAL FLAT Y-GIRL MN08:OLIVE:XL</t>
  </si>
  <si>
    <t>PRC3-N</t>
  </si>
  <si>
    <t>67450101PRN PRC3:NAVY BLUE:XL</t>
  </si>
  <si>
    <t>PRC3-F</t>
  </si>
  <si>
    <t>67450101PRN PRC3:FUSCHIA:M</t>
  </si>
  <si>
    <t>MK13-PK</t>
  </si>
  <si>
    <t>67450101MIC MK13:PASTEL PINK:L</t>
  </si>
  <si>
    <t>TS1703NV</t>
  </si>
  <si>
    <t>67450101TTN FL SP TS1703:NAVY BLUE:S</t>
  </si>
  <si>
    <t>67450101TTN FL SP TS1703:NAVY BLUE:M</t>
  </si>
  <si>
    <t>TS1703HT</t>
  </si>
  <si>
    <t>67450101TTN FL SP TS1703:BLACK:M</t>
  </si>
  <si>
    <t>67450101TTN FL SP TS1703:BLACK:L</t>
  </si>
  <si>
    <t>TS1703ME</t>
  </si>
  <si>
    <t>67450101TTN FL SP TS1703:CLASSIC RED:S</t>
  </si>
  <si>
    <t>67450101TTN FL SP TS1703:CLASSIC RED:M</t>
  </si>
  <si>
    <t>67450101TTN FL SP TS1703:CLASSIC RED:XL</t>
  </si>
  <si>
    <t>TS1703PT</t>
  </si>
  <si>
    <t>67450101TTN FL SP TS1703:WHITE:S</t>
  </si>
  <si>
    <t>67450101TTN FL SP TS1703:WHITE:XL</t>
  </si>
  <si>
    <t>TS1703-PK</t>
  </si>
  <si>
    <t>67450101TTN FL SP TS1703:PASTEL PINK:XL</t>
  </si>
  <si>
    <t>TSZ2-N</t>
  </si>
  <si>
    <t>SANDAL FLAT Y-GIRL TSZ2:NAVY BLUE:L</t>
  </si>
  <si>
    <t>SANDAL FLAT Y-GIRL TSZ2:NAVY BLUE:XL</t>
  </si>
  <si>
    <t>TSZ2-CO</t>
  </si>
  <si>
    <t>SANDAL FLAT Y-GIRL TSZ2:BROWN SUGAR:S</t>
  </si>
  <si>
    <t>SANDAL FLAT Y-GIRL TSZ2:BROWN SUGAR:M</t>
  </si>
  <si>
    <t>SANDAL FLAT Y-GIRL TSZ2:BROWN SUGAR:L</t>
  </si>
  <si>
    <t>TSZ2-PK</t>
  </si>
  <si>
    <t>SANDAL FLAT Y-GIRL TSZ2:PASTEL PINK:S</t>
  </si>
  <si>
    <t>SANDAL FLAT Y-GIRL TSZ2:PASTEL PINK:M</t>
  </si>
  <si>
    <t>SANDAL FLAT Y-GIRL TSZ2:PASTEL PINK:L</t>
  </si>
  <si>
    <t>SANDAL FLAT Y-GIRL TSZ2:PASTEL PINK:XL</t>
  </si>
  <si>
    <t>TSZ2-M</t>
  </si>
  <si>
    <t>SANDAL FLAT Y-GIRL TSZ2:CLASSIC RED:S</t>
  </si>
  <si>
    <t>SANDAL FLAT Y-GIRL TSZ2:CLASSIC RED:M</t>
  </si>
  <si>
    <t>SANDAL FLAT Y-GIRL TSZ2:CLASSIC RED:L</t>
  </si>
  <si>
    <t>SANDAL FLAT Y-GIRL TSZ2:CLASSIC RED:XL</t>
  </si>
  <si>
    <t>TSZ3-TC</t>
  </si>
  <si>
    <t xml:space="preserve"> SANDAL FLAT Y-GIRL TSZ3:TURQUOISE:S</t>
  </si>
  <si>
    <t xml:space="preserve"> SANDAL FLAT Y-GIRL TSZ3:TURQUOISE:M</t>
  </si>
  <si>
    <t>TSZ3-PK</t>
  </si>
  <si>
    <t xml:space="preserve"> SANDAL FLAT Y-GIRL TSZ3:PASTEL PINK:XL</t>
  </si>
  <si>
    <t>TSS2-P</t>
  </si>
  <si>
    <t>67450101 MIN TSS2:WHITE:38</t>
  </si>
  <si>
    <t>TSS7-N</t>
  </si>
  <si>
    <t>67060101MIC TSS7:NAVY BLUE:36</t>
  </si>
  <si>
    <t>67060101MIC TSS7:NAVY BLUE:38</t>
  </si>
  <si>
    <t>TSS5-N</t>
  </si>
  <si>
    <t>67450101MIC TSS5:NAVY BLUE:36</t>
  </si>
  <si>
    <t>TSS5-P</t>
  </si>
  <si>
    <t>67450101MIC TSS5:WHITE:36</t>
  </si>
  <si>
    <t>67450101MIC TSS5:WHITE:39</t>
  </si>
  <si>
    <t>TSS9-P</t>
  </si>
  <si>
    <t>67060101MIC TSS9:WHITE:37</t>
  </si>
  <si>
    <t>67060101MIC TSS9:WHITE:40</t>
  </si>
  <si>
    <t>TSS6-N</t>
  </si>
  <si>
    <t>67450101MIC TSS6:NAVY BLUE:36</t>
  </si>
  <si>
    <t>67450101MIC TSS6:NAVY BLUE:38</t>
  </si>
  <si>
    <t>TSS6-P</t>
  </si>
  <si>
    <t>67450101MIC TSS6:WHITE:39</t>
  </si>
  <si>
    <t>SS01-N</t>
  </si>
  <si>
    <t>67060101MIC SS01:NAVY BLUE:38</t>
  </si>
  <si>
    <t>SS01-P</t>
  </si>
  <si>
    <t>67060101MIC SS01:WHITE:36</t>
  </si>
  <si>
    <t>67060101MIC SS01:WHITE:37</t>
  </si>
  <si>
    <t>67060101MIC SS01:WHITE:38</t>
  </si>
  <si>
    <t>TSS4-P</t>
  </si>
  <si>
    <t>SANDAL FLAT Y-GIRL TSS4:WHITE:38</t>
  </si>
  <si>
    <t>SS02-H</t>
  </si>
  <si>
    <t>SEPATU SANDALS Y-GIRLS SS02:BLACK:36</t>
  </si>
  <si>
    <t>SEPATU SANDALS Y-GIRLS SS02:BLACK:37</t>
  </si>
  <si>
    <t>SS02-P</t>
  </si>
  <si>
    <t>SEPATU SANDALS Y-GIRLS SS02:WHITE:37</t>
  </si>
  <si>
    <t>SEPATU SANDALS Y-GIRLS SS02:WHITE:38</t>
  </si>
  <si>
    <t>SEPATU SANDALS Y-GIRLS SS02:WHITE:39</t>
  </si>
  <si>
    <t>SEPATU SANDALS Y-GIRLS SS02:WHITE:40</t>
  </si>
  <si>
    <t>GCS1-H</t>
  </si>
  <si>
    <t>SANDAL WEDGES GCS1:BLACK:36</t>
  </si>
  <si>
    <t>SANDAL WEDGES GCS1:BLACK:37</t>
  </si>
  <si>
    <t>GCS2-H</t>
  </si>
  <si>
    <t>SANDAL WEDGES GCS2:BLACK:36</t>
  </si>
  <si>
    <t>SANDAL WEDGES GCS2:BLACK:37</t>
  </si>
  <si>
    <t>TSS11-P</t>
  </si>
  <si>
    <t>SANDAL ANATOMI TSS11:WHITE:36</t>
  </si>
  <si>
    <t>SANDAL ANATOMI TSS11:WHITE:39</t>
  </si>
  <si>
    <t>SANDAL ANATOMI TSS11:WHITE:40</t>
  </si>
  <si>
    <t>TSS11-N</t>
  </si>
  <si>
    <t>SANDAL ANATOMI TSS11:NAVY BLUE:37</t>
  </si>
  <si>
    <t>SANDAL ANATOMI TSS11:NAVY BLUE:38</t>
  </si>
  <si>
    <t>MKBAS2-P</t>
  </si>
  <si>
    <t>SANDAL FLAT-MKBAS2:WHITE:36</t>
  </si>
  <si>
    <t>SANDAL FLAT-MKBAS2:WHITE:37</t>
  </si>
  <si>
    <t>SANDAL FLAT-MKBAS2:WHITE:40</t>
  </si>
  <si>
    <t>MKBAS2-PK</t>
  </si>
  <si>
    <t>SANDAL FLAT-MKBAS2:PASTEL PINK:37</t>
  </si>
  <si>
    <t>SANDAL FLAT-MKBAS2:PASTEL PINK:40</t>
  </si>
  <si>
    <t>TSS12-P</t>
  </si>
  <si>
    <t>SANDAL FLAT-TSS12:WHITE:36</t>
  </si>
  <si>
    <t>TSS12-PK</t>
  </si>
  <si>
    <t>SANDAL FLAT-TSS12:PASTEL PINK:36</t>
  </si>
  <si>
    <t>SANDAL FLAT-TSS12:PASTEL PINK:37</t>
  </si>
  <si>
    <t>SANDAL FLAT-TSS12:PASTEL PINK:39</t>
  </si>
  <si>
    <t>TSS11-PK</t>
  </si>
  <si>
    <t>SANDAL ANATOMI TSS11:PASTEL PINK:38</t>
  </si>
  <si>
    <t>MKBAS1-P</t>
  </si>
  <si>
    <t>SANDAL FLAT-MKBAS1:WHITE:37</t>
  </si>
  <si>
    <t>SANDAL FLAT-MKBAS1:WHITE:38</t>
  </si>
  <si>
    <t>MKBAS1-CO</t>
  </si>
  <si>
    <t>SANDAL FLAT-MKBAS1:WOOD BROWN:36</t>
  </si>
  <si>
    <t>SANDAL FLAT-MKBAS1:WOOD BROWN:37</t>
  </si>
  <si>
    <t>SANDAL FLAT-MKBAS1:WOOD BROWN:38</t>
  </si>
  <si>
    <t>SANDAL FLAT-MKBAS1:WOOD BROWN:39</t>
  </si>
  <si>
    <t>SANDAL FLAT-MKBAS1:WOOD BROWN:40</t>
  </si>
  <si>
    <t>GCS3-H</t>
  </si>
  <si>
    <t>SANDAL WEDGES- GCS3:BLACK:36</t>
  </si>
  <si>
    <t>SANDAL WEDGES- GCS3:BLACK:37</t>
  </si>
  <si>
    <t>SANDAL WEDGES- GCS3:BLACK:38</t>
  </si>
  <si>
    <t>GCS3-P</t>
  </si>
  <si>
    <t>SANDAL WEDGES- GCS3:WHITE:39</t>
  </si>
  <si>
    <t>SANDAL WEDGES- GCS3:WHITE:40</t>
  </si>
  <si>
    <t>TSS10-PK</t>
  </si>
  <si>
    <t>SANDAL ANATOMI TSS10:PASTEL PINK:36</t>
  </si>
  <si>
    <t>SANDAL ANATOMI TSS10:PASTEL PINK:38</t>
  </si>
  <si>
    <t>SANDAL ANATOMI TSS10:PASTEL PINK:40</t>
  </si>
  <si>
    <t>SS02-KH</t>
  </si>
  <si>
    <t>SEPATU SANDALS Y-GIRLS SS02:KHAKI:37</t>
  </si>
  <si>
    <t>SEPATU SANDALS Y-GIRLS SS02:KHAKI:39</t>
  </si>
  <si>
    <t>SS03-P</t>
  </si>
  <si>
    <t>SEPATU SANDALS Y-GIRLS SS03:WHITE:38</t>
  </si>
  <si>
    <t>SS03-PK</t>
  </si>
  <si>
    <t>SEPATU SANDALS Y-GIRLS SS03:PASTEL PINK:38</t>
  </si>
  <si>
    <t>SEPATU SANDALS Y-GIRLS SS03:PASTEL PINK:40</t>
  </si>
  <si>
    <t>SS04-H</t>
  </si>
  <si>
    <t>SEPATU SANDALS Y-GIRLS SS04:BLACK:37</t>
  </si>
  <si>
    <t>SEPATU SANDALS Y-GIRLS SS04:BLACK:38</t>
  </si>
  <si>
    <t>SEPATU SANDALS Y-GIRLS SS04:BLACK:40</t>
  </si>
  <si>
    <t>SS04-P</t>
  </si>
  <si>
    <t>SEPATU SANDALS Y-GIRLS SS04:WHITE:36</t>
  </si>
  <si>
    <t>SEPATU SANDALS Y-GIRLS SS04:WHITE:37</t>
  </si>
  <si>
    <t>SEPATU SANDALS Y-GIRLS SS04:WHITE:38</t>
  </si>
  <si>
    <t>SEPATU SANDALS Y-GIRLS SS04:WHITE:39</t>
  </si>
  <si>
    <t>SEPATU SANDALS Y-GIRLS SS04:WHITE:40</t>
  </si>
  <si>
    <t>MNBAS1-H</t>
  </si>
  <si>
    <t>SANDAL SLIP ON MNBAS1:BLACK:37</t>
  </si>
  <si>
    <t>SANDAL SLIP ON MNBAS1:BLACK:38</t>
  </si>
  <si>
    <t>MNBAS1-P</t>
  </si>
  <si>
    <t>SANDAL SLIP ON MNBAS1:WHITE:37</t>
  </si>
  <si>
    <t>SANDAL SLIP ON MNBAS1:WHITE:38</t>
  </si>
  <si>
    <t>TSBAS1-P</t>
  </si>
  <si>
    <t>SANDAL FLAT Y-GIRL TSBAS1:WHITE:38</t>
  </si>
  <si>
    <t>TSBAS1-PK</t>
  </si>
  <si>
    <t>SANDAL FLAT Y-GIRL TSBAS1:FUSCHIA:37</t>
  </si>
  <si>
    <t>SANDAL FLAT Y-GIRL TSBAS1:FUSCHIA:39</t>
  </si>
  <si>
    <t>MNBAS1-PK</t>
  </si>
  <si>
    <t>SANDAL SLIP ON MNBAS1:DUSTY PINK:38</t>
  </si>
  <si>
    <t>TSS1-N</t>
  </si>
  <si>
    <t>67450101TTN TSS1:NAVY BLUE:38</t>
  </si>
  <si>
    <t>TSS1-PK</t>
  </si>
  <si>
    <t>67450101TTN TSS1:PASTEL PINK:38</t>
  </si>
  <si>
    <t>DS002PT</t>
  </si>
  <si>
    <t>67450101MIC SN SBLN PGR DS002:WHITE:36</t>
  </si>
  <si>
    <t>67450101MIC SN SBLN PGR DS002:WHITE:38</t>
  </si>
  <si>
    <t>67450101MIC SN SBLN PGR DS002:WHITE:39</t>
  </si>
  <si>
    <t>DS003HT</t>
  </si>
  <si>
    <t>67450101TTN FL SH DS003:BLACK:37</t>
  </si>
  <si>
    <t>67450101TTN FL SH DS003:BLACK:38</t>
  </si>
  <si>
    <t>67450101TTN FL SH DS003:BLACK:40</t>
  </si>
  <si>
    <t>DS003PT</t>
  </si>
  <si>
    <t>67450101TTN FL SH DS003:WHITE:37</t>
  </si>
  <si>
    <t>67450101TTN FL SH DS003:WHITE:38</t>
  </si>
  <si>
    <t>67450101TTN FL SH DS003:WHITE:39</t>
  </si>
  <si>
    <t>67450101TTN FL SH DS003:WHITE:40</t>
  </si>
  <si>
    <t>DS10-P</t>
  </si>
  <si>
    <t>MICKEY90 DS10:WHITE:36</t>
  </si>
  <si>
    <t>MICKEY90 DS10:WHITE:37</t>
  </si>
  <si>
    <t>MICKEY90 DS10:WHITE:38</t>
  </si>
  <si>
    <t>MICKEY90 DS10:WHITE:39</t>
  </si>
  <si>
    <t>MICKEY90 DS10:WHITE:40</t>
  </si>
  <si>
    <t>DS14-P</t>
  </si>
  <si>
    <t>SEPATU TSUM2 DS14:WHITE:36</t>
  </si>
  <si>
    <t>SEPATU TSUM2 DS14:WHITE:37</t>
  </si>
  <si>
    <t>SEPATU TSUM2 DS14:WHITE:38</t>
  </si>
  <si>
    <t>SEPATU TSUM2 DS14:WHITE:39</t>
  </si>
  <si>
    <t>SEPATU TSUM2 DS14:WHITE:40</t>
  </si>
  <si>
    <t>DSX1-H</t>
  </si>
  <si>
    <t>SEPATU FP DSX1:BLACK:36</t>
  </si>
  <si>
    <t>SEPATU FP DSX1:BLACK:37</t>
  </si>
  <si>
    <t>SEPATU FP DSX1:BLACK:38</t>
  </si>
  <si>
    <t>SEPATU FP DSX1:BLACK:39</t>
  </si>
  <si>
    <t>SEPATU FP DSX1:BLACK:40</t>
  </si>
  <si>
    <t>MNFLT1-H</t>
  </si>
  <si>
    <t>FLAT SHOES MNFLT1:BLACK:37</t>
  </si>
  <si>
    <t>FLAT SHOES MNFLT1:BLACK:38</t>
  </si>
  <si>
    <t>FLAT SHOES MNFLT1:BLACK:40</t>
  </si>
  <si>
    <t>MNFLT1-KH</t>
  </si>
  <si>
    <t>FLAT SHOES MNFLT1:KHAKI:36</t>
  </si>
  <si>
    <t>FLAT SHOES MNFLT1:KHAKI:37</t>
  </si>
  <si>
    <t>FLAT SHOES MNFLT1:KHAKI:40</t>
  </si>
  <si>
    <t>DS15-P</t>
  </si>
  <si>
    <t>SEPATU Y-GIRL DS15:WHITE:36</t>
  </si>
  <si>
    <t>SEPATU Y-GIRL DS15:WHITE:37</t>
  </si>
  <si>
    <t>SEPATU Y-GIRL DS15:WHITE:38</t>
  </si>
  <si>
    <t>SEPATU Y-GIRL DS15:WHITE:39</t>
  </si>
  <si>
    <t>SEPATU Y-GIRL DS15:WHITE:40</t>
  </si>
  <si>
    <t>DS11-PK</t>
  </si>
  <si>
    <t>MICKEY90 DS11:PASTEL PINK:37</t>
  </si>
  <si>
    <t>MICKEY90 DS11:PASTEL PINK:38</t>
  </si>
  <si>
    <t>MICKEY90 DS11:PASTEL PINK:39</t>
  </si>
  <si>
    <t>DS11-P</t>
  </si>
  <si>
    <t>MICKEY90 DS11:WHITE:37</t>
  </si>
  <si>
    <t>MICKEY90 DS11:WHITE:38</t>
  </si>
  <si>
    <t>MICKEY90 DS11:WHITE:39</t>
  </si>
  <si>
    <t>MICKEY90 DS11:WHITE:40</t>
  </si>
  <si>
    <t>DS07-N</t>
  </si>
  <si>
    <t>67450101MIN DS07:NAVY BLUE:38</t>
  </si>
  <si>
    <t>67450101MIN DS07:NAVY BLUE:39</t>
  </si>
  <si>
    <t>DS07-PK</t>
  </si>
  <si>
    <t>67450101MIN DS07:PASTEL PINK:37</t>
  </si>
  <si>
    <t>67450101MIN DS07:PASTEL PINK:38</t>
  </si>
  <si>
    <t>67450101MIN DS07:PASTEL PINK:39</t>
  </si>
  <si>
    <t>DS07-P</t>
  </si>
  <si>
    <t>67450101MIN DS07:WHITE:38</t>
  </si>
  <si>
    <t>67450101MIN DS07:WHITE:40</t>
  </si>
  <si>
    <t>MK12</t>
  </si>
  <si>
    <t>FLIP FLOPS MICKEY MINNIE MK12:WHITE:L:SOLID:FLIP FLOPS</t>
  </si>
  <si>
    <t>FLIP FLOPS MICKEY MINNIE MK12:WHITE:XL:SOLID:FLIP FLOPS</t>
  </si>
  <si>
    <t>FLIP FLOPS MICKEY MINNIE MK12:PASTEL PINK:S:SOLID:FLIP FLOPS</t>
  </si>
  <si>
    <t>FLIP FLOPS MICKEY MINNIE MK12:PASTEL PINK:M:SOLID:FLIP FLOPS</t>
  </si>
  <si>
    <t>FLIP FLOPS MICKEY MINNIE MK12:PASTEL PINK:L:SOLID:FLIP FLOPS</t>
  </si>
  <si>
    <t>FLIP FLOPS MICKEY MINNIE MK12:PASTEL PINK:XL:SOLID:FLIP FLOPS</t>
  </si>
  <si>
    <t>MK11W</t>
  </si>
  <si>
    <t>FLIP FLOPS MICKEY MOUSE MK11W:BLACK:S:SOLID:FLIP FLOPS</t>
  </si>
  <si>
    <t>FLIP FLOPS MICKEY MOUSE MK11W:BLACK:M:SOLID:FLIP FLOPS</t>
  </si>
  <si>
    <t>FLIP FLOPS MICKEY MOUSE MK11W:BLACK:L:SOLID:FLIP FLOPS</t>
  </si>
  <si>
    <t>FLIP FLOPS MICKEY MOUSE MK11W:BLACK:XL:SOLID:FLIP FLOPS</t>
  </si>
  <si>
    <t>FLIP FLOPS MICKEY MOUSE MK11W:NAVY BLUE:S:SOLID:FLIP FLOPS</t>
  </si>
  <si>
    <t>FLIP FLOPS MICKEY MOUSE MK11W:NAVY BLUE:M:SOLID:FLIP FLOPS</t>
  </si>
  <si>
    <t>FLIP FLOPS MICKEY MOUSE MK11W:NAVY BLUE:L:SOLID:FLIP FLOPS</t>
  </si>
  <si>
    <t>TSZ3-N</t>
  </si>
  <si>
    <t xml:space="preserve"> SANDAL FLAT Y-GIRL TSZ3:NAVY BLUE:S</t>
  </si>
  <si>
    <t xml:space="preserve"> SANDAL FLAT Y-GIRL TSZ3:NAVY BLUE:M</t>
  </si>
  <si>
    <t xml:space="preserve"> SANDAL FLAT Y-GIRL TSZ3:NAVY BLUE:L</t>
  </si>
  <si>
    <t xml:space="preserve"> SANDAL FLAT Y-GIRL TSZ3:NAVY BLUE:XL</t>
  </si>
  <si>
    <t>MKBAS7 - H</t>
  </si>
  <si>
    <t>SANDAL FLAT SLINGBACK MKBAS7:BLACK:36</t>
  </si>
  <si>
    <t>SANDAL FLAT SLINGBACK MKBAS7:BLACK:37</t>
  </si>
  <si>
    <t>SANDAL FLAT SLINGBACK MKBAS7:BLACK:38</t>
  </si>
  <si>
    <t>SANDAL FLAT SLINGBACK MKBAS7:BLACK:39</t>
  </si>
  <si>
    <t>SANDAL FLAT SLINGBACK MKBAS7:BLACK:40</t>
  </si>
  <si>
    <t>MKBAS7 - PK</t>
  </si>
  <si>
    <t>SANDAL FLAT SLINGBACK MKBAS7:PASTEL PINK:36</t>
  </si>
  <si>
    <t>SANDAL FLAT SLINGBACK MKBAS7:PASTEL PINK:37</t>
  </si>
  <si>
    <t>SANDAL FLAT SLINGBACK MKBAS7:PASTEL PINK:38</t>
  </si>
  <si>
    <t>SANDAL FLAT SLINGBACK MKBAS7:PASTEL PINK:39</t>
  </si>
  <si>
    <t>SANDAL FLAT SLINGBACK MKBAS7:PASTEL PINK:40</t>
  </si>
  <si>
    <t>MKBAS8 - H</t>
  </si>
  <si>
    <t>SANDAL JEPIT FLAT MKBAS8:BLACK:36</t>
  </si>
  <si>
    <t>SANDAL JEPIT FLAT MKBAS8:BLACK:37</t>
  </si>
  <si>
    <t>SANDAL JEPIT FLAT MKBAS8:BLACK:38</t>
  </si>
  <si>
    <t>SANDAL JEPIT FLAT MKBAS8:BLACK:39</t>
  </si>
  <si>
    <t>SANDAL JEPIT FLAT MKBAS8:BLACK:40</t>
  </si>
  <si>
    <t>MKBAS8 - PK</t>
  </si>
  <si>
    <t>SANDAL JEPIT FLAT MKBAS8:PASTEL PINK:36</t>
  </si>
  <si>
    <t>SANDAL JEPIT FLAT MKBAS8:PASTEL PINK:37</t>
  </si>
  <si>
    <t>SANDAL JEPIT FLAT MKBAS8:PASTEL PINK:38</t>
  </si>
  <si>
    <t>SANDAL JEPIT FLAT MKBAS8:PASTEL PINK:39</t>
  </si>
  <si>
    <t>SANDAL JEPIT FLAT MKBAS8:PASTEL PINK:40</t>
  </si>
  <si>
    <t>MKBAS8 - P</t>
  </si>
  <si>
    <t>SANDAL JEPIT FLAT MKBAS8:WHITE:36</t>
  </si>
  <si>
    <t>SANDAL JEPIT FLAT MKBAS8:WHITE:37</t>
  </si>
  <si>
    <t>SANDAL JEPIT FLAT MKBAS8:WHITE:38</t>
  </si>
  <si>
    <t>SANDAL JEPIT FLAT MKBAS8:WHITE:39</t>
  </si>
  <si>
    <t>SANDAL JEPIT FLAT MKBAS8:WHITE:40</t>
  </si>
  <si>
    <t>MKBAS9 - CO</t>
  </si>
  <si>
    <t>SANDAL WEDGES SLINDBACK MKBAS9:BROWN SUGAR:36</t>
  </si>
  <si>
    <t>SANDAL WEDGES SLINDBACK MKBAS9:BROWN SUGAR:37</t>
  </si>
  <si>
    <t>SANDAL WEDGES SLINDBACK MKBAS9:BROWN SUGAR:38</t>
  </si>
  <si>
    <t>SANDAL WEDGES SLINDBACK MKBAS9:BROWN SUGAR:39</t>
  </si>
  <si>
    <t>SANDAL WEDGES SLINDBACK MKBAS9:BROWN SUGAR:40</t>
  </si>
  <si>
    <t>MKBAS9 - H</t>
  </si>
  <si>
    <t>SANDAL WEDGES SLINDBACK MKBAS9:BLACK:36</t>
  </si>
  <si>
    <t>SANDAL WEDGES SLINDBACK MKBAS9:BLACK:37</t>
  </si>
  <si>
    <t>SANDAL WEDGES SLINDBACK MKBAS9:BLACK:39</t>
  </si>
  <si>
    <t>SANDAL WEDGES SLINDBACK MKBAS9:BLACK:40</t>
  </si>
  <si>
    <t>MKBAS11 - H</t>
  </si>
  <si>
    <t>SANDAL SLIP ON MKBAS11:BLACK:36</t>
  </si>
  <si>
    <t>SANDAL SLIP ON MKBAS11:BLACK:37</t>
  </si>
  <si>
    <t>SANDAL SLIP ON MKBAS11:BLACK:38</t>
  </si>
  <si>
    <t>SANDAL SLIP ON MKBAS11:BLACK:39</t>
  </si>
  <si>
    <t>SANDAL SLIP ON MKBAS11:BLACK:40</t>
  </si>
  <si>
    <t>MKBAS11 - PK</t>
  </si>
  <si>
    <t>SANDAL SLIP ON MKBAS11:PASTEL PINK:36</t>
  </si>
  <si>
    <t>SANDAL SLIP ON MKBAS11:PASTEL PINK:37</t>
  </si>
  <si>
    <t>SANDAL SLIP ON MKBAS11:PASTEL PINK:38</t>
  </si>
  <si>
    <t>SANDAL SLIP ON MKBAS11:PASTEL PINK:39</t>
  </si>
  <si>
    <t>SANDAL SLIP ON MKBAS11:PASTEL PINK:40</t>
  </si>
  <si>
    <t>TSS19 - PK</t>
  </si>
  <si>
    <t>SANDAL SLIP ON TSUM TSUM TSS19:PASTEL PINK:36</t>
  </si>
  <si>
    <t>SANDAL SLIP ON TSUM TSUM TSS19:PASTEL PINK:37</t>
  </si>
  <si>
    <t>SANDAL SLIP ON TSUM TSUM TSS19:PASTEL PINK:38</t>
  </si>
  <si>
    <t>SANDAL SLIP ON TSUM TSUM TSS19:PASTEL PINK:39</t>
  </si>
  <si>
    <t>SANDAL SLIP ON TSUM TSUM TSS19:PASTEL PINK:40</t>
  </si>
  <si>
    <t>TSS19 - P</t>
  </si>
  <si>
    <t>SANDAL SLIP ON TSUM TSUM TSS19:WHITE:36</t>
  </si>
  <si>
    <t>SANDAL SLIP ON TSUM TSUM TSS19:WHITE:37</t>
  </si>
  <si>
    <t>SANDAL SLIP ON TSUM TSUM TSS19:WHITE:38</t>
  </si>
  <si>
    <t>SANDAL SLIP ON TSUM TSUM TSS19:WHITE:39</t>
  </si>
  <si>
    <t>SANDAL SLIP ON TSUM TSUM TSS19:WHITE:40</t>
  </si>
  <si>
    <t>MNBAS5 - CO</t>
  </si>
  <si>
    <t>SANDAL SLINGBACK MNBAS5:BROWN SUGAR:36</t>
  </si>
  <si>
    <t>SANDAL SLINGBACK MNBAS5:BROWN SUGAR:37</t>
  </si>
  <si>
    <t>SANDAL SLINGBACK MNBAS5:BROWN SUGAR:38</t>
  </si>
  <si>
    <t>SANDAL SLINGBACK MNBAS5:BROWN SUGAR:39</t>
  </si>
  <si>
    <t>SANDAL SLINGBACK MNBAS5:BROWN SUGAR:40</t>
  </si>
  <si>
    <t>MNBAS5 - H</t>
  </si>
  <si>
    <t>SANDAL SLINGBACK MNBAS5:BLACK:36</t>
  </si>
  <si>
    <t>SANDAL SLINGBACK MNBAS5:BLACK:37</t>
  </si>
  <si>
    <t>SANDAL SLINGBACK MNBAS5:BLACK:38</t>
  </si>
  <si>
    <t>SANDAL SLINGBACK MNBAS5:BLACK:39</t>
  </si>
  <si>
    <t>SANDAL SLINGBACK MNBAS5:BLACK:40</t>
  </si>
  <si>
    <t>MNBAS6 - PK</t>
  </si>
  <si>
    <t>SANDAL WEDGES SLIP ON MNBAS6:PASTEL PINK:36</t>
  </si>
  <si>
    <t>SANDAL WEDGES SLIP ON MNBAS6:PASTEL PINK:37</t>
  </si>
  <si>
    <t>SANDAL WEDGES SLIP ON MNBAS6:PASTEL PINK:38</t>
  </si>
  <si>
    <t>SANDAL WEDGES SLIP ON MNBAS6:PASTEL PINK:39</t>
  </si>
  <si>
    <t>SANDAL WEDGES SLIP ON MNBAS6:PASTEL PINK:40</t>
  </si>
  <si>
    <t>MNBAS6 - P</t>
  </si>
  <si>
    <t>SANDAL WEDGES SLIP ON MNBAS6:WHITE:36</t>
  </si>
  <si>
    <t>SANDAL WEDGES SLIP ON MNBAS6:WHITE:37</t>
  </si>
  <si>
    <t>SANDAL WEDGES SLIP ON MNBAS6:WHITE:38</t>
  </si>
  <si>
    <t>SANDAL WEDGES SLIP ON MNBAS6:WHITE:39</t>
  </si>
  <si>
    <t>SANDAL WEDGES SLIP ON MNBAS6:WHITE:40</t>
  </si>
  <si>
    <t>MKBAS6</t>
  </si>
  <si>
    <t>SLINGBACK SANDALS MICKEY MKBAS6:BLACK:36:SOLID:SLINGBACK SANDAL</t>
  </si>
  <si>
    <t>SLINGBACK SANDALS MICKEY MKBAS6:BLACK:37:SOLID:SLINGBACK SANDAL</t>
  </si>
  <si>
    <t>SLINGBACK SANDALS MICKEY MKBAS6:BLACK:38:SOLID:SLINGBACK SANDAL</t>
  </si>
  <si>
    <t>SLINGBACK SANDALS MICKEY MKBAS6:BLACK:39:SOLID:SLINGBACK SANDAL</t>
  </si>
  <si>
    <t>SLINGBACK SANDALS MICKEY MKBAS6:BLACK:40:SOLID:SLINGBACK SANDAL</t>
  </si>
  <si>
    <t>SLINGBACK SANDALS MICKEY MKBAS6:PASTEL PINK:36:SOLID:SLINGBACK SANDAL</t>
  </si>
  <si>
    <t>SLINGBACK SANDALS MICKEY MKBAS6:PASTEL PINK:37:SOLID:SLINGBACK SANDAL</t>
  </si>
  <si>
    <t>SLINGBACK SANDALS MICKEY MKBAS6:PASTEL PINK:38:SOLID:SLINGBACK SANDAL</t>
  </si>
  <si>
    <t>SLINGBACK SANDALS MICKEY MKBAS6:PASTEL PINK:39:SOLID:SLINGBACK SANDAL</t>
  </si>
  <si>
    <t>SLINGBACK SANDALS MICKEY MKBAS6:PASTEL PINK:40:SOLID:SLINGBACK SANDAL</t>
  </si>
  <si>
    <t>MKBAS14</t>
  </si>
  <si>
    <t>SLIPPER SANDALS MICKEY MKBAS14:BLACK:36:SOLID:SLIPPER SANDALS</t>
  </si>
  <si>
    <t>SLIPPER SANDALS MICKEY MKBAS14:BLACK:37:SOLID:SLIPPER SANDALS</t>
  </si>
  <si>
    <t>SLIPPER SANDALS MICKEY MKBAS14:BLACK:38:SOLID:SLIPPER SANDALS</t>
  </si>
  <si>
    <t>SLIPPER SANDALS MICKEY MKBAS14:BLACK:39:SOLID:SLIPPER SANDALS</t>
  </si>
  <si>
    <t>SLIPPER SANDALS MICKEY MKBAS14:PASTEL PINK:36:SOLID:SLIPPER SANDALS</t>
  </si>
  <si>
    <t>SLIPPER SANDALS MICKEY MKBAS14:PASTEL PINK:37:SOLID:SLIPPER SANDALS</t>
  </si>
  <si>
    <t>SLIPPER SANDALS MICKEY MKBAS14:PASTEL PINK:38:SOLID:SLIPPER SANDALS</t>
  </si>
  <si>
    <t>SLIPPER SANDALS MICKEY MKBAS14:PASTEL PINK:39:SOLID:SLIPPER SANDALS</t>
  </si>
  <si>
    <t>SLIPPER SANDALS MICKEY MKBAS14:PASTEL PINK:40:SOLID:SLIPPER SANDALS</t>
  </si>
  <si>
    <t>MNSO1</t>
  </si>
  <si>
    <t>MULE SANDALS MINNIE MNSO1:KHAKI:36:SOLID:MULE SANDALS</t>
  </si>
  <si>
    <t>MULE SANDALS MINNIE MNSO1:KHAKI:37:SOLID:MULE SANDALS</t>
  </si>
  <si>
    <t>MULE SANDALS MINNIE MNSO1:KHAKI:38:SOLID:MULE SANDALS</t>
  </si>
  <si>
    <t>MULE SANDALS MINNIE MNSO1:KHAKI:39:SOLID:MULE SANDALS</t>
  </si>
  <si>
    <t>MULE SANDALS MINNIE MNSO1:KHAKI:40:SOLID:MULE SANDALS</t>
  </si>
  <si>
    <t>DS20</t>
  </si>
  <si>
    <t>SLIP ON MINNIE DS20:WHITE:36:PRINT:SLIP ON</t>
  </si>
  <si>
    <t>SLIP ON MINNIE DS20:WHITE:37:PRINT:SLIP ON</t>
  </si>
  <si>
    <t>SLIP ON MINNIE DS20:WHITE:38:PRINT:SLIP ON</t>
  </si>
  <si>
    <t>SLIP ON MINNIE DS20:WHITE:39:PRINT:SLIP ON</t>
  </si>
  <si>
    <t>SLIP ON MINNIE DS20:WHITE:40:PRINT:SLIP ON</t>
  </si>
  <si>
    <t>MNBAS7</t>
  </si>
  <si>
    <t>FLIP FLOPS MINNIE MNBAS7:BLACK:36:SOLID:FLIP FLOPS</t>
  </si>
  <si>
    <t>FLIP FLOPS MINNIE MNBAS7:BLACK:37:SOLID:FLIP FLOPS</t>
  </si>
  <si>
    <t>FLIP FLOPS MINNIE MNBAS7:BLACK:38:SOLID:FLIP FLOPS</t>
  </si>
  <si>
    <t>FLIP FLOPS MINNIE MNBAS7:BLACK:39:SOLID:FLIP FLOPS</t>
  </si>
  <si>
    <t>FLIP FLOPS MINNIE MNBAS7:BLACK:40:SOLID:FLIP FLOPS</t>
  </si>
  <si>
    <t>FLIP FLOPS MINNIE MNBAS7:WHITE:36:SOLID:FLIP FLOPS</t>
  </si>
  <si>
    <t>FLIP FLOPS MINNIE MNBAS7:WHITE:37:SOLID:FLIP FLOPS</t>
  </si>
  <si>
    <t>FLIP FLOPS MINNIE MNBAS7:WHITE:38:SOLID:FLIP FLOPS</t>
  </si>
  <si>
    <t>FLIP FLOPS MINNIE MNBAS7:WHITE:39:SOLID:FLIP FLOPS</t>
  </si>
  <si>
    <t>FLIP FLOPS MINNIE MNBAS7:WHITE:40:SOLID:FLIP FLOPS</t>
  </si>
  <si>
    <t>TSZ3</t>
  </si>
  <si>
    <t>FLIP FLOPS TSUM TSUM TSZ3:NAVY BLUE:S:PRINT:FLIP FLOPS</t>
  </si>
  <si>
    <t>FLIP FLOPS TSUM TSUM TSZ3:NAVY BLUE:M:PRINT:FLIP FLOPS</t>
  </si>
  <si>
    <t>FLIP FLOPS TSUM TSUM TSZ3:NAVY BLUE:L:PRINT:FLIP FLOPS</t>
  </si>
  <si>
    <t>FLIP FLOPS TSUM TSUM TSZ3:NAVY BLUE:XL:PRINT:FLIP FLOPS</t>
  </si>
  <si>
    <t>MKBAS5</t>
  </si>
  <si>
    <t>FLIP FLOPS MICKEY MINNIE MKBAS5:PASTEL PINK:36:SOLID:FLIP FLOPS</t>
  </si>
  <si>
    <t>FLIP FLOPS MICKEY MINNIE MKBAS5:PASTEL PINK:37:SOLID:FLIP FLOPS</t>
  </si>
  <si>
    <t>FLIP FLOPS MICKEY MINNIE MKBAS5:PASTEL PINK:38:SOLID:FLIP FLOPS</t>
  </si>
  <si>
    <t>FLIP FLOPS MICKEY MINNIE MKBAS5:PASTEL PINK:39:SOLID:FLIP FLOPS</t>
  </si>
  <si>
    <t>FLIP FLOPS MICKEY MINNIE MKBAS5:PASTEL PINK:40:SOLID:FLIP FLOPS</t>
  </si>
  <si>
    <t>FLIP FLOPS MICKEY MINNIE MKBAS5:WHITE:36:SOLID:FLIP FLOPS</t>
  </si>
  <si>
    <t>FLIP FLOPS MICKEY MINNIE MKBAS5:WHITE:37:SOLID:FLIP FLOPS</t>
  </si>
  <si>
    <t>FLIP FLOPS MICKEY MINNIE MKBAS5:WHITE:38:SOLID:FLIP FLOPS</t>
  </si>
  <si>
    <t>FLIP FLOPS MICKEY MINNIE MKBAS5:WHITE:39:SOLID:FLIP FLOPS</t>
  </si>
  <si>
    <t>FLIP FLOPS MICKEY MINNIE MKBAS5:WHITE:40:SOLID:FLIP FLOPS</t>
  </si>
  <si>
    <t>MKBAS3</t>
  </si>
  <si>
    <t>SLIPPER SANDALS MICKEY MKBAS3:BLACK:36:SOLID:SLIPPER SANDALS</t>
  </si>
  <si>
    <t>SLIPPER SANDALS MICKEY MKBAS3:BLACK:37:SOLID:SLIPPER SANDALS</t>
  </si>
  <si>
    <t>SLIPPER SANDALS MICKEY MKBAS3:BLACK:38:SOLID:SLIPPER SANDALS</t>
  </si>
  <si>
    <t>SLIPPER SANDALS MICKEY MKBAS3:BLACK:39:SOLID:SLIPPER SANDALS</t>
  </si>
  <si>
    <t>SLIPPER SANDALS MICKEY MKBAS3:BLACK:40:SOLID:SLIPPER SANDALS</t>
  </si>
  <si>
    <t>SLIPPER SANDALS MICKEY MKBAS3:PASTEL PINK:36:SOLID:SLIPPER SANDALS</t>
  </si>
  <si>
    <t>SLIPPER SANDALS MICKEY MKBAS3:PASTEL PINK:37:SOLID:SLIPPER SANDALS</t>
  </si>
  <si>
    <t>SLIPPER SANDALS MICKEY MKBAS3:PASTEL PINK:38:SOLID:SLIPPER SANDALS</t>
  </si>
  <si>
    <t>SLIPPER SANDALS MICKEY MKBAS3:PASTEL PINK:39:SOLID:SLIPPER SANDALS</t>
  </si>
  <si>
    <t>SLIPPER SANDALS MICKEY MKBAS3:PASTEL PINK:40:SOLID:SLIPPER SANDALS</t>
  </si>
  <si>
    <t>TSS16</t>
  </si>
  <si>
    <t>SLIPPER SANDALS TSUM TSUM TSS16:BLACK:36:SOLID:SLIPPER SANDALS</t>
  </si>
  <si>
    <t>SLIPPER SANDALS TSUM TSUM TSS16:BLACK:37:SOLID:SLIPPER SANDALS</t>
  </si>
  <si>
    <t>SLIPPER SANDALS TSUM TSUM TSS16:BLACK:38:SOLID:SLIPPER SANDALS</t>
  </si>
  <si>
    <t>SLIPPER SANDALS TSUM TSUM TSS16:BLACK:39:SOLID:SLIPPER SANDALS</t>
  </si>
  <si>
    <t>SLIPPER SANDALS TSUM TSUM TSS16:BLACK:40:SOLID:SLIPPER SANDALS</t>
  </si>
  <si>
    <t>SLIPPER SANDALS TSUM TSUM TSS16:PASTEL PINK:36:SOLID:SLIPPER SANDALS</t>
  </si>
  <si>
    <t>SLIPPER SANDALS TSUM TSUM TSS16:PASTEL PINK:37:SOLID:SLIPPER SANDALS</t>
  </si>
  <si>
    <t>SLIPPER SANDALS TSUM TSUM TSS16:PASTEL PINK:38:SOLID:SLIPPER SANDALS</t>
  </si>
  <si>
    <t>SLIPPER SANDALS TSUM TSUM TSS16:PASTEL PINK:39:SOLID:SLIPPER SANDALS</t>
  </si>
  <si>
    <t>SLIPPER SANDALS TSUM TSUM TSS16:PASTEL PINK:40:SOLID:SLIPPER SANDALS</t>
  </si>
  <si>
    <t>MULE SANDALS MINNIE MNSO1:BLACK:36:SOLID:MULE SANDALS</t>
  </si>
  <si>
    <t>MULE SANDALS MINNIE MNSO1:BLACK:37:SOLID:MULE SANDALS</t>
  </si>
  <si>
    <t>MULE SANDALS MINNIE MNSO1:BLACK:38:SOLID:MULE SANDALS</t>
  </si>
  <si>
    <t>MULE SANDALS MINNIE MNSO1:BLACK:39:SOLID:MULE SANDALS</t>
  </si>
  <si>
    <t>MULE SANDALS MINNIE MNSO1:BLACK:40:SOLID:MULE SANDALS</t>
  </si>
  <si>
    <t>MULE SANDALS MINNIE MNSO1:BROWN SUGAR:36:SOLID:MULE SANDALS</t>
  </si>
  <si>
    <t>MULE SANDALS MINNIE MNSO1:BROWN SUGAR:37:SOLID:MULE SANDALS</t>
  </si>
  <si>
    <t>MULE SANDALS MINNIE MNSO1:BROWN SUGAR:38:SOLID:MULE SANDALS</t>
  </si>
  <si>
    <t>MULE SANDALS MINNIE MNSO1:BROWN SUGAR:39:SOLID:MULE SANDALS</t>
  </si>
  <si>
    <t>MULE SANDALS MINNIE MNSO1:BROWN SUGAR:40:SOLID:MULE SANDALS</t>
  </si>
  <si>
    <t>TSS20</t>
  </si>
  <si>
    <t>SLIPPER SANDALS TSUM TSUM TSS20:BLACK:36:SOLID:SLIPPER SANDALS</t>
  </si>
  <si>
    <t>SLIPPER SANDALS TSUM TSUM TSS20:BLACK:37:SOLID:SLIPPER SANDALS</t>
  </si>
  <si>
    <t>SLIPPER SANDALS TSUM TSUM TSS20:BLACK:38:SOLID:SLIPPER SANDALS</t>
  </si>
  <si>
    <t>SLIPPER SANDALS TSUM TSUM TSS20:BLACK:39:SOLID:SLIPPER SANDALS</t>
  </si>
  <si>
    <t>SLIPPER SANDALS TSUM TSUM TSS20:BLACK:40:SOLID:SLIPPER SANDALS</t>
  </si>
  <si>
    <t>SLIPPER SANDALS TSUM TSUM TSS20:PASTEL PINK:36:SOLID:SLIPPER SANDALS</t>
  </si>
  <si>
    <t>SLIPPER SANDALS TSUM TSUM TSS20:PASTEL PINK:37:SOLID:SLIPPER SANDALS</t>
  </si>
  <si>
    <t>SLIPPER SANDALS TSUM TSUM TSS20:PASTEL PINK:38:SOLID:SLIPPER SANDALS</t>
  </si>
  <si>
    <t>SLIPPER SANDALS TSUM TSUM TSS20:PASTEL PINK:39:SOLID:SLIPPER SANDALS</t>
  </si>
  <si>
    <t>SLIPPER SANDALS TSUM TSUM TSS20:PASTEL PINK:40:SOLID:SLIPPER SANDALS</t>
  </si>
  <si>
    <t>MKBAS17</t>
  </si>
  <si>
    <t>D'ORSAY MICKEY MKBAS17:MISTY DARK BROWN:36:SOLID:D'ORSAY</t>
  </si>
  <si>
    <t>D'ORSAY MICKEY MKBAS17:MISTY DARK BROWN:37:SOLID:D'ORSAY</t>
  </si>
  <si>
    <t>D'ORSAY MICKEY MKBAS17:MISTY DARK BROWN:38:SOLID:D'ORSAY</t>
  </si>
  <si>
    <t>D'ORSAY MICKEY MKBAS17:MISTY DARK BROWN:39:SOLID:D'ORSAY</t>
  </si>
  <si>
    <t>D'ORSAY MICKEY MKBAS17:MISTY DARK BROWN:40:SOLID:D'ORSAY</t>
  </si>
  <si>
    <t>MKBAS16</t>
  </si>
  <si>
    <t>SLIPPER SANDALS MICKEY MKBAS16:BLACK:36:SOLID:SLIPPER SANDALS</t>
  </si>
  <si>
    <t>SLIPPER SANDALS MICKEY MKBAS16:BLACK:37:SOLID:SLIPPER SANDALS</t>
  </si>
  <si>
    <t>SLIPPER SANDALS MICKEY MKBAS16:BLACK:38:SOLID:SLIPPER SANDALS</t>
  </si>
  <si>
    <t>SLIPPER SANDALS MICKEY MKBAS16:BLACK:39:SOLID:SLIPPER SANDALS</t>
  </si>
  <si>
    <t>SLIPPER SANDALS MICKEY MKBAS16:BLACK:40:SOLID:SLIPPER SANDALS</t>
  </si>
  <si>
    <t>SLIPPER SANDALS MICKEY MKBAS16:PASTEL PINK:36:SOLID:SLIPPER SANDALS</t>
  </si>
  <si>
    <t>SLIPPER SANDALS MICKEY MKBAS16:PASTEL PINK:37:SOLID:SLIPPER SANDALS</t>
  </si>
  <si>
    <t>SLIPPER SANDALS MICKEY MKBAS16:PASTEL PINK:38:SOLID:SLIPPER SANDALS</t>
  </si>
  <si>
    <t>SLIPPER SANDALS MICKEY MKBAS16:PASTEL PINK:39:SOLID:SLIPPER SANDALS</t>
  </si>
  <si>
    <t>SLIPPER SANDALS MICKEY MKBAS16:PASTEL PINK:40:SOLID:SLIPPER SANDALS</t>
  </si>
  <si>
    <t>MKBAS12 - PK</t>
  </si>
  <si>
    <t>SANDAL SLIP ON KEPALA MINNIE MKBAS12:PASTEL PINK:36</t>
  </si>
  <si>
    <t>SANDAL SLIP ON KEPALA MINNIE MKBAS12:PASTEL PINK:37</t>
  </si>
  <si>
    <t>SANDAL SLIP ON KEPALA MINNIE MKBAS12:PASTEL PINK:38</t>
  </si>
  <si>
    <t>SANDAL SLIP ON KEPALA MINNIE MKBAS12:PASTEL PINK:39</t>
  </si>
  <si>
    <t>SANDAL SLIP ON KEPALA MINNIE MKBAS12:PASTEL PINK:40</t>
  </si>
  <si>
    <t>MKBAS12 - P</t>
  </si>
  <si>
    <t>SANDAL SLIP ON KEPALA MINNIE MKBAS12:WHITE:36</t>
  </si>
  <si>
    <t>SANDAL SLIP ON KEPALA MINNIE MKBAS12:WHITE:37</t>
  </si>
  <si>
    <t>SANDAL SLIP ON KEPALA MINNIE MKBAS12:WHITE:38</t>
  </si>
  <si>
    <t>SANDAL SLIP ON KEPALA MINNIE MKBAS12:WHITE:39</t>
  </si>
  <si>
    <t>SANDAL SLIP ON KEPALA MINNIE MKBAS12:WHITE:40</t>
  </si>
  <si>
    <t>MNBAS10</t>
  </si>
  <si>
    <t>SLIPPER SANDALS MINNIE MNBAS10:PASTEL PINK:36:SOLID:SLIPPER SANDALS</t>
  </si>
  <si>
    <t>SLIPPER SANDALS MINNIE MNBAS10:PASTEL PINK:37:SOLID:SLIPPER SANDALS</t>
  </si>
  <si>
    <t>SLIPPER SANDALS MINNIE MNBAS10:PASTEL PINK:38:SOLID:SLIPPER SANDALS</t>
  </si>
  <si>
    <t>SLIPPER SANDALS MINNIE MNBAS10:PASTEL PINK:39:SOLID:SLIPPER SANDALS</t>
  </si>
  <si>
    <t>SLIPPER SANDALS MINNIE MNBAS10:PASTEL PINK:40:SOLID:SLIPPER SANDALS</t>
  </si>
  <si>
    <t>MNBAS13</t>
  </si>
  <si>
    <t>SLIPPER SANDALS MINNIE MNBAS13:PASTEL PINK:36:SOLID:SLIPPER SANDALS</t>
  </si>
  <si>
    <t>SLIPPER SANDALS MINNIE MNBAS13:PASTEL PINK:37:SOLID:SLIPPER SANDALS</t>
  </si>
  <si>
    <t>SLIPPER SANDALS MINNIE MNBAS13:PASTEL PINK:38:SOLID:SLIPPER SANDALS</t>
  </si>
  <si>
    <t>SLIPPER SANDALS MINNIE MNBAS13:PASTEL PINK:39:SOLID:SLIPPER SANDALS</t>
  </si>
  <si>
    <t>SLIPPER SANDALS MINNIE MNBAS13:PASTEL PINK:40:SOLID:SLIPPER SANDALS</t>
  </si>
  <si>
    <t>MKBAS19</t>
  </si>
  <si>
    <t>SLIPPER SANDALS MICKEY MKBAS19:BLACK:36:SOLID:SLIPPER SANDALS</t>
  </si>
  <si>
    <t>SLIPPER SANDALS MICKEY MKBAS19:BLACK:37:SOLID:SLIPPER SANDALS</t>
  </si>
  <si>
    <t>SLIPPER SANDALS MICKEY MKBAS19:BLACK:38:SOLID:SLIPPER SANDALS</t>
  </si>
  <si>
    <t>SLIPPER SANDALS MICKEY MKBAS19:BLACK:39:SOLID:SLIPPER SANDALS</t>
  </si>
  <si>
    <t>SLIPPER SANDALS MICKEY MKBAS19:BLACK:40:SOLID:SLIPPER SANDALS</t>
  </si>
  <si>
    <t>SLIPPER SANDALS MICKEY MKBAS19:PASTEL PINK:36:SOLID:SLIPPER SANDALS</t>
  </si>
  <si>
    <t>SLIPPER SANDALS MICKEY MKBAS19:PASTEL PINK:37:SOLID:SLIPPER SANDALS</t>
  </si>
  <si>
    <t>SLIPPER SANDALS MICKEY MKBAS19:PASTEL PINK:38:SOLID:SLIPPER SANDALS</t>
  </si>
  <si>
    <t>SLIPPER SANDALS MICKEY MKBAS19:PASTEL PINK:39:SOLID:SLIPPER SANDALS</t>
  </si>
  <si>
    <t>SLIPPER SANDALS MICKEY MKBAS19:PASTEL PINK:40:SOLID:SLIPPER SANDALS</t>
  </si>
  <si>
    <t>MNBAS9</t>
  </si>
  <si>
    <t>SLINGBACK SHOES MINNIE MNBAS9:BLACK:36:SOLID:SLINGBACK SHOES</t>
  </si>
  <si>
    <t>SLINGBACK SHOES MINNIE MNBAS9:BLACK:37:SOLID:SLINGBACK SHOES</t>
  </si>
  <si>
    <t>SLINGBACK SHOES MINNIE MNBAS9:BLACK:38:SOLID:SLINGBACK SHOES</t>
  </si>
  <si>
    <t>SLINGBACK SHOES MINNIE MNBAS9:BLACK:39:SOLID:SLINGBACK SHOES</t>
  </si>
  <si>
    <t>SLINGBACK SHOES MINNIE MNBAS9:BLACK:40:SOLID:SLINGBACK SHOES</t>
  </si>
  <si>
    <t>MNBAS4 - H</t>
  </si>
  <si>
    <t>SHOES FLIP FLOP MNBAS4:BLACK:36</t>
  </si>
  <si>
    <t>SHOES FLIP FLOP MNBAS4:BLACK:37</t>
  </si>
  <si>
    <t>SHOES FLIP FLOP MNBAS4:BLACK:38</t>
  </si>
  <si>
    <t>SHOES FLIP FLOP MNBAS4:BLACK:39</t>
  </si>
  <si>
    <t>SHOES FLIP FLOP MNBAS4:BLACK:40</t>
  </si>
  <si>
    <t>MNBAS4 - CO</t>
  </si>
  <si>
    <t>SHOES FLIP FLOP MNBAS4:BROWN SUGAR:36</t>
  </si>
  <si>
    <t>SHOES FLIP FLOP MNBAS4:BROWN SUGAR:37</t>
  </si>
  <si>
    <t>SHOES FLIP FLOP MNBAS4:BROWN SUGAR:38</t>
  </si>
  <si>
    <t>SHOES FLIP FLOP MNBAS4:BROWN SUGAR:39</t>
  </si>
  <si>
    <t>SHOES FLIP FLOP MNBAS4:BROWN SUGAR:40</t>
  </si>
  <si>
    <t>DS21</t>
  </si>
  <si>
    <t>SLIP ON MICKEY DS21:BROWN SUGAR:36:PRINT:SLIP ON</t>
  </si>
  <si>
    <t>SLIP ON MICKEY DS21:BROWN SUGAR:37:PRINT:SLIP ON</t>
  </si>
  <si>
    <t>SLIP ON MICKEY DS21:BROWN SUGAR:38:PRINT:SLIP ON</t>
  </si>
  <si>
    <t>SLIP ON MICKEY DS21:BROWN SUGAR:39:PRINT:SLIP ON</t>
  </si>
  <si>
    <t>SLIP ON MICKEY DS21:BROWN SUGAR:40:PRINT:SLIP ON</t>
  </si>
  <si>
    <t>TSS15-H</t>
  </si>
  <si>
    <t>SANDAL FLAT Y-GIRL TSS15:BLACK:36</t>
  </si>
  <si>
    <t>SANDAL FLAT Y-GIRL TSS15:BLACK:37</t>
  </si>
  <si>
    <t>SANDAL FLAT Y-GIRL TSS15:BLACK:38</t>
  </si>
  <si>
    <t>SANDAL FLAT Y-GIRL TSS15:BLACK:39</t>
  </si>
  <si>
    <t>SANDAL FLAT Y-GIRL TSS15:BLACK:40</t>
  </si>
  <si>
    <t>TSS15-P</t>
  </si>
  <si>
    <t>SANDAL FLAT Y-GIRL TSS15:WHITE:36</t>
  </si>
  <si>
    <t>SANDAL FLAT Y-GIRL TSS15:WHITE:38</t>
  </si>
  <si>
    <t>SANDAL FLAT Y-GIRL TSS15:WHITE:39</t>
  </si>
  <si>
    <t>SANDAL FLAT Y-GIRL TSS15:WHITE:40</t>
  </si>
  <si>
    <t>TSS15-PK</t>
  </si>
  <si>
    <t>SANDAL FLAT Y-GIRL TSS15:PASTEL PINK:36</t>
  </si>
  <si>
    <t>SANDAL FLAT Y-GIRL TSS15:PASTEL PINK:37</t>
  </si>
  <si>
    <t>SANDAL FLAT Y-GIRL TSS15:PASTEL PINK:38</t>
  </si>
  <si>
    <t>SANDAL FLAT Y-GIRL TSS15:PASTEL PINK:39</t>
  </si>
  <si>
    <t>SANDAL FLAT Y-GIRL TSS15:PASTEL PINK:40</t>
  </si>
  <si>
    <t>TSS21</t>
  </si>
  <si>
    <t>SLIPPER SANDALS TSUM TSUM TSS21:BLACK:36:SOLID:SLIPPER SANDALS</t>
  </si>
  <si>
    <t>SLIPPER SANDALS TSUM TSUM TSS21:BLACK:37:SOLID:SLIPPER SANDALS</t>
  </si>
  <si>
    <t>SLIPPER SANDALS TSUM TSUM TSS21:BLACK:38:SOLID:SLIPPER SANDALS</t>
  </si>
  <si>
    <t>SLIPPER SANDALS TSUM TSUM TSS21:BLACK:39:SOLID:SLIPPER SANDALS</t>
  </si>
  <si>
    <t>SLIPPER SANDALS TSUM TSUM TSS21:BLACK:40:SOLID:SLIPPER SANDALS</t>
  </si>
  <si>
    <t>MKBAS13</t>
  </si>
  <si>
    <t>SLIPPER SANDALS MICKEY MKBAS13:BROWN SUGAR:36:SOLID:SLIPPER SANDALS</t>
  </si>
  <si>
    <t>SLIPPER SANDALS MICKEY MKBAS13:BROWN SUGAR:37:SOLID:SLIPPER SANDALS</t>
  </si>
  <si>
    <t>SLIPPER SANDALS MICKEY MKBAS13:BROWN SUGAR:38:SOLID:SLIPPER SANDALS</t>
  </si>
  <si>
    <t>SLIPPER SANDALS MICKEY MKBAS13:BROWN SUGAR:39:SOLID:SLIPPER SANDALS</t>
  </si>
  <si>
    <t>SLIPPER SANDALS MICKEY MKBAS13:BROWN SUGAR:40:SOLID:SLIPPER SANDALS</t>
  </si>
  <si>
    <t>SS05</t>
  </si>
  <si>
    <t>SLINGBACK SANDALS MINNIE SS05:WHITE:36:PRINT:SLINGBACK SANDAL</t>
  </si>
  <si>
    <t>SLINGBACK SANDALS MINNIE SS05:WHITE:37:PRINT:SLINGBACK SANDAL</t>
  </si>
  <si>
    <t>SLINGBACK SANDALS MINNIE SS05:WHITE:38:PRINT:SLINGBACK SANDAL</t>
  </si>
  <si>
    <t>SLINGBACK SANDALS MINNIE SS05:WHITE:39:PRINT:SLINGBACK SANDAL</t>
  </si>
  <si>
    <t>SLINGBACK SANDALS MINNIE SS05:WHITE:40:PRINT:SLINGBACK SANDAL</t>
  </si>
  <si>
    <t>SLINGBACK SANDALS MINNIE SS05:PASTEL PINK:36:PRINT:SLINGBACK SANDAL</t>
  </si>
  <si>
    <t>SLINGBACK SANDALS MINNIE SS05:PASTEL PINK:37:PRINT:SLINGBACK SANDAL</t>
  </si>
  <si>
    <t>SLINGBACK SANDALS MINNIE SS05:PASTEL PINK:38:PRINT:SLINGBACK SANDAL</t>
  </si>
  <si>
    <t>SLINGBACK SANDALS MINNIE SS05:PASTEL PINK:39:PRINT:SLINGBACK SANDAL</t>
  </si>
  <si>
    <t>SLINGBACK SANDALS MINNIE SS05:PASTEL PINK:40:PRINT:SLINGBACK SANDAL</t>
  </si>
  <si>
    <t>TSS14</t>
  </si>
  <si>
    <t>SLIPPER SANDALS TSUM TSUM TSS14:BLACK:36:SOLID:SLIPPER SANDALS</t>
  </si>
  <si>
    <t>SLIPPER SANDALS TSUM TSUM TSS14:BLACK:37:SOLID:SLIPPER SANDALS</t>
  </si>
  <si>
    <t>SLIPPER SANDALS TSUM TSUM TSS14:BLACK:38:SOLID:SLIPPER SANDALS</t>
  </si>
  <si>
    <t>SLIPPER SANDALS TSUM TSUM TSS14:BLACK:39:SOLID:SLIPPER SANDALS</t>
  </si>
  <si>
    <t>SLIPPER SANDALS TSUM TSUM TSS14:BLACK:40:SOLID:SLIPPER SANDALS</t>
  </si>
  <si>
    <t>SLIPPER SANDALS TSUM TSUM TSS14:PASTEL PINK:36:SOLID:SLIPPER SANDALS</t>
  </si>
  <si>
    <t>SLIPPER SANDALS TSUM TSUM TSS14:PASTEL PINK:37:SOLID:SLIPPER SANDALS</t>
  </si>
  <si>
    <t>SLIPPER SANDALS TSUM TSUM TSS14:PASTEL PINK:38:SOLID:SLIPPER SANDALS</t>
  </si>
  <si>
    <t>SLIPPER SANDALS TSUM TSUM TSS14:PASTEL PINK:39:SOLID:SLIPPER SANDALS</t>
  </si>
  <si>
    <t>SLIPPER SANDALS TSUM TSUM TSS14:PASTEL PINK:40:SOLID:SLIPPER SANDALS</t>
  </si>
  <si>
    <t>MNBAS12</t>
  </si>
  <si>
    <t>FLIP FLOPS MINNIE MNBAS12:BLACK:36:SOLID:FLIP FLOPS</t>
  </si>
  <si>
    <t>FLIP FLOPS MINNIE MNBAS12:BLACK:37:SOLID:FLIP FLOPS</t>
  </si>
  <si>
    <t>FLIP FLOPS MINNIE MNBAS12:BLACK:38:SOLID:FLIP FLOPS</t>
  </si>
  <si>
    <t>FLIP FLOPS MINNIE MNBAS12:BLACK:39:SOLID:FLIP FLOPS</t>
  </si>
  <si>
    <t>FLIP FLOPS MINNIE MNBAS12:BLACK:40:SOLID:FLIP FLOPS</t>
  </si>
  <si>
    <t>FLIP FLOPS MINNIE MNBAS12:PASTEL PINK:36:SOLID:FLIP FLOPS</t>
  </si>
  <si>
    <t>FLIP FLOPS MINNIE MNBAS12:PASTEL PINK:37:SOLID:FLIP FLOPS</t>
  </si>
  <si>
    <t>FLIP FLOPS MINNIE MNBAS12:PASTEL PINK:38:SOLID:FLIP FLOPS</t>
  </si>
  <si>
    <t>FLIP FLOPS MINNIE MNBAS12:PASTEL PINK:39:SOLID:FLIP FLOPS</t>
  </si>
  <si>
    <t>FLIP FLOPS MINNIE MNBAS12:PASTEL PINK:40:SOLID:FLIP FLOPS</t>
  </si>
  <si>
    <t>MNBAS11</t>
  </si>
  <si>
    <t>SLIPPER SANDALS MINNIE MNBAS11:BLACK:36:SOLID:SLIPPER SANDALS</t>
  </si>
  <si>
    <t>SLIPPER SANDALS MINNIE MNBAS11:BLACK:37:SOLID:SLIPPER SANDALS</t>
  </si>
  <si>
    <t>SLIPPER SANDALS MINNIE MNBAS11:BLACK:38:SOLID:SLIPPER SANDALS</t>
  </si>
  <si>
    <t>SLIPPER SANDALS MINNIE MNBAS11:BLACK:39:SOLID:SLIPPER SANDALS</t>
  </si>
  <si>
    <t>MKBAS15</t>
  </si>
  <si>
    <t>SLIPPER SANDALS MINNIE MKBAS15:BLACK:36:SOLID:SLIPPER SANDALS</t>
  </si>
  <si>
    <t>SLIPPER SANDALS MINNIE MKBAS15:BLACK:37:SOLID:SLIPPER SANDALS</t>
  </si>
  <si>
    <t>SLIPPER SANDALS MINNIE MKBAS15:BLACK:38:SOLID:SLIPPER SANDALS</t>
  </si>
  <si>
    <t>SLIPPER SANDALS MINNIE MKBAS15:BLACK:39:SOLID:SLIPPER SANDALS</t>
  </si>
  <si>
    <t>SLIPPER SANDALS MINNIE MKBAS15:BLACK:40:SOLID:SLIPPER SANDALS</t>
  </si>
  <si>
    <t>SLIPPER SANDALS MINNIE MKBAS15:PASTEL PINK:36:SOLID:SLIPPER SANDALS</t>
  </si>
  <si>
    <t>SLIPPER SANDALS MINNIE MKBAS15:PASTEL PINK:37:SOLID:SLIPPER SANDALS</t>
  </si>
  <si>
    <t>SLIPPER SANDALS MINNIE MKBAS15:PASTEL PINK:38:SOLID:SLIPPER SANDALS</t>
  </si>
  <si>
    <t>SLIPPER SANDALS MINNIE MKBAS15:PASTEL PINK:39:SOLID:SLIPPER SANDALS</t>
  </si>
  <si>
    <t>SLIPPER SANDALS MINNIE MKBAS15:PASTEL PINK:40:SOLID:SLIPPER SANDALS</t>
  </si>
  <si>
    <t>MKBAS18</t>
  </si>
  <si>
    <t>SLIPPER SANDALS MICKEY MKBAS18:BLACK:36:SOLID:SLIPPER SANDALS</t>
  </si>
  <si>
    <t>SLIPPER SANDALS MICKEY MKBAS18:BLACK:37:SOLID:SLIPPER SANDALS</t>
  </si>
  <si>
    <t>SLIPPER SANDALS MICKEY MKBAS18:BLACK:38:SOLID:SLIPPER SANDALS</t>
  </si>
  <si>
    <t>SLIPPER SANDALS MICKEY MKBAS18:BLACK:39:SOLID:SLIPPER SANDALS</t>
  </si>
  <si>
    <t>SLIPPER SANDALS MICKEY MKBAS18:BLACK:40:SOLID:SLIPPER SANDALS</t>
  </si>
  <si>
    <t>SLIPPER SANDALS MICKEY MKBAS18:PASTEL PINK:36:SOLID:SLIPPER SANDALS</t>
  </si>
  <si>
    <t>SLIPPER SANDALS MICKEY MKBAS18:PASTEL PINK:37:SOLID:SLIPPER SANDALS</t>
  </si>
  <si>
    <t>SLIPPER SANDALS MICKEY MKBAS18:PASTEL PINK:38:SOLID:SLIPPER SANDALS</t>
  </si>
  <si>
    <t>SLIPPER SANDALS MICKEY MKBAS18:PASTEL PINK:39:SOLID:SLIPPER SANDALS</t>
  </si>
  <si>
    <t>SLIPPER SANDALS MICKEY MKBAS18:PASTEL PINK:40:SOLID:SLIPPER SANDALS</t>
  </si>
  <si>
    <t>SLIPPER SANDALS MINNIE MNBAS10:BLACK:36:SOLID:SLIPPER SANDALS</t>
  </si>
  <si>
    <t>SLIPPER SANDALS MINNIE MNBAS10:BLACK:37:SOLID:SLIPPER SANDALS</t>
  </si>
  <si>
    <t>SLIPPER SANDALS MINNIE MNBAS10:BLACK:38:SOLID:SLIPPER SANDALS</t>
  </si>
  <si>
    <t>SLIPPER SANDALS MINNIE MNBAS10:BLACK:39:SOLID:SLIPPER SANDALS</t>
  </si>
  <si>
    <t>SLIPPER SANDALS MINNIE MNBAS13:BLACK:36:SOLID:SLIPPER SANDALS</t>
  </si>
  <si>
    <t>SLIPPER SANDALS MINNIE MNBAS13:BLACK:37:SOLID:SLIPPER SANDALS</t>
  </si>
  <si>
    <t>SLIPPER SANDALS MINNIE MNBAS13:BLACK:38:SOLID:SLIPPER SANDALS</t>
  </si>
  <si>
    <t>SLIPPER SANDALS MINNIE MNBAS13:BLACK:39:SOLID:SLIPPER SANDALS</t>
  </si>
  <si>
    <t>SLIPPER SANDALS MINNIE MNBAS13:BLACK:40:SOLID:SLIPPER SANDALS</t>
  </si>
  <si>
    <t>TSS17</t>
  </si>
  <si>
    <t>SLIPPER SANDALS TSUM TSUM TSS17:BLACK:36:SOLID:SLIPPER SANDALS</t>
  </si>
  <si>
    <t>SLIPPER SANDALS TSUM TSUM TSS17:BLACK:37:SOLID:SLIPPER SANDALS</t>
  </si>
  <si>
    <t>SLIPPER SANDALS TSUM TSUM TSS17:BLACK:38:SOLID:SLIPPER SANDALS</t>
  </si>
  <si>
    <t>SLIPPER SANDALS TSUM TSUM TSS17:BLACK:39:SOLID:SLIPPER SANDALS</t>
  </si>
  <si>
    <t>SLIPPER SANDALS TSUM TSUM TSS17:BLACK:40:SOLID:SLIPPER SANDALS</t>
  </si>
  <si>
    <t>SLIPPER SANDALS TSUM TSUM TSS17:CLASSIC YELLOW:36:SOLID:SLIPPER SANDALS</t>
  </si>
  <si>
    <t>SLIPPER SANDALS TSUM TSUM TSS17:CLASSIC YELLOW:37:SOLID:SLIPPER SANDALS</t>
  </si>
  <si>
    <t>SLIPPER SANDALS TSUM TSUM TSS17:CLASSIC YELLOW:38:SOLID:SLIPPER SANDALS</t>
  </si>
  <si>
    <t>SLIPPER SANDALS TSUM TSUM TSS17:CLASSIC YELLOW:39:SOLID:SLIPPER SANDALS</t>
  </si>
  <si>
    <t>SLIPPER SANDALS TSUM TSUM TSS17:CLASSIC YELLOW:40:SOLID:SLIPPER SANDALS</t>
  </si>
  <si>
    <t>TSS15</t>
  </si>
  <si>
    <t>SLIPPER SANDALS TSUM TSUM TSS15:PASTEL PINK:36:SOLID:SLIPPER SANDALS</t>
  </si>
  <si>
    <t>SLIPPER SANDALS TSUM TSUM TSS15:PASTEL PINK:37:SOLID:SLIPPER SANDALS</t>
  </si>
  <si>
    <t>SLIPPER SANDALS TSUM TSUM TSS15:PASTEL PINK:38:SOLID:SLIPPER SANDALS</t>
  </si>
  <si>
    <t>SLIPPER SANDALS TSUM TSUM TSS15:PASTEL PINK:39:SOLID:SLIPPER SANDALS</t>
  </si>
  <si>
    <t>SLIPPER SANDALS TSUM TSUM TSS15:PASTEL PINK:40:SOLID:SLIPPER SANDALS</t>
  </si>
  <si>
    <t>TSSBAS24</t>
  </si>
  <si>
    <t>SLIPPER SANDALS TSUM TSUM TSSBAS24:WHITE:36:SOLID:SLIPPER SANDALS</t>
  </si>
  <si>
    <t>SLIPPER SANDALS TSUM TSUM TSSBAS24:WHITE:37:SOLID:SLIPPER SANDALS</t>
  </si>
  <si>
    <t>SLIPPER SANDALS TSUM TSUM TSSBAS24:WHITE:38:SOLID:SLIPPER SANDALS</t>
  </si>
  <si>
    <t>SLIPPER SANDALS TSUM TSUM TSSBAS24:WHITE:39:SOLID:SLIPPER SANDALS</t>
  </si>
  <si>
    <t>SLIPPER SANDALS TSUM TSUM TSSBAS24:WHITE:40:SOLID:SLIPPER SANDALS</t>
  </si>
  <si>
    <t>SLIPPER SANDALS TSUM TSUM TSSBAS24:PASTEL PINK:36:SOLID:SLIPPER SANDALS</t>
  </si>
  <si>
    <t>SLIPPER SANDALS TSUM TSUM TSSBAS24:PASTEL PINK:37:SOLID:SLIPPER SANDALS</t>
  </si>
  <si>
    <t>SLIPPER SANDALS TSUM TSUM TSSBAS24:PASTEL PINK:38:SOLID:SLIPPER SANDALS</t>
  </si>
  <si>
    <t>SLIPPER SANDALS TSUM TSUM TSSBAS24:PASTEL PINK:39:SOLID:SLIPPER SANDALS</t>
  </si>
  <si>
    <t>SLIPPER SANDALS TSUM TSUM TSSBAS24:PASTEL PINK:40:SOLID:SLIPPER SANDALS</t>
  </si>
  <si>
    <t>MKBASQ4415</t>
  </si>
  <si>
    <t>FLIP FLOPS MICKEY MKBASQ4415:WHITE:36:SOLID:FLIP FLOPS</t>
  </si>
  <si>
    <t>FLIP FLOPS MICKEY MKBASQ4415:WHITE:37:SOLID:FLIP FLOPS</t>
  </si>
  <si>
    <t>FLIP FLOPS MICKEY MKBASQ4415:WHITE:38:SOLID:FLIP FLOPS</t>
  </si>
  <si>
    <t>FLIP FLOPS MICKEY MKBASQ4415:WHITE:39:SOLID:FLIP FLOPS</t>
  </si>
  <si>
    <t>FLIP FLOPS MICKEY MKBASQ4415:WHITE:40:SOLID:FLIP FLOPS</t>
  </si>
  <si>
    <t>SLIPPER SANDALS TSUM TSUM TSS15:BLACK:36:SOLID:SLIPPER SANDALS</t>
  </si>
  <si>
    <t>SLIPPER SANDALS TSUM TSUM TSS15:BLACK:37:SOLID:SLIPPER SANDALS</t>
  </si>
  <si>
    <t>SLIPPER SANDALS TSUM TSUM TSS15:BLACK:38:SOLID:SLIPPER SANDALS</t>
  </si>
  <si>
    <t>SLIPPER SANDALS TSUM TSUM TSS15:BLACK:39:SOLID:SLIPPER SANDALS</t>
  </si>
  <si>
    <t>SLIPPER SANDALS TSUM TSUM TSS15:BLACK:40:SOLID:SLIPPER SANDALS</t>
  </si>
  <si>
    <t>SLIPPER SANDALS TSUM TSUM TSS15:WHITE:36:SOLID:SLIPPER SANDALS</t>
  </si>
  <si>
    <t>SLIPPER SANDALS TSUM TSUM TSS15:WHITE:37:SOLID:SLIPPER SANDALS</t>
  </si>
  <si>
    <t>SLIPPER SANDALS TSUM TSUM TSS15:WHITE:38:SOLID:SLIPPER SANDALS</t>
  </si>
  <si>
    <t>SLIPPER SANDALS TSUM TSUM TSS15:WHITE:39:SOLID:SLIPPER SANDALS</t>
  </si>
  <si>
    <t>SLIPPER SANDALS TSUM TSUM TSS15:WHITE:40:SOLID:SLIPPER SANDALS</t>
  </si>
  <si>
    <t>DSBASQ401</t>
  </si>
  <si>
    <t>BALLERINAS MICKY AND MINNIE DSBASQ401:PASTEL PINK:36:SOLID:BALLERINA</t>
  </si>
  <si>
    <t>BALLERINAS MICKY AND MINNIE DSBASQ401:PASTEL PINK:37:SOLID:BALLERINA</t>
  </si>
  <si>
    <t>BALLERINAS MICKY AND MINNIE DSBASQ401:PASTEL PINK:38:SOLID:BALLERINA</t>
  </si>
  <si>
    <t>BALLERINAS MICKY AND MINNIE DSBASQ401:PASTEL PINK:39:SOLID:BALLERINA</t>
  </si>
  <si>
    <t>BALLERINAS MICKY AND MINNIE DSBASQ401:PASTEL PINK:40:SOLID:BALLERINA</t>
  </si>
  <si>
    <t>BALLERINAS MICKY AND MINNIE DSBASQ401:KHAKI:36:SOLID:BALLERINA</t>
  </si>
  <si>
    <t>BALLERINAS MICKY AND MINNIE DSBASQ401:KHAKI:37:SOLID:BALLERINA</t>
  </si>
  <si>
    <t>BALLERINAS MICKY AND MINNIE DSBASQ401:KHAKI:38:SOLID:BALLERINA</t>
  </si>
  <si>
    <t>BALLERINAS MICKY AND MINNIE DSBASQ401:KHAKI:39:SOLID:BALLERINA</t>
  </si>
  <si>
    <t>BALLERINAS MICKY AND MINNIE DSBASQ401:KHAKI:40:SOLID:BALLERINA</t>
  </si>
  <si>
    <t>MKARB30</t>
  </si>
  <si>
    <t>SNEAKERS MICKEY MKARB30:WHITE:36:SOLID:SNEAKERS</t>
  </si>
  <si>
    <t>SNEAKERS MICKEY MKARB30:WHITE:37:SOLID:SNEAKERS</t>
  </si>
  <si>
    <t>SNEAKERS MICKEY MKARB30:WHITE:38:SOLID:SNEAKERS</t>
  </si>
  <si>
    <t>SNEAKERS MICKEY MKARB30:WHITE:39:SOLID:SNEAKERS</t>
  </si>
  <si>
    <t>SNEAKERS MICKEY MKARB30:WHITE:40:SOLID:SNEAKERS</t>
  </si>
  <si>
    <t>MKARB31</t>
  </si>
  <si>
    <t>SNEAKERS MICKEY MKARB31:WHITE:36:SOLID:SNEAKERS</t>
  </si>
  <si>
    <t>SNEAKERS MICKEY MKARB31:WHITE:37:SOLID:SNEAKERS</t>
  </si>
  <si>
    <t>SNEAKERS MICKEY MKARB31:WHITE:38:SOLID:SNEAKERS</t>
  </si>
  <si>
    <t>SNEAKERS MICKEY MKARB31:WHITE:39:SOLID:SNEAKERS</t>
  </si>
  <si>
    <t>SNEAKERS MICKEY MKARB31:WHITE:40:SOLID:SNEAKERS</t>
  </si>
  <si>
    <t>SANDAL FLAT Y-GIRL TSS15:WHITE:37</t>
  </si>
  <si>
    <t>SS05-P</t>
  </si>
  <si>
    <t>SANDAL SLING BACK SS05:WHITE:36</t>
  </si>
  <si>
    <t>SANDAL SLING BACK SS05:WHITE:37</t>
  </si>
  <si>
    <t>SANDAL SLING BACK SS05:WHITE:40</t>
  </si>
  <si>
    <t>SS05-PK</t>
  </si>
  <si>
    <t>SANDAL SLING BACK SS05:PASTEL PINK:37</t>
  </si>
  <si>
    <t>SANDAL SLING BACK SS05:PASTEL PINK:40</t>
  </si>
  <si>
    <t>TSS14-PK</t>
  </si>
  <si>
    <t>SANDAL SLIP ON TSS14:PASTEL PINK:36</t>
  </si>
  <si>
    <t>SANDAL SLIP ON TSS14:PASTEL PINK:39</t>
  </si>
  <si>
    <t>SANDAL SLIP ON TSS14:PASTEL PINK:40</t>
  </si>
  <si>
    <t>TSS17 - H</t>
  </si>
  <si>
    <t>SANDAL FLAT Y-GIRL - TSS17:BLACK:36</t>
  </si>
  <si>
    <t>SANDAL FLAT Y-GIRL - TSS17:BLACK:37</t>
  </si>
  <si>
    <t>SANDAL FLAT Y-GIRL - TSS17:BLACK:39</t>
  </si>
  <si>
    <t>SANDAL FLAT Y-GIRL - TSS17:BLACK:40</t>
  </si>
  <si>
    <t>SLIPPER SANDALS MINNIE MNBAS11:BLACK:40:SOLID:SLIPPER SANDALS</t>
  </si>
  <si>
    <t>DS16</t>
  </si>
  <si>
    <t>SNEAKERS MICKEY DS16:PASTEL PINK:36:SOLID:SNEAKERS</t>
  </si>
  <si>
    <t>SNEAKERS MICKEY DS16:PASTEL PINK:37:SOLID:SNEAKERS</t>
  </si>
  <si>
    <t>SNEAKERS MICKEY DS16:PASTEL PINK:38:SOLID:SNEAKERS</t>
  </si>
  <si>
    <t>SNEAKERS MICKEY DS16:PASTEL PINK:39:SOLID:SNEAKERS</t>
  </si>
  <si>
    <t>SNEAKERS MICKEY DS16:PASTEL PINK:40:SOLID:SNEAKERS</t>
  </si>
  <si>
    <t>D'ORSAY MICKEY MKBAS17:BLACK:40:SOLID:D'ORSAY</t>
  </si>
  <si>
    <t>D'ORSAY MICKEY MKBAS17:BLACK:36:SOLID:D'ORSAY</t>
  </si>
  <si>
    <t>D'ORSAY MICKEY MKBAS17:BLACK:39:SOLID:D'ORSAY</t>
  </si>
  <si>
    <t>D'ORSAY MICKEY MKBAS17:BLACK:37:SOLID:D'ORSAY</t>
  </si>
  <si>
    <t>D'ORSAY MICKEY MKBAS17:BLACK:38:SOLID:D'ORSAY</t>
  </si>
  <si>
    <t>SLIPPER SANDALS TSUM TSUM TSS21:PASTEL PINK:38:SOLID:SLIPPER SANDALS</t>
  </si>
  <si>
    <t>SLIPPER SANDALS TSUM TSUM TSS21:WHITE:37:SOLID:SLIPPER SANDALS</t>
  </si>
  <si>
    <t>SLIPPER SANDALS TSUM TSUM TSS21:WHITE:40:SOLID:SLIPPER SANDALS</t>
  </si>
  <si>
    <t>SLIPPER SANDALS TSUM TSUM TSS21:PASTEL PINK:39:SOLID:SLIPPER SANDALS</t>
  </si>
  <si>
    <t>SLIPPER SANDALS TSUM TSUM TSS21:PASTEL PINK:40:SOLID:SLIPPER SANDALS</t>
  </si>
  <si>
    <t>SLIPPER SANDALS TSUM TSUM TSS21:PASTEL PINK:37:SOLID:SLIPPER SANDALS</t>
  </si>
  <si>
    <t>SLIPPER SANDALS TSUM TSUM TSS21:WHITE:38:SOLID:SLIPPER SANDALS</t>
  </si>
  <si>
    <t>SLIPPER SANDALS TSUM TSUM TSS21:WHITE:36:SOLID:SLIPPER SANDALS</t>
  </si>
  <si>
    <t>SLIPPER SANDALS TSUM TSUM TSS21:PASTEL PINK:36:SOLID:SLIPPER SANDALS</t>
  </si>
  <si>
    <t>SLIPPER SANDALS TSUM TSUM TSS21:WHITE:39:SOLID:SLIPPER SANDALS</t>
  </si>
  <si>
    <t>MNBAS45</t>
  </si>
  <si>
    <t>SLIPPER SANDALS MINNIE MNBAS45:MUSTARD:39:SOLID:SLIPPER SANDALS</t>
  </si>
  <si>
    <t>SLIPPER SANDALS MINNIE MNBAS45:MUSTARD:37:SOLID:SLIPPER SANDALS</t>
  </si>
  <si>
    <t>SLIPPER SANDALS MINNIE MNBAS45:MAROON:38:SOLID:SLIPPER SANDALS</t>
  </si>
  <si>
    <t>SLIPPER SANDALS MINNIE MNBAS45:MUSTARD:36:SOLID:SLIPPER SANDALS</t>
  </si>
  <si>
    <t>SLIPPER SANDALS MINNIE MNBAS45:MAROON:39:SOLID:SLIPPER SANDALS</t>
  </si>
  <si>
    <t>SLIPPER SANDALS MINNIE MNBAS45:MUSTARD:38:SOLID:SLIPPER SANDALS</t>
  </si>
  <si>
    <t>SLIPPER SANDALS MINNIE MNBAS45:MAROON:40:SOLID:SLIPPER SANDALS</t>
  </si>
  <si>
    <t>SLIPPER SANDALS MINNIE MNBAS45:MUSTARD:40:SOLID:SLIPPER SANDALS</t>
  </si>
  <si>
    <t>SLIPPER SANDALS MINNIE MNBAS45:MAROON:36:SOLID:SLIPPER SANDALS</t>
  </si>
  <si>
    <t>SLIPPER SANDALS MINNIE MNBAS45:MAROON:37:SOLID:SLIPPER SANDALS</t>
  </si>
  <si>
    <t>MNBASQ4418</t>
  </si>
  <si>
    <t>SLIPPER SANDALS MINNIE MNBASQ4418:PASTEL PINK:36:SOLID:SLIPPER SANDALS</t>
  </si>
  <si>
    <t>SLIPPER SANDALS MINNIE MNBASQ4418:BLACK:38:SOLID:SLIPPER SANDALS</t>
  </si>
  <si>
    <t>SLIPPER SANDALS MINNIE MNBASQ4418:BLACK:36:SOLID:SLIPPER SANDALS</t>
  </si>
  <si>
    <t>SLIPPER SANDALS MINNIE MNBASQ4418:BLACK:37:SOLID:SLIPPER SANDALS</t>
  </si>
  <si>
    <t>SLIPPER SANDALS MINNIE MNBASQ4418:PASTEL PINK:39:SOLID:SLIPPER SANDALS</t>
  </si>
  <si>
    <t>SLIPPER SANDALS MINNIE MNBASQ4418:BLACK:39:SOLID:SLIPPER SANDALS</t>
  </si>
  <si>
    <t>SLIPPER SANDALS MINNIE MNBASQ4418:PASTEL PINK:38:SOLID:SLIPPER SANDALS</t>
  </si>
  <si>
    <t>SLIPPER SANDALS MINNIE MNBASQ4418:PASTEL PINK:37:SOLID:SLIPPER SANDALS</t>
  </si>
  <si>
    <t>FLIP FLOPS MICKEY MKBASQ4415:BLACK:38:SOLID:FLIP FLOPS</t>
  </si>
  <si>
    <t>FLIP FLOPS MICKEY MKBASQ4415:BLACK:40:SOLID:FLIP FLOPS</t>
  </si>
  <si>
    <t>FLIP FLOPS MICKEY MKBASQ4415:BLACK:37:SOLID:FLIP FLOPS</t>
  </si>
  <si>
    <t>FLIP FLOPS MICKEY MKBASQ4415:BLACK:36:SOLID:FLIP FLOPS</t>
  </si>
  <si>
    <t>FLIP FLOPS MICKEY MKBASQ4415:BLACK:39:SOLID:FLIP FLOPS</t>
  </si>
  <si>
    <t>MKTD01-K</t>
  </si>
  <si>
    <t>SLIPPER SANDALS MINNIE MKTD01-K:WHITE:36:SOLID:SLIPPER SANDALS</t>
  </si>
  <si>
    <t>SLIPPER SANDALS MINNIE MKTD01-K:WHITE:40:SOLID:SLIPPER SANDALS</t>
  </si>
  <si>
    <t>SLIPPER SANDALS MINNIEMKTD01-K:WHITE:38:SOLID:SLIPPER SANDALS</t>
  </si>
  <si>
    <t>SLIPPER SANDALS MINNIE MKTD01-K:WHITE:37:SOLID:SLIPPER SANDALS</t>
  </si>
  <si>
    <t>SLIPPER SANDALS MINNIE MKTD01-K:WHITE:39:SOLID:SLIPPER SANDALS</t>
  </si>
  <si>
    <t>SLIPPER SANDALS MINNIE MNBASQ4418:BLACK:40:SOLID:SLIPPER SANDALS</t>
  </si>
  <si>
    <t>SLIPPER SANDALS MINNIE MNBASQ4418:PASTEL PINK:40:SOLID:SLIPPER SANDALS</t>
  </si>
  <si>
    <t>MK224</t>
  </si>
  <si>
    <t>FLIP FLOPS MICKEY MK224:NAVY BLUE:M:SOLID:FLIP FLOPS</t>
  </si>
  <si>
    <t>FLIP FLOPS MICKEY MK224:NAVY BLUE:L:SOLID:FLIP FLOPS</t>
  </si>
  <si>
    <t>FLIP FLOPS MICKEY MK224:MAROON:S:SOLID:FLIP FLOPS</t>
  </si>
  <si>
    <t>FLIP FLOPS MICKEY MK224:NAVY BLUE:XL:SOLID:FLIP FLOPS</t>
  </si>
  <si>
    <t>FLIP FLOPS MICKEY MK224:NAVY BLUE:S:SOLID:FLIP FLOPS</t>
  </si>
  <si>
    <t>FLIP FLOPS MICKEY MK224:MAROON:M:SOLID:FLIP FLOPS</t>
  </si>
  <si>
    <t>FLIP FLOPS MICKEY MK224:MAROON:L:SOLID:FLIP FLOPS</t>
  </si>
  <si>
    <t>FLIP FLOPS MICKEY MK224:MAROON:XL:SOLID:FLIP FLOPS</t>
  </si>
  <si>
    <t>MNTD02</t>
  </si>
  <si>
    <t>SLIPPER SANDALS MINNIE MNTD02:PASTEL PINK:36:SOLID:SLIPPER SANDALS</t>
  </si>
  <si>
    <t>SLIPPER SANDALS MINNIE MNTD02:PASTEL PINK:37:SOLID:SLIPPER SANDALS</t>
  </si>
  <si>
    <t>SLIPPER SANDALS MINNIE MNTD02:PASTEL PINK:38:SOLID:SLIPPER SANDALS</t>
  </si>
  <si>
    <t>SLIPPER SANDALS MINNIE MNTD02:PASTEL PINK:39:SOLID:SLIPPER SANDALS</t>
  </si>
  <si>
    <t>SLIPPER SANDALS MINNIE MNTD02:PASTEL PINK:40:SOLID:SLIPPER SANDALS</t>
  </si>
  <si>
    <t>MNBAS30</t>
  </si>
  <si>
    <t>SLIPPER SANDALS MINNIE MNBAS30:BLACK:38:SOLID:SLIPPER SANDALS</t>
  </si>
  <si>
    <t>SLIPPER SANDALS MINNIE MNBAS30:WHITE:36:SOLID:SLIPPER SANDALS</t>
  </si>
  <si>
    <t>SLIPPER SANDALS MINNIE MNBAS30:WHITE:37:SOLID:SLIPPER SANDALS</t>
  </si>
  <si>
    <t>SLIPPER SANDALS MINNIE MNBAS30:WHITE:38:SOLID:SLIPPER SANDALS</t>
  </si>
  <si>
    <t>SLIPPER SANDALS MINNIE MNBAS30:WHITE:40:SOLID:SLIPPER SANDALS</t>
  </si>
  <si>
    <t>SLIPPER SANDALS MINNIE MNBAS30:BLACK:36:SOLID:SLIPPER SANDALS</t>
  </si>
  <si>
    <t>SLIPPER SANDALS MINNIE MNBAS30:WHITE:39:SOLID:SLIPPER SANDALS</t>
  </si>
  <si>
    <t>SLIPPER SANDALS MINNIE MNBAS30:BLACK:37:SOLID:SLIPPER SANDALS</t>
  </si>
  <si>
    <t>SLIPPER SANDALS MINNIE MNBAS30:BLACK:39:SOLID:SLIPPER SANDALS</t>
  </si>
  <si>
    <t>SLIPPER SANDALS MINNIE MNBAS30:BLACK:40:SOLID:SLIPPER SANDALS</t>
  </si>
  <si>
    <t>MNBAS29</t>
  </si>
  <si>
    <t>SLIPPER SANDALS MINNIE MNBAS29:BLACK:36:SOLID:SLIPPER SANDALS</t>
  </si>
  <si>
    <t>SLIPPER SANDALS MINNIE MNBAS29:BLACK:39:SOLID:SLIPPER SANDALS</t>
  </si>
  <si>
    <t>SLIPPER SANDALS MINNIE MNBAS29:BLACK:37:SOLID:SLIPPER SANDALS</t>
  </si>
  <si>
    <t>SLIPPER SANDALS MINNIE MNBAS29:BLACK:40:SOLID:SLIPPER SANDALS</t>
  </si>
  <si>
    <t>SLIPPER SANDALS MINNIE MNBAS29:MAROON:36:SOLID:SLIPPER SANDALS</t>
  </si>
  <si>
    <t>SLIPPER SANDALS MINNIE MNBAS29:MAROON:38:SOLID:SLIPPER SANDALS</t>
  </si>
  <si>
    <t>SLIPPER SANDALS MINNIE MNBAS29:MAROON:39:SOLID:SLIPPER SANDALS</t>
  </si>
  <si>
    <t>SLIPPER SANDALS MINNIE MNBAS29:BLACK:38:SOLID:SLIPPER SANDALS</t>
  </si>
  <si>
    <t>SLIPPER SANDALS MINNIE MNBAS29:MAROON:37:SOLID:SLIPPER SANDALS</t>
  </si>
  <si>
    <t>SLIPPER SANDALS MINNIE MNBAS29:MAROON:40:SOLID:SLIPPER SANDALS</t>
  </si>
  <si>
    <t>MKBAS30</t>
  </si>
  <si>
    <t>SLIPPER SANDALS MICKEY MKBAS30:PASTEL PINK:38:SOLID:SLIPPER SANDALS</t>
  </si>
  <si>
    <t>SLIPPER SANDALS MICKEY MKBAS30:PASTEL PINK:36:SOLID:SLIPPER SANDALS</t>
  </si>
  <si>
    <t>SLIPPER SANDALS MICKEY MKBAS30:PASTEL PURPLE:38:SOLID:SLIPPER SANDALS</t>
  </si>
  <si>
    <t>SLIPPER SANDALS MICKEY MKBAS30:PASTEL PINK:37:SOLID:SLIPPER SANDALS</t>
  </si>
  <si>
    <t>SLIPPER SANDALS MICKEY MKBAS30:PASTEL PURPLE:37:SOLID:SLIPPER SANDALS</t>
  </si>
  <si>
    <t>SLIPPER SANDALS MICKEY MKBAS30:PASTEL PURPLE:40:SOLID:SLIPPER SANDALS</t>
  </si>
  <si>
    <t>SLIPPER SANDALS MICKEY MKBAS30:PASTEL PINK:39:SOLID:SLIPPER SANDALS</t>
  </si>
  <si>
    <t>SLIPPER SANDALS MICKEY MKBAS30:PASTEL PINK:40:SOLID:SLIPPER SANDALS</t>
  </si>
  <si>
    <t>SLIPPER SANDALS MICKEY MKBAS30:PASTEL PURPLE:36:SOLID:SLIPPER SANDALS</t>
  </si>
  <si>
    <t>SLIPPER SANDALS MICKEY MKBAS30:PASTEL PURPLE:39:SOLID:SLIPPER SANDALS</t>
  </si>
  <si>
    <t>MKBAS35</t>
  </si>
  <si>
    <t>SLIPPER SANDALS MICKEY MKBAS35:MUSTARD:39:SOLID:SLIPPER SANDALS</t>
  </si>
  <si>
    <t>SLIPPER SANDALS MICKEY MKBAS35:MUSTARD:38:SOLID:SLIPPER SANDALS</t>
  </si>
  <si>
    <t>SLIPPER SANDALS MICKEY MKBAS35:PASTEL PINK:36:SOLID:SLIPPER SANDALS</t>
  </si>
  <si>
    <t>MNBAS25</t>
  </si>
  <si>
    <t>FLIP FLOPS MINNIE MNBAS25:WHITE:38:SOLID:FLIP FLOPS</t>
  </si>
  <si>
    <t>SLIPPER SANDALS MICKEY MKBAS35:MUSTARD:37:SOLID:SLIPPER SANDALS</t>
  </si>
  <si>
    <t>SLIPPER SANDALS MICKEY MKBAS35:PASTEL PINK:40:SOLID:SLIPPER SANDALS</t>
  </si>
  <si>
    <t>SLIPPER SANDALS MICKEY MKBAS35:PASTEL PINK:38:SOLID:SLIPPER SANDALS</t>
  </si>
  <si>
    <t>SLIPPER SANDALS MICKEY MKBAS35:MUSTARD:36:SOLID:SLIPPER SANDALS</t>
  </si>
  <si>
    <t>SLIPPER SANDALS MICKEY MKBAS35:MUSTARD:40:SOLID:SLIPPER SANDALS</t>
  </si>
  <si>
    <t>SLIPPER SANDALS MICKEY MKBAS35:PASTEL PINK:37:SOLID:SLIPPER SANDALS</t>
  </si>
  <si>
    <t>SLIPPER SANDALS MICKEY MKBAS35:PASTEL PINK:39:SOLID:SLIPPER SANDALS</t>
  </si>
  <si>
    <t>MKBAS43</t>
  </si>
  <si>
    <t>SLIPPER SANDALS MICKEY MKBAS43:MUSTARD:36:SOLID:SLIPPER SANDALS</t>
  </si>
  <si>
    <t>SLIPPER SANDALS MICKEY MKBAS43:MUSTARD:39:SOLID:SLIPPER SANDALS</t>
  </si>
  <si>
    <t>SLIPPER SANDALS MICKEY MKBAS43:MUSTARD:40:SOLID:SLIPPER SANDALS</t>
  </si>
  <si>
    <t>SLIPPER SANDALS MICKEY MKBAS43:MUSTARD:37:SOLID:SLIPPER SANDALS</t>
  </si>
  <si>
    <t>SLIPPER SANDALS MICKEY MKBAS43:MUSTARD:38:SOLID:SLIPPER SANDALS</t>
  </si>
  <si>
    <t>MNBAS19</t>
  </si>
  <si>
    <t>FLIP FLOPS MINNIE MNBAS19:PASTEL PINK:39:SOLID:FLIP FLOPS</t>
  </si>
  <si>
    <t>FLIP FLOPS MINNIE MNBAS19:WHITE:38:SOLID:FLIP FLOPS</t>
  </si>
  <si>
    <t>FLIP FLOPS MINNIE MNBAS19:WHITE:39:SOLID:FLIP FLOPS</t>
  </si>
  <si>
    <t>FLIP FLOPS MINNIE MNBAS19:PASTEL PINK:37:SOLID:FLIP FLOPS</t>
  </si>
  <si>
    <t>FLIP FLOPS MINNIE MNBAS19:PASTEL PINK:38:SOLID:FLIP FLOPS</t>
  </si>
  <si>
    <t>FLIP FLOPS MINNIE MNBAS19:PASTEL PINK:40:SOLID:FLIP FLOPS</t>
  </si>
  <si>
    <t>FLIP FLOPS MINNIE MNBAS19:WHITE:36:SOLID:FLIP FLOPS</t>
  </si>
  <si>
    <t>FLIP FLOPS MINNIE MNBAS19:WHITE:37:SOLID:FLIP FLOPS</t>
  </si>
  <si>
    <t>FLIP FLOPS MINNIE MNBAS19:WHITE:40:SOLID:FLIP FLOPS</t>
  </si>
  <si>
    <t>FLIP FLOPS MINNIE MNBAS19:PASTEL PINK:36:SOLID:FLIP FLOPS</t>
  </si>
  <si>
    <t>TSS49</t>
  </si>
  <si>
    <t>SLIPPER SANDALS TSUMTSUM TSS49:PASTEL PINK:40:SOLID:SLIPPER SANDALS</t>
  </si>
  <si>
    <t>SLIPPER SANDALS TSUMTSUM TSS49:BLACK:38:SOLID:SLIPPER SANDALS</t>
  </si>
  <si>
    <t>SLIPPER SANDALS TSUMTSUM TSS49:PASTEL PINK:37:SOLID:SLIPPER SANDALS</t>
  </si>
  <si>
    <t>SLIPPER SANDALS TSUMTSUM TSS49:BLACK:40:SOLID:SLIPPER SANDALS</t>
  </si>
  <si>
    <t>SLIPPER SANDALS TSUMTSUM TSS49:BLACK:37:SOLID:SLIPPER SANDALS</t>
  </si>
  <si>
    <t>SLIPPER SANDALS TSUMTSUM TSS49:BLACK:39:SOLID:SLIPPER SANDALS</t>
  </si>
  <si>
    <t>SLIPPER SANDALS TSUMTSUM TSS49:PASTEL PINK:36:SOLID:SLIPPER SANDALS</t>
  </si>
  <si>
    <t>SLIPPER SANDALS TSUMTSUM TSS49:PASTEL PINK:38:SOLID:SLIPPER SANDALS</t>
  </si>
  <si>
    <t>FLIP FLOPS MINNIE MNBAS25:WHITE:36:SOLID:FLIP FLOPS</t>
  </si>
  <si>
    <t>FLIP FLOPS MINNIE MNBAS25:BLACK:36:SOLID:FLIP FLOPS</t>
  </si>
  <si>
    <t>FLIP FLOPS MINNIE MNBAS25:WHITE:37:SOLID:FLIP FLOPS</t>
  </si>
  <si>
    <t>FLIP FLOPS MINNIE MNBAS25:BLACK:37:SOLID:FLIP FLOPS</t>
  </si>
  <si>
    <t>FLIP FLOPS MINNIE MNBAS25:BLACK:38:SOLID:FLIP FLOPS</t>
  </si>
  <si>
    <t>FLIP FLOPS MINNIE MNBAS25:WHITE:39:SOLID:FLIP FLOPS</t>
  </si>
  <si>
    <t>FLIP FLOPS MINNIE MNBAS25:WHITE:40:SOLID:FLIP FLOPS</t>
  </si>
  <si>
    <t>FLIP FLOPS MINNIE MNBAS25:BLACK:39:SOLID:FLIP FLOPS</t>
  </si>
  <si>
    <t>FLIP FLOPS MINNIE MNBAS25:BLACK:40:SOLID:FLIP FLOPS</t>
  </si>
  <si>
    <t>MNTD01</t>
  </si>
  <si>
    <t>SLINGBACK SANDALS MICKEY MNTD01:PASTEL PINK:39:SOLID:SLINGBACK SANDAL</t>
  </si>
  <si>
    <t>MNTD01-M</t>
  </si>
  <si>
    <t>SLIPPER SANDALS MINNIE MNTD01-M:BLACK:37:SOLID:SLIPPER SANDALS</t>
  </si>
  <si>
    <t>SLIPPER SANDALS MINNIE MNTD01-M:BLACK:39:SOLID:SLIPPER SANDALS</t>
  </si>
  <si>
    <t>SLINGBACK SANDALS MICKEY MNTD01:BLACK:38:SOLID:SLINGBACK SANDAL</t>
  </si>
  <si>
    <t>SLIPPER SANDALS MINNIE MNTD01-M:BLACK:36:SOLID:SLIPPER SANDALS</t>
  </si>
  <si>
    <t>SLIPPER SANDALS MINNIE MNTD01-M:BLACK:38:SOLID:SLIPPER SANDALS</t>
  </si>
  <si>
    <t>SLINGBACK SANDALS MICKEY MNTD01:PASTEL PINK:40:SOLID:SLINGBACK SANDAL</t>
  </si>
  <si>
    <t>SLINGBACK SANDALS MICKEY MNTD01:BLACK:36:SOLID:SLINGBACK SANDAL</t>
  </si>
  <si>
    <t>SLINGBACK SANDALS MICKEY MNTD01:BLACK:40:SOLID:SLINGBACK SANDAL</t>
  </si>
  <si>
    <t>SLINGBACK SANDALS MICKEY MNTD01:PASTEL PINK:36:SOLID:SLINGBACK SANDAL</t>
  </si>
  <si>
    <t>SLINGBACK SANDALS MICKEY MNTD01:BLACK:37:SOLID:SLINGBACK SANDAL</t>
  </si>
  <si>
    <t>SLINGBACK SANDALS MICKEY MNTD01:BLACK:39:SOLID:SLINGBACK SANDAL</t>
  </si>
  <si>
    <t>SLINGBACK SANDALS MICKEY MNTD01:PASTEL PINK:37:SOLID:SLINGBACK SANDAL</t>
  </si>
  <si>
    <t>SLINGBACK SANDALS MICKEY MNTD01:PASTEL PINK:38:SOLID:SLINGBACK SANDAL</t>
  </si>
  <si>
    <t>SLIPPER SANDALS MINNIE MNTD01-M:BLACK:40:SOLID:SLIPPER SANDALS</t>
  </si>
  <si>
    <t>MKBAS37</t>
  </si>
  <si>
    <t>SLINGBACK SANDALS MICKEY MKBAS37:WHITE:37:SOLID:SLINGBACK SANDAL</t>
  </si>
  <si>
    <t>SLINGBACK SANDALS MICKEY MKBAS37:WHITE:36:SOLID:SLINGBACK SANDAL</t>
  </si>
  <si>
    <t>SLINGBACK SANDALS MICKEY MKBAS37:WHITE:40:SOLID:SLINGBACK SANDAL</t>
  </si>
  <si>
    <t>SLINGBACK SANDALS MICKEY MKBAS37:PASTEL PINK:40:SOLID:SLINGBACK SANDAL</t>
  </si>
  <si>
    <t>SLINGBACK SANDALS MICKEY MKBAS37:WHITE:38:SOLID:SLINGBACK SANDAL</t>
  </si>
  <si>
    <t>SLINGBACK SANDALS MICKEY MKBAS37:PASTEL PINK:38:SOLID:SLINGBACK SANDAL</t>
  </si>
  <si>
    <t>SLINGBACK SANDALS MICKEY MKBAS37:WHITE:39:SOLID:SLINGBACK SANDAL</t>
  </si>
  <si>
    <t>SLINGBACK SANDALS MICKEY MKBAS37:PASTEL PINK:36:SOLID:SLINGBACK SANDAL</t>
  </si>
  <si>
    <t>SLINGBACK SANDALS MICKEY MKBAS37:PASTEL PINK:37:SOLID:SLINGBACK SANDAL</t>
  </si>
  <si>
    <t>SLINGBACK SANDALS MICKEY MKBAS37:PASTEL PINK:39:SOLID:SLINGBACK SANDAL</t>
  </si>
  <si>
    <t>MKTD02</t>
  </si>
  <si>
    <t>SLIPPER SANDALS MINNIE MKTD02:BLACK:36:SOLID:SLIPPER SANDALS</t>
  </si>
  <si>
    <t>SLIPPER SANDALS MINNIE MKTD02:BLACK:37:SOLID:SLIPPER SANDALS</t>
  </si>
  <si>
    <t>SLIPPER SANDALS MINNIE MKTD02:BLACK:38:SOLID:SLIPPER SANDALS</t>
  </si>
  <si>
    <t>SLIPPER SANDALS MINNIE MKTD02:BLACK:39:SOLID:SLIPPER SANDALS</t>
  </si>
  <si>
    <t>SLIPPER SANDALS MINNIE MKTD02:BLACK:40:SOLID:SLIPPER SANDALS</t>
  </si>
  <si>
    <t>MNBAS24</t>
  </si>
  <si>
    <t>SLIPPER SANDALS MINNIE MNBAS24:WHITE:36:SOLID:SLIPPER SANDALS</t>
  </si>
  <si>
    <t>SLIPPER SANDALS MINNIE MNBAS24:PASTEL PINK:37:SOLID:SLIPPER SANDALS</t>
  </si>
  <si>
    <t>SLIPPER SANDALS MINNIE MNBAS24:PASTEL PINK:39:SOLID:SLIPPER SANDALS</t>
  </si>
  <si>
    <t>SLIPPER SANDALS MINNIE MNBAS24:WHITE:38:SOLID:SLIPPER SANDALS</t>
  </si>
  <si>
    <t>SLIPPER SANDALS MINNIE MNBAS24:WHITE:40:SOLID:SLIPPER SANDALS</t>
  </si>
  <si>
    <t>SLIPPER SANDALS MINNIE MNBAS24:WHITE:39:SOLID:SLIPPER SANDALS</t>
  </si>
  <si>
    <t>SLIPPER SANDALS MINNIE MNBAS24:PASTEL PINK:36:SOLID:SLIPPER SANDALS</t>
  </si>
  <si>
    <t>SLIPPER SANDALS MINNIE MNBAS24:WHITE:37:SOLID:SLIPPER SANDALS</t>
  </si>
  <si>
    <t>SLIPPER SANDALS MINNIE MNBAS24:PASTEL PINK:38:SOLID:SLIPPER SANDALS</t>
  </si>
  <si>
    <t>SLIPPER SANDALS MINNIE MNBAS24:PASTEL PINK:40:SOLID:SLIPPER SANDALS</t>
  </si>
  <si>
    <t>DSBAS23</t>
  </si>
  <si>
    <t>SLIP ON MICKEY DSBAS23:WHITE:39:SOLID:SLIP ON</t>
  </si>
  <si>
    <t>SLIP ON MICKEY DSBAS23:WHITE:37:SOLID:SLIP ON</t>
  </si>
  <si>
    <t>SLIP ON MICKEY DSBAS23:WHITE:40:SOLID:SLIP ON</t>
  </si>
  <si>
    <t>SLIP ON MICKEY DSBAS23:WHITE:36:SOLID:SLIP ON</t>
  </si>
  <si>
    <t>SLIP ON MICKEY DSBAS23:WHITE:38:SOLID:SLIP ON</t>
  </si>
  <si>
    <t>DSBAS01</t>
  </si>
  <si>
    <t>SNEAKERS MICKEY MINNIE DSBAS01:BLACK:38:SOLID:SNEAKERS</t>
  </si>
  <si>
    <t>SNEAKERS MICKEY MINNIE DSBAS01:BLACK:39:SOLID:SNEAKERS</t>
  </si>
  <si>
    <t>SNEAKERS MICKEY MINNIE DSBAS01:BLACK:37:SOLID:SNEAKERS</t>
  </si>
  <si>
    <t>SNEAKERS MICKEY MINNIE DSBAS01:BLACK:40:SOLID:SNEAKERS</t>
  </si>
  <si>
    <t>SNEAKERS MICKEY MINNIE DSBAS01:BLACK:36:SOLID:SNEAKERS</t>
  </si>
  <si>
    <t>SNEAKERS MICKEY MINNIE DSBAS01:WHITE:39:SOLID:SNEAKERS</t>
  </si>
  <si>
    <t>SNEAKERS MICKEY MINNIE DSBAS01:WHITE:38:SOLID:SNEAKERS</t>
  </si>
  <si>
    <t>SNEAKERS MICKEY MINNIE DSBAS01:WHITE:37:SOLID:SNEAKERS</t>
  </si>
  <si>
    <t>SNEAKERS MICKEY MINNIE DSBAS01:WHITE:40:SOLID:SNEAKERS</t>
  </si>
  <si>
    <t>SNEAKERS MICKEY MINNIE DSBAS01:WHITE:36:SOLID:SNEAKERS</t>
  </si>
  <si>
    <t>MNARB65</t>
  </si>
  <si>
    <t>SNEAKERS MINNIE MNARB65:PASTEL PINK:36:SOLID:SNEAKERS</t>
  </si>
  <si>
    <t>SNEAKERS MINNIE MNARB65:KHAKI:38:SOLID:SNEAKERS</t>
  </si>
  <si>
    <t>SNEAKERS MINNIE MNARB65:PASTEL PINK:40:SOLID:SNEAKERS</t>
  </si>
  <si>
    <t>SNEAKERS MINNIE MNARB65:KHAKI:40:SOLID:SNEAKERS</t>
  </si>
  <si>
    <t>SNEAKERS MINNIE MNARB65:KHAKI:36:SOLID:SNEAKERS</t>
  </si>
  <si>
    <t>SNEAKERS MINNIE MNARB65:PASTEL PINK:39:SOLID:SNEAKERS</t>
  </si>
  <si>
    <t>SNEAKERS MINNIE MNARB65:KHAKI:39:SOLID:SNEAKERS</t>
  </si>
  <si>
    <t>SNEAKERS MINNIE MNARB65:PASTEL PINK:38:SOLID:SNEAKERS</t>
  </si>
  <si>
    <t>SNEAKERS MINNIE MNARB65:PASTEL PINK:37:SOLID:SNEAKERS</t>
  </si>
  <si>
    <t>MKBAS40</t>
  </si>
  <si>
    <t>SLIPPER SANDALS MICKEY MKBAS40:BLACK:37:SOLID:ANKLE STRAP SAND</t>
  </si>
  <si>
    <t>SLIPPER SANDALS MICKEY MKBAS40:WHITE:37:SOLID:ANKLE STRAP SAND</t>
  </si>
  <si>
    <t>SLIPPER SANDALS MICKEY MKBAS40:BLACK:40:SOLID:ANKLE STRAP SAND</t>
  </si>
  <si>
    <t>SLIPPER SANDALS MICKEY MKBAS40:WHITE:39:SOLID:ANKLE STRAP SAND</t>
  </si>
  <si>
    <t>SLIPPER SANDALS MICKEY MKBAS40:WHITE:36:SOLID:ANKLE STRAP SAND</t>
  </si>
  <si>
    <t>SLIPPER SANDALS MICKEY MKBAS40:BLACK:38:SOLID:ANKLE STRAP SAND</t>
  </si>
  <si>
    <t>SLIPPER SANDALS MICKEY MKBAS40:BLACK:36:SOLID:ANKLE STRAP SAND</t>
  </si>
  <si>
    <t>SLIPPER SANDALS MICKEY MKBAS40:WHITE:40:SOLID:ANKLE STRAP SAND</t>
  </si>
  <si>
    <t>SLIPPER SANDALS MICKEY MKBAS40:BLACK:39:SOLID:ANKLE STRAP SAND</t>
  </si>
  <si>
    <t>SLIPPER SANDALS MICKEY MKBAS40:WHITE:38:SOLID:ANKLE STRAP SAND</t>
  </si>
  <si>
    <t>TSS25</t>
  </si>
  <si>
    <t>SLIPPER SANDALS TSUMTSUM TSS25:WHITE:39:SOLID:SLIPPER SANDALS</t>
  </si>
  <si>
    <t>SLIPPER SANDALS TSUMTSUM TSS25:PASTEL PINK:36:SOLID:SLIPPER SANDALS</t>
  </si>
  <si>
    <t>SLIPPER SANDALS TSUMTSUM TSS25:PASTEL PINK:37:SOLID:SLIPPER SANDALS</t>
  </si>
  <si>
    <t>SLIPPER SANDALS TSUMTSUM TSS25:PASTEL PINK:39:SOLID:SLIPPER SANDALS</t>
  </si>
  <si>
    <t>SLIPPER SANDALS TSUMTSUM TSS25:PASTEL PINK:38:SOLID:SLIPPER SANDALS</t>
  </si>
  <si>
    <t>SLIPPER SANDALS TSUMTSUM TSS25:WHITE:40:SOLID:SLIPPER SANDALS</t>
  </si>
  <si>
    <t>SLIPPER SANDALS TSUMTSUM TSS25:WHITE:36:SOLID:SLIPPER SANDALS</t>
  </si>
  <si>
    <t>SLIPPER SANDALS TSUMTSUM TSS25:WHITE:38:SOLID:SLIPPER SANDALS</t>
  </si>
  <si>
    <t>SLIPPER SANDALS TSUMTSUM TSS25:PASTEL PINK:40:SOLID:SLIPPER SANDALS</t>
  </si>
  <si>
    <t>SLIPPER SANDALS TSUMTSUM TSS25:WHITE:37:SOLID:SLIPPER SANDALS</t>
  </si>
  <si>
    <t>MKBASQ423</t>
  </si>
  <si>
    <t>SLINGBACK SANDALS MICKEY MKBASQ423:WHITE:37:SOLID:SLINGBACK SANDA</t>
  </si>
  <si>
    <t>SLINGBACK SANDALS MICKEY MKBASQ423:WHITE:38:SOLID:SLINGBACK SANDA</t>
  </si>
  <si>
    <t>SLINGBACK SANDALS MICKEY MKBASQ423:WHITE:40:SOLID:SLINGBACK SANDA</t>
  </si>
  <si>
    <t>SLINGBACK SANDALS MICKEY MKBASQ423:PASTEL PINK:37:SOLID:SLINGBACK SANDA</t>
  </si>
  <si>
    <t>SLINGBACK SANDALS MICKEY MKBASQ423:PASTEL PINK:39:SOLID:SLINGBACK SANDA</t>
  </si>
  <si>
    <t>SLINGBACK SANDALS MICKEY MKBASQ423:WHITE:39:SOLID:SLINGBACK SANDA</t>
  </si>
  <si>
    <t>SLINGBACK SANDALS MICKEY MKBASQ423:PASTEL PINK:36:SOLID:SLINGBACK SANDA</t>
  </si>
  <si>
    <t>DSBAS10</t>
  </si>
  <si>
    <t>FLIP FLOPS MINNIE DSBAS10:BLACK:36:SOLID:FLIP FLOPS</t>
  </si>
  <si>
    <t>FLIP FLOPS MINNIE DSBAS10:BLACK:39:SOLID:FLIP FLOPS</t>
  </si>
  <si>
    <t>FLIP FLOPS MINNIE DSBAS10:BLACK:37:SOLID:FLIP FLOPS</t>
  </si>
  <si>
    <t>FLIP FLOPS MINNIE DSBAS10:BLACK:38:SOLID:FLIP FLOPS</t>
  </si>
  <si>
    <t>FLIP FLOPS MINNIE DSBAS10:BLACK:40:SOLID:FLIP FLOPS</t>
  </si>
  <si>
    <t>MKBAS42</t>
  </si>
  <si>
    <t>SLIPPER SANDALS MICKEY MKBAS42:LIGHT BLUE:39:SOLID:SLIPPER SANDALS</t>
  </si>
  <si>
    <t>SLIPPER SANDALS MICKEY MKBAS42:BLACK:37:SOLID:SLIPPER SANDALS</t>
  </si>
  <si>
    <t>SLIPPER SANDALS MICKEY MKBAS42:BLACK:36:SOLID:SLIPPER SANDALS</t>
  </si>
  <si>
    <t>SLIPPER SANDALS MICKEY MKBAS42:LIGHT BLUE:40:SOLID:SLIPPER SANDALS</t>
  </si>
  <si>
    <t>SLIPPER SANDALS MICKEY MKBAS42:BLACK:40:SOLID:SLIPPER SANDALS</t>
  </si>
  <si>
    <t>SLIPPER SANDALS MICKEY MKBAS42:LIGHT BLUE:38:SOLID:SLIPPER SANDALS</t>
  </si>
  <si>
    <t>SLIPPER SANDALS MICKEY MKBAS42:BLACK:39:SOLID:SLIPPER SANDALS</t>
  </si>
  <si>
    <t>SLIPPER SANDALS MICKEY MKBAS42:LIGHT BLUE:37:SOLID:SLIPPER SANDALS</t>
  </si>
  <si>
    <t>SLIPPER SANDALS MICKEY MKBAS42:LIGHT BLUE:36:SOLID:SLIPPER SANDALS</t>
  </si>
  <si>
    <t>SLIPPER SANDALS MICKEY MKBAS42:BLACK:38:SOLID:SLIPPER SANDALS</t>
  </si>
  <si>
    <t>MKBAS32</t>
  </si>
  <si>
    <t>SLIPPER SANDALS MINNIE MKBAS32:BLACK:39:SOLID:SLIPPER SANDALS</t>
  </si>
  <si>
    <t>SLIPPER SANDALS MINNIE MKBAS32:BLACK:37:SOLID:SLIPPER SANDALS</t>
  </si>
  <si>
    <t>SLIPPER SANDALS MINNIE MKBAS32:PASTEL PINK:37:SOLID:SLIPPER SANDALS</t>
  </si>
  <si>
    <t>SLIPPER SANDALS MINNIE MKBAS32:PASTEL PINK:36:SOLID:SLIPPER SANDALS</t>
  </si>
  <si>
    <t>SLIPPER SANDALS MINNIE MKBAS32:BLACK:40:SOLID:SLIPPER SANDALS</t>
  </si>
  <si>
    <t>SLIPPER SANDALS MINNIE MKBAS32:PASTEL PINK:39:SOLID:SLIPPER SANDALS</t>
  </si>
  <si>
    <t>SLIPPER SANDALS MINNIE MKBAS32:BLACK:36:SOLID:SLIPPER SANDALS</t>
  </si>
  <si>
    <t>SLIPPER SANDALS MINNIE MKBAS32:BLACK:38:SOLID:SLIPPER SANDALS</t>
  </si>
  <si>
    <t>SLIPPER SANDALS MINNIE MKBAS32:PASTEL PINK:40:SOLID:SLIPPER SANDALS</t>
  </si>
  <si>
    <t>SLIPPER SANDALS MINNIE MKBAS32:PASTEL PINK:38:SOLID:SLIPPER SANDALS</t>
  </si>
  <si>
    <t>MKBAS44</t>
  </si>
  <si>
    <t>FLIP FLOPS MICKEY MKBAS44:KHAKI:38:SOLID:FLIP FLOPS</t>
  </si>
  <si>
    <t>FLIP FLOPS MICKEY MKBAS44:KHAKI:39:SOLID:FLIP FLOPS</t>
  </si>
  <si>
    <t>FLIP FLOPS MICKEY MKBAS44:KHAKI:40:SOLID:FLIP FLOPS</t>
  </si>
  <si>
    <t>FLIP FLOPS MICKEY MKBAS44:KHAKI:36:SOLID:FLIP FLOPS</t>
  </si>
  <si>
    <t>FLIP FLOPS MICKEY MKBAS44:BLACK:36:SOLID:FLIP FLOPS</t>
  </si>
  <si>
    <t>FLIP FLOPS MICKEY MKBAS44:BLACK:38:SOLID:FLIP FLOPS</t>
  </si>
  <si>
    <t>FLIP FLOPS MICKEY MKBAS44:KHAKI:37:SOLID:FLIP FLOPS</t>
  </si>
  <si>
    <t>FLIP FLOPS MICKEY MKBAS44:BLACK:40:SOLID:FLIP FLOPS</t>
  </si>
  <si>
    <t>FLIP FLOPS MICKEY MKBAS44:BLACK:39:SOLID:FLIP FLOPS</t>
  </si>
  <si>
    <t>FLIP FLOPS MICKEY MKBAS44:BLACK:37:SOLID:FLIP FLOPS</t>
  </si>
  <si>
    <t>MNBAS33</t>
  </si>
  <si>
    <t>FLIP FLOPS MINNIE MNBAS33:BLACK:36:SOLID:FLIP FLOPS</t>
  </si>
  <si>
    <t>FLIP FLOPS MINNIE MNBAS33:WHITE:38:SOLID:FLIP FLOPS</t>
  </si>
  <si>
    <t>FLIP FLOPS MINNIE MNBAS33:WHITE:36:SOLID:FLIP FLOPS</t>
  </si>
  <si>
    <t>FLIP FLOPS MINNIE MNBAS33:BLACK:40:SOLID:FLIP FLOPS</t>
  </si>
  <si>
    <t>FLIP FLOPS MINNIE MNBAS33:WHITE:40:SOLID:FLIP FLOPS</t>
  </si>
  <si>
    <t>FLIP FLOPS MINNIE MNBAS33:BLACK:38:SOLID:FLIP FLOPS</t>
  </si>
  <si>
    <t>FLIP FLOPS MINNIE MNBAS33:WHITE:39:SOLID:FLIP FLOPS</t>
  </si>
  <si>
    <t>FLIP FLOPS MINNIE MNBAS33:WHITE:37:SOLID:FLIP FLOPS</t>
  </si>
  <si>
    <t>FLIP FLOPS MINNIE MNBAS33:BLACK:37:SOLID:FLIP FLOPS</t>
  </si>
  <si>
    <t>FLIP FLOPS MINNIE MNBAS33:BLACK:39:SOLID:FLIP FLOPS</t>
  </si>
  <si>
    <t>TSS29</t>
  </si>
  <si>
    <t>SLIPPER SANDALS TSUMTSUM TSS29:PASTEL PINK:40:SOLID:SLIPPER SANDALS</t>
  </si>
  <si>
    <t>SLIPPER SANDALS TSUMTSUM TSS29:PASTEL PINK:39:SOLID:SLIPPER SANDALS</t>
  </si>
  <si>
    <t>SLIPPER SANDALS TSUMTSUM TSS29:LIGHT BLUE:40:SOLID:SLIPPER SANDALS</t>
  </si>
  <si>
    <t>SLIPPER SANDALS TSUMTSUM TSS29:LIGHT BLUE:37:SOLID:SLIPPER SANDALS</t>
  </si>
  <si>
    <t>SLIPPER SANDALS TSUMTSUM TSS29:PASTEL PINK:38:SOLID:SLIPPER SANDALS</t>
  </si>
  <si>
    <t>SLIPPER SANDALS TSUMTSUM TSS29:LIGHT BLUE:39:SOLID:SLIPPER SANDALS</t>
  </si>
  <si>
    <t>SLIPPER SANDALS TSUMTSUM TSS29:PASTEL PINK:36:SOLID:SLIPPER SANDALS</t>
  </si>
  <si>
    <t>SLIPPER SANDALS TSUMTSUM TSS29:LIGHT BLUE:36:SOLID:SLIPPER SANDALS</t>
  </si>
  <si>
    <t>SLIPPER SANDALS TSUMTSUM TSS29:PASTEL PINK:37:SOLID:SLIPPER SANDALS</t>
  </si>
  <si>
    <t>SLIPPER SANDALS TSUMTSUM TSS29:LIGHT BLUE:38:SOLID:SLIPPER SANDALS</t>
  </si>
  <si>
    <t>MKBAS41</t>
  </si>
  <si>
    <t>SLIPPER SANDALS MICKEY MKBAS41:LIGHT BLUE:37:SOLID:SLIPPER SANDALS</t>
  </si>
  <si>
    <t>SLIPPER SANDALS MICKEY MKBAS41:PASTEL PINK:36:SOLID:SLIPPER SANDALS</t>
  </si>
  <si>
    <t>SLIPPER SANDALS MICKEY MKBAS41:PASTEL PINK:37:SOLID:SLIPPER SANDALS</t>
  </si>
  <si>
    <t>SLIPPER SANDALS MICKEY MKBAS41:LIGHT BLUE:40:SOLID:SLIPPER SANDALS</t>
  </si>
  <si>
    <t>SLIPPER SANDALS MICKEY MKBAS41:PASTEL PINK:39:SOLID:SLIPPER SANDALS</t>
  </si>
  <si>
    <t>SLIPPER SANDALS MICKEY MKBAS41:PASTEL PINK:38:SOLID:SLIPPER SANDALS</t>
  </si>
  <si>
    <t>SLIPPER SANDALS MICKEY MKBAS41:PASTEL PINK:40:SOLID:SLIPPER SANDALS</t>
  </si>
  <si>
    <t>SLIPPER SANDALS MICKEY MKBAS41:LIGHT BLUE:39:SOLID:SLIPPER SANDALS</t>
  </si>
  <si>
    <t>SLIPPER SANDALS MICKEY MKBAS41:LIGHT BLUE:38:SOLID:SLIPPER SANDALS</t>
  </si>
  <si>
    <t>SLIPPER SANDALS MICKEY MKBAS41:LIGHT BLUE:36:SOLID:SLIPPER SANDALS</t>
  </si>
  <si>
    <t>SLINGBACK SANDALS MICKEY MKBASQ423:WHITE:36:SOLID:SLINGBACK SANDA</t>
  </si>
  <si>
    <t>SLINGBACK SANDALS MICKEY MKBASQ423:PASTEL PINK:38:SOLID:SLINGBACK SANDA</t>
  </si>
  <si>
    <t>SLINGBACK SANDALS MICKEY MKBASQ423:PASTEL PINK:40:SOLID:SLINGBACK SANDA</t>
  </si>
  <si>
    <t>SLIP ON MICKEY DSBAS23:NAVY BLUE:36:SOLID:SLIP ON</t>
  </si>
  <si>
    <t>SLIP ON MICKEY DSBAS23:NAVY BLUE:39:SOLID:SLIP ON</t>
  </si>
  <si>
    <t>SLIP ON MICKEY DSBAS23:NAVY BLUE:38:SOLID:SLIP ON</t>
  </si>
  <si>
    <t>SLIP ON MICKEY DSBAS23:NAVY BLUE:37:SOLID:SLIP ON</t>
  </si>
  <si>
    <t>SLIP ON MICKEY DSBAS23:NAVY BLUE:40:SOLID:SLIP ON</t>
  </si>
  <si>
    <t>MKBASQ425</t>
  </si>
  <si>
    <t>SLIPPER SANDALS MICKEY MKBASQ425:BLACK:37:SOLID:SLIPPER SANDALS</t>
  </si>
  <si>
    <t>SLIPPER SANDALS MICKEY MKBASQ425:BLACK:38:SOLID:SLIPPER SANDALS</t>
  </si>
  <si>
    <t>MNBASQ427</t>
  </si>
  <si>
    <t>SLIPPER SANDALS MINNIE MNBASQ427:PASTEL PINK:36:SOLID:SLIPPER SANDALS</t>
  </si>
  <si>
    <t>SLIPPER SANDALS MICKEY MKBASQ425:BLACK:39:SOLID:SLIPPER SANDALS</t>
  </si>
  <si>
    <t>SLIPPER SANDALS MINNIE MNBASQ427:PASTEL PINK:38:SOLID:SLIPPER SANDALS</t>
  </si>
  <si>
    <t>SLIPPER SANDALS MINNIE MNBASQ427:PASTEL PINK:39:SOLID:SLIPPER SANDALS</t>
  </si>
  <si>
    <t>SLIPPER SANDALS MICKEY MKBASQ425:BLACK:36:SOLID:SLIPPER SANDALS</t>
  </si>
  <si>
    <t>SLIPPER SANDALS MINNIE MNBASQ427:PASTEL PINK:37:SOLID:SLIPPER SANDALS</t>
  </si>
  <si>
    <t>SLIPPER SANDALS MINNIE MNBASQ427:PASTEL PINK:40:SOLID:SLIPPER SANDALS</t>
  </si>
  <si>
    <t>TSS26</t>
  </si>
  <si>
    <t>SLIPPER SANDALS TSUM TSUM TSS26:WHITE:39:SOLID:SLIPPER SANDALS</t>
  </si>
  <si>
    <t>SLIPPER SANDALS TSUM TSUM TSS26:GOLD:38:SOLID:SLIPPER SANDALS</t>
  </si>
  <si>
    <t>SLIPPER SANDALS TSUM TSUM TSS26:WHITE:38:SOLID:SLIPPER SANDALS</t>
  </si>
  <si>
    <t>SLIPPER SANDALS TSUM TSUM TSS26:WHITE:36:SOLID:SLIPPER SANDALS</t>
  </si>
  <si>
    <t>SLIPPER SANDALS TSUM TSUM TSS26:WHITE:37:SOLID:SLIPPER SANDALS</t>
  </si>
  <si>
    <t>SLIPPER SANDALS TSUM TSUM TSS26:WHITE:40:SOLID:SLIPPER SANDALS</t>
  </si>
  <si>
    <t>SLIPPER SANDALS TSUM TSUM TSS26:GOLD:36:SOLID:SLIPPER SANDALS</t>
  </si>
  <si>
    <t>SLIPPER SANDALS TSUM TSUM TSS26:GOLD:40:SOLID:SLIPPER SANDALS</t>
  </si>
  <si>
    <t>SLIPPER SANDALS TSUM TSUM TSS26:GOLD:37:SOLID:SLIPPER SANDALS</t>
  </si>
  <si>
    <t>MNBAS23</t>
  </si>
  <si>
    <t>SLIPPER SANDALS MINNIE MNBAS23:PASTEL PINK:38:SOLID:SLIPPER SANDALS</t>
  </si>
  <si>
    <t>SLIPPER SANDALS MINNIE MNBAS23:OFF WHITE:38:SOLID:SLIPPER SANDALS</t>
  </si>
  <si>
    <t>SLIPPER SANDALS MINNIE MNBAS23:OFF WHITE:39:SOLID:SLIPPER SANDALS</t>
  </si>
  <si>
    <t>SLIPPER SANDALS MINNIE MNBAS23:PASTEL PINK:39:SOLID:SLIPPER SANDALS</t>
  </si>
  <si>
    <t>SLIPPER SANDALS MINNIE MNBAS23:PASTEL PINK:40:SOLID:SLIPPER SANDALS</t>
  </si>
  <si>
    <t>SLIPPER SANDALS MINNIE MNBAS23:PASTEL PINK:36:SOLID:SLIPPER SANDALS</t>
  </si>
  <si>
    <t>SLIPPER SANDALS MINNIE MNBAS23:OFF WHITE:36:SOLID:SLIPPER SANDALS</t>
  </si>
  <si>
    <t>SLIPPER SANDALS MINNIE MNBAS23:OFF WHITE:40:SOLID:SLIPPER SANDALS</t>
  </si>
  <si>
    <t>SLIPPER SANDALS MINNIE MNBAS23:OFF WHITE:37:SOLID:SLIPPER SANDALS</t>
  </si>
  <si>
    <t>SLIPPER SANDALS MINNIE MNBAS23:PASTEL PINK:37:SOLID:SLIPPER SANDALS</t>
  </si>
  <si>
    <t>SLIPPER SANDALS TSUM TSUM TSS26:GOLD:39:SOLID:SLIPPER SANDALS</t>
  </si>
  <si>
    <t>TSS27</t>
  </si>
  <si>
    <t>FLIP FLOPS TSUM TSUM TSS27:PASTEL PINK:36:SOLID:FLIP FLOPS</t>
  </si>
  <si>
    <t>FLIP FLOPS TSUM TSUM TSS27:SILVER:38:SOLID:FLIP FLOPS</t>
  </si>
  <si>
    <t>FLIP FLOPS TSUM TSUM TSS27:SILVER:36:SOLID:FLIP FLOPS</t>
  </si>
  <si>
    <t>FLIP FLOPS TSUM TSUM TSS27:SILVER:37:SOLID:FLIP FLOPS</t>
  </si>
  <si>
    <t>FLIP FLOPS TSUM TSUM TSS27:PASTEL PINK:38:SOLID:FLIP FLOPS</t>
  </si>
  <si>
    <t>FLIP FLOPS TSUM TSUM TSS27:PASTEL PINK:37:SOLID:FLIP FLOPS</t>
  </si>
  <si>
    <t>FLIP FLOPS TSUM TSUM TSS27:SILVER:40:SOLID:FLIP FLOPS</t>
  </si>
  <si>
    <t>FLIP FLOPS TSUM TSUM TSS27:PASTEL PINK:39:SOLID:FLIP FLOPS</t>
  </si>
  <si>
    <t>FLIP FLOPS TSUM TSUM TSS27:SILVER:39:SOLID:FLIP FLOPS</t>
  </si>
  <si>
    <t>FLIP FLOPS TSUM TSUM TSS27:PASTEL PINK:40:SOLID:FLIP FLOPS</t>
  </si>
  <si>
    <t>SLIPPER SANDALS MICKEY MKBASQ425:BLACK:40:SOLID:SLIPPER SANDALS</t>
  </si>
  <si>
    <t>MK225</t>
  </si>
  <si>
    <t>FLIP FLOPS MICKEY MK225:WHITE:L:SOLID:FLIP FLOPS</t>
  </si>
  <si>
    <t>FLIP FLOPS MICKEY MK225:BLACK:M:SOLID:FLIP FLOPS</t>
  </si>
  <si>
    <t>FLIP FLOPS MICKEY MK225:BLACK:S:SOLID:FLIP FLOPS</t>
  </si>
  <si>
    <t>FLIP FLOPS MICKEY MK225:WHITE:M:SOLID:FLIP FLOPS</t>
  </si>
  <si>
    <t>FLIP FLOPS MICKEY MK225:BLACK:XL:SOLID:FLIP FLOPS</t>
  </si>
  <si>
    <t>FLIP FLOPS MICKEY MK225:WHITE:XL:SOLID:FLIP FLOPS</t>
  </si>
  <si>
    <t>FLIP FLOPS MICKEY MK225:WHITE:S:SOLID:FLIP FLOPS</t>
  </si>
  <si>
    <t>FLIP FLOPS MICKEY MK225:BLACK:L:SOLID:FLIP FLOPS</t>
  </si>
  <si>
    <t>TSHJQ4208</t>
  </si>
  <si>
    <t>FLIP FLOPS TSUM TSUM TSHJQ4208:BUBBLEGUM PINK:M:SOLID:FLIP FLOPS</t>
  </si>
  <si>
    <t>FLIP FLOPS TSUM TSUM TSHJQ4208:BUBBLEGUM PINK:XL:SOLID:FLIP FLOPS</t>
  </si>
  <si>
    <t>FLIP FLOPS TSUM TSUM TSHJQ4208:CLASSIC RED:L:SOLID:FLIP FLOPS</t>
  </si>
  <si>
    <t>FLIP FLOPS TSUM TSUM TSHJQ4208:BUBBLEGUM PINK:S:SOLID:FLIP FLOPS</t>
  </si>
  <si>
    <t>FLIP FLOPS TSUM TSUM TSHJQ4208:CLASSIC RED:S:SOLID:FLIP FLOPS</t>
  </si>
  <si>
    <t>FLIP FLOPS TSUM TSUM TSHJQ4208:CLASSIC RED:M:SOLID:FLIP FLOPS</t>
  </si>
  <si>
    <t>FLIP FLOPS TSUM TSUM TSHJQ4208:CLASSIC RED:XL:SOLID:FLIP FLOPS</t>
  </si>
  <si>
    <t>FLIP FLOPS TSUM TSUM TSHJQ4208:BUBBLEGUM PINK:L:SOLID:FLIP FLOPS</t>
  </si>
  <si>
    <t>MKHJQ4220</t>
  </si>
  <si>
    <t>FLIP FLOPS MICKEY MKHJQ4220:NAVY BLUE:M:SOLID:FLIP FLOPS</t>
  </si>
  <si>
    <t>FLIP FLOPS MICKEY MKHJQ4220:NAVY BLUE:XL:SOLID:FLIP FLOPS</t>
  </si>
  <si>
    <t>FLIP FLOPS MICKEY MKHJQ4220:NAVY BLUE:L:SOLID:FLIP FLOPS</t>
  </si>
  <si>
    <t>FLIP FLOPS MICKEY MKHJQ4220:PASTEL ORANGE:M:SOLID:FLIP FLOPS</t>
  </si>
  <si>
    <t>FLIP FLOPS MICKEY MKHJQ4220:NAVY BLUE:S:SOLID:FLIP FLOPS</t>
  </si>
  <si>
    <t>FLIP FLOPS MICKEY MKHJQ4220:PASTEL ORANGE:XL:SOLID:FLIP FLOPS</t>
  </si>
  <si>
    <t>FLIP FLOPS MICKEY MKHJQ4220:PASTEL ORANGE:S:SOLID:FLIP FLOPS</t>
  </si>
  <si>
    <t>FLIP FLOPS MICKEY MKHJQ4220:PASTEL ORANGE:L:SOLID:FLIP FLOPS</t>
  </si>
  <si>
    <t>TSSEVA31</t>
  </si>
  <si>
    <t>FLIP FLOPS TSUMTSUM TSSEVA31:NAVY BLUE:S:SOLID:FLIP FLOPS</t>
  </si>
  <si>
    <t>FLIP FLOPS TSUMTSUM TSSEVA31:BROWN SUGAR:XL:SOLID:FLIP FLOPS</t>
  </si>
  <si>
    <t>FLIP FLOPS TSUMTSUM TSSEVA31:NAVY BLUE:XL:SOLID:FLIP FLOPS</t>
  </si>
  <si>
    <t>FLIP FLOPS TSUMTSUM TSSEVA31:BROWN SUGAR:S:SOLID:FLIP FLOPS</t>
  </si>
  <si>
    <t>FLIP FLOPS TSUMTSUM TSSEVA31:NAVY BLUE:L:SOLID:FLIP FLOPS</t>
  </si>
  <si>
    <t>FLIP FLOPS TSUMTSUM TSSEVA31:BROWN SUGAR:L:SOLID:FLIP FLOPS</t>
  </si>
  <si>
    <t>FLIP FLOPS TSUMTSUM TSSEVA31:BROWN SUGAR:M:SOLID:FLIP FLOPS</t>
  </si>
  <si>
    <t>FLIP FLOPS TSUMTSUM TSSEVA31:NAVY BLUE:M:SOLID:FLIP FLOPS</t>
  </si>
  <si>
    <t>MNT05</t>
  </si>
  <si>
    <t>SLIPPER SANDALS WOMEN MNT05:PASTEL PINK:36:SOLID:SLIPPER SANDALS</t>
  </si>
  <si>
    <t>SLIPPER SANDALS WOMEN MNT05:PASTEL PINK:40:SOLID:SLIPPER SANDALS</t>
  </si>
  <si>
    <t>SLIPPER SANDALS WOMEN MNT05:PASTEL PINK:39:SOLID:SLIPPER SANDALS</t>
  </si>
  <si>
    <t>SLIPPER SANDALS WOMEN MNT05:PASTEL PINK:38:SOLID:SLIPPER SANDALS</t>
  </si>
  <si>
    <t>SLIPPER SANDALS WOMEN MNT05:PASTEL PINK:37:SOLID:SLIPPER SANDALS</t>
  </si>
  <si>
    <t>MK2206</t>
  </si>
  <si>
    <t>FLIP FLOPS WOMEN MK2206:NAVY BLUE:S:SOLID:FLIP FLOPS</t>
  </si>
  <si>
    <t>FLIP FLOPS WOMEN MK2206:NAVY BLUE:M:SOLID:FLIP FLOPS</t>
  </si>
  <si>
    <t>FLIP FLOPS WOMEN MK2206:NAVY BLUE:L:SOLID:FLIP FLOPS</t>
  </si>
  <si>
    <t>FLIP FLOPS WOMEN MK2206:NAVY BLUE:XL:SOLID:FLIP FLOPS</t>
  </si>
  <si>
    <t>MN2205</t>
  </si>
  <si>
    <t>FLIP FLOPS WOMEN MN2205:DUSTY PINK:S:SOLID:FLIP FLOPS</t>
  </si>
  <si>
    <t>FLIP FLOPS WOMEN MN2205:DUSTY PINK:M:SOLID:FLIP FLOPS</t>
  </si>
  <si>
    <t>FLIP FLOPS WOMEN MN2205:DUSTY PINK:L:SOLID:FLIP FLOPS</t>
  </si>
  <si>
    <t>FLIP FLOPS WOMEN MN2205:DUSTY PINK:XL:SOLID:FLIP FLOPS</t>
  </si>
  <si>
    <t>FLIP FLOPS WOMEN MN2205:MISTY DARK PURPLE:S:SOLID:FLIP FLOPS</t>
  </si>
  <si>
    <t>FLIP FLOPS WOMEN MN2205:MISTY DARK PURPLE:M:SOLID:FLIP FLOPS</t>
  </si>
  <si>
    <t>FLIP FLOPS WOMEN MN2205:MISTY DARK PURPLE:L:SOLID:FLIP FLOPS</t>
  </si>
  <si>
    <t>FLIP FLOPS WOMEN MN2205:MISTY DARK PURPLE:XL:SOLID:FLIP FLOPS</t>
  </si>
  <si>
    <t>MK2203</t>
  </si>
  <si>
    <t>FLIP FLOPS WOMEN MK2203:CLASSIC RED:XL:SOLID:FLIP FLOPS</t>
  </si>
  <si>
    <t>FLIP FLOPS WOMEN MK2203:CLASSIC RED:L:SOLID:FLIP FLOPS</t>
  </si>
  <si>
    <t>FLIP FLOPS WOMEN MK2203:CLASSIC RED:M:SOLID:FLIP FLOPS</t>
  </si>
  <si>
    <t>FLIP FLOPS WOMEN MK2203:CLASSIC RED:S:SOLID:FLIP FLOPS</t>
  </si>
  <si>
    <t>FLIP FLOPS WOMEN MK2203:NAVY BLUE:S:SOLID:FLIP FLOPS</t>
  </si>
  <si>
    <t>FLIP FLOPS WOMEN MK2203:NAVY BLUE:M:SOLID:FLIP FLOPS</t>
  </si>
  <si>
    <t>FLIP FLOPS WOMEN MK2203:NAVY BLUE:L:SOLID:FLIP FLOPS</t>
  </si>
  <si>
    <t>FLIP FLOPS WOMEN MK2203:NAVY BLUE:XL:SOLID:FLIP FLOPS</t>
  </si>
  <si>
    <t>MNT04</t>
  </si>
  <si>
    <t>SLINGBACK SANDALS WOMEN MNT04:KHAKI:36:SOLID:SLINGBACK SANDALS</t>
  </si>
  <si>
    <t>SLINGBACK SANDALS WOMEN MNT04:KHAKI:37:SOLID:SLINGBACK SANDALS</t>
  </si>
  <si>
    <t>SLINGBACK SANDALS WOMEN MNT04:KHAKI:38:SOLID:SLINGBACK SANDALS</t>
  </si>
  <si>
    <t>SLINGBACK SANDALS WOMEN MNT04:KHAKI:39:SOLID:SLINGBACK SANDALS</t>
  </si>
  <si>
    <t>SLINGBACK SANDALS WOMEN MNT04:KHAKI:40:SOLID:SLINGBACK SANDALS</t>
  </si>
  <si>
    <t>MKT04</t>
  </si>
  <si>
    <t>SLINGBACK SANDALS WOMEN MKT04:BLACK:36:SOLID:SLINGBACK SANDALS</t>
  </si>
  <si>
    <t>SLINGBACK SANDALS WOMEN MKT04:BLACK:37:SOLID:SLINGBACK SANDALS</t>
  </si>
  <si>
    <t>SLINGBACK SANDALS WOMEN MKT04:BLACK:38:SOLID:SLINGBACK SANDALS</t>
  </si>
  <si>
    <t>SLINGBACK SANDALS WOMEN MKT04:BLACK:39:SOLID:SLINGBACK SANDALS</t>
  </si>
  <si>
    <t>SLINGBACK SANDALS WOMEN MKT04:BLACK:40:SOLID:SLINGBACK SANDALS</t>
  </si>
  <si>
    <t>MKBAS45</t>
  </si>
  <si>
    <t>SLIPPER SANDALS WOMEN MKBAS45:BLACK:36:SOLID:SLIPPER SANDALS</t>
  </si>
  <si>
    <t>SLIPPER SANDALS WOMEN MKBAS45:BLACK:37:SOLID:SLIPPER SANDALS</t>
  </si>
  <si>
    <t>SLIPPER SANDALS WOMEN MKBAS45:BLACK:38:SOLID:SLIPPER SANDALS</t>
  </si>
  <si>
    <t>SLIPPER SANDALS WOMEN MKBAS45:BLACK:39:SOLID:SLIPPER SANDALS</t>
  </si>
  <si>
    <t>SLIPPER SANDALS WOMEN MKBAS45:BLACK:40:SOLID:SLIPPER SANDALS</t>
  </si>
  <si>
    <t>SLIPPER SANDALS WOMEN MKBAS45:KHAKI:36:SOLID:SLIPPER SANDALS</t>
  </si>
  <si>
    <t>SLIPPER SANDALS WOMEN MKBAS45:KHAKI:37:SOLID:SLIPPER SANDALS</t>
  </si>
  <si>
    <t>SLIPPER SANDALS WOMEN MKBAS45:KHAKI:38:SOLID:SLIPPER SANDALS</t>
  </si>
  <si>
    <t>SLIPPER SANDALS WOMEN MKBAS45:KHAKI:39:SOLID:SLIPPER SANDALS</t>
  </si>
  <si>
    <t>SLIPPER SANDALS WOMEN MKBAS45:KHAKI:40:SOLID:SLIPPER SANDALS</t>
  </si>
  <si>
    <t>MKBAS39</t>
  </si>
  <si>
    <t>T-BAR SANDALS WOMEN MKBAS39:PASTEL PINK:36:SOLID:T-BAR SANDALS</t>
  </si>
  <si>
    <t>T-BAR SANDALS WOMEN MKBAS39:PASTEL PINK:37:SOLID:T-BAR SANDALS</t>
  </si>
  <si>
    <t>T-BAR SANDALS WOMEN MKBAS39:PASTEL PINK:38:SOLID:T-BAR SANDALS</t>
  </si>
  <si>
    <t>T-BAR SANDALS WOMEN MKBAS39:PASTEL PINK:39:SOLID:T-BAR SANDALS</t>
  </si>
  <si>
    <t>T-BAR SANDALS WOMEN MKBAS39:PASTEL PINK:40:SOLID:T-BAR SANDALS</t>
  </si>
  <si>
    <t>T-BAR SANDALS WOMEN MKBAS39:WHITE:36:SOLID:T-BAR SANDALS</t>
  </si>
  <si>
    <t>T-BAR SANDALS WOMEN MKBAS39:WHITE:37:SOLID:T-BAR SANDALS</t>
  </si>
  <si>
    <t>T-BAR SANDALS WOMEN MKBAS39:WHITE:38:SOLID:T-BAR SANDALS</t>
  </si>
  <si>
    <t>T-BAR SANDALS WOMEN MKBAS39:WHITE:39:SOLID:T-BAR SANDALS</t>
  </si>
  <si>
    <t>T-BAR SANDALS WOMEN MKBAS39:WHITE:40:SOLID:T-BAR SANDALS</t>
  </si>
  <si>
    <t>MNT101</t>
  </si>
  <si>
    <t>FLIP FLOPS WOMEN MNT101:BLACK:36:SOLID:FLIP FLOPS</t>
  </si>
  <si>
    <t>FLIP FLOPS WOMEN MNT101:BLACK:37:SOLID:FLIP FLOPS</t>
  </si>
  <si>
    <t>FLIP FLOPS WOMEN MNT101:BLACK:38:SOLID:FLIP FLOPS</t>
  </si>
  <si>
    <t>FLIP FLOPS WOMEN MNT101:BLACK:39:SOLID:FLIP FLOPS</t>
  </si>
  <si>
    <t>FLIP FLOPS WOMEN MNT101:BLACK:40:SOLID:FLIP FLOPS</t>
  </si>
  <si>
    <t>FLIP FLOPS WOMEN MNT101:PASTEL PINK:36:SOLID:FLIP FLOPS</t>
  </si>
  <si>
    <t>FLIP FLOPS WOMEN MNT101:PASTEL PINK:37:SOLID:FLIP FLOPS</t>
  </si>
  <si>
    <t>FLIP FLOPS WOMEN MNT101:PASTEL PINK:38:SOLID:FLIP FLOPS</t>
  </si>
  <si>
    <t>FLIP FLOPS WOMEN MNT101:PASTEL PINK:39:SOLID:FLIP FLOPS</t>
  </si>
  <si>
    <t>FLIP FLOPS WOMEN MNT101:PASTEL PINK:40:SOLID:FLIP FLOPS</t>
  </si>
  <si>
    <t>MNT103</t>
  </si>
  <si>
    <t>FLIP FLOPS WOMEN MNT103:WHITE:36:SOLID:FLIP FLOPS</t>
  </si>
  <si>
    <t>FLIP FLOPS WOMEN MNT103:WHITE:37:SOLID:FLIP FLOPS</t>
  </si>
  <si>
    <t>FLIP FLOPS WOMEN MNT103:WHITE:38:SOLID:FLIP FLOPS</t>
  </si>
  <si>
    <t>FLIP FLOPS WOMEN MNT103:WHITE:39:SOLID:FLIP FLOPS</t>
  </si>
  <si>
    <t>FLIP FLOPS WOMEN MNT103:WHITE:40:SOLID:FLIP FLOPS</t>
  </si>
  <si>
    <t>FLIP FLOPS WOMEN MNT103:NAVY BLUE:36:SOLID:FLIP FLOPS</t>
  </si>
  <si>
    <t>FLIP FLOPS WOMEN MNT103:NAVY BLUE:37:SOLID:FLIP FLOPS</t>
  </si>
  <si>
    <t>FLIP FLOPS WOMEN MNT103:NAVY BLUE:38:SOLID:FLIP FLOPS</t>
  </si>
  <si>
    <t>FLIP FLOPS WOMEN MNT103:NAVY BLUE:39:SOLID:FLIP FLOPS</t>
  </si>
  <si>
    <t>FLIP FLOPS WOMEN MNT103:NAVY BLUE:40:SOLID:FLIP FLOPS</t>
  </si>
  <si>
    <t>MNT102</t>
  </si>
  <si>
    <t>FLIP FLOPS WOMEN MNT102:BROWN SUGAR:36:SOLID:FLIP FLOPS</t>
  </si>
  <si>
    <t>FLIP FLOPS WOMEN MNT102:BROWN SUGAR:37:SOLID:FLIP FLOPS</t>
  </si>
  <si>
    <t>FLIP FLOPS WOMEN MNT102:BROWN SUGAR:38:SOLID:FLIP FLOPS</t>
  </si>
  <si>
    <t>FLIP FLOPS WOMEN MNT102:BROWN SUGAR:39:SOLID:FLIP FLOPS</t>
  </si>
  <si>
    <t>FLIP FLOPS WOMEN MNT102:BROWN SUGAR:40:SOLID:FLIP FLOPS</t>
  </si>
  <si>
    <t>FLIP FLOPS WOMEN MNT102:NAVY BLUE:36:SOLID:FLIP FLOPS</t>
  </si>
  <si>
    <t>FLIP FLOPS WOMEN MNT102:NAVY BLUE:37:SOLID:FLIP FLOPS</t>
  </si>
  <si>
    <t>FLIP FLOPS WOMEN MNT102:NAVY BLUE:38:SOLID:FLIP FLOPS</t>
  </si>
  <si>
    <t>FLIP FLOPS WOMEN MNT102:NAVY BLUE:39:SOLID:FLIP FLOPS</t>
  </si>
  <si>
    <t>FLIP FLOPS WOMEN MNT102:NAVY BLUE:40:SOLID:FLIP FLOPS</t>
  </si>
  <si>
    <t>MKBAS46</t>
  </si>
  <si>
    <t>SLINGBACK SANDALS WOMEN MKBAS46:WHITE:36:SOLID:SLINGBACK SANDALS</t>
  </si>
  <si>
    <t>SLINGBACK SANDALS WOMEN MKBAS46:WHITE:37:SOLID:SLINGBACK SANDALS</t>
  </si>
  <si>
    <t>SLINGBACK SANDALS WOMEN MKBAS46:WHITE:38:SOLID:SLINGBACK SANDALS</t>
  </si>
  <si>
    <t>SLINGBACK SANDALS WOMEN MKBAS46:WHITE:39:SOLID:SLINGBACK SANDALS</t>
  </si>
  <si>
    <t>SLINGBACK SANDALS WOMEN MKBAS46:WHITE:40:SOLID:SLINGBACK SANDALS</t>
  </si>
  <si>
    <t>SLINGBACK SANDALS WOMEN MKBAS46:NAVY BLUE:36:SOLID:SLINGBACK SANDALS</t>
  </si>
  <si>
    <t>SLINGBACK SANDALS WOMEN MKBAS46:NAVY BLUE:37:SOLID:SLINGBACK SANDALS</t>
  </si>
  <si>
    <t>SLINGBACK SANDALS WOMEN MKBAS46:NAVY BLUE:38:SOLID:SLINGBACK SANDALS</t>
  </si>
  <si>
    <t>SLINGBACK SANDALS WOMEN MKBAS46:NAVY BLUE:39:SOLID:SLINGBACK SANDALS</t>
  </si>
  <si>
    <t>SLINGBACK SANDALS WOMEN MKBAS46:NAVY BLUE:40:SOLID:SLINGBACK SANDALS</t>
  </si>
  <si>
    <t>MKT03</t>
  </si>
  <si>
    <t>FLIP FLOPS WOMEN MKT03:PASTEL PINK:36:SOLID:FLIP FLOPS</t>
  </si>
  <si>
    <t>FLIP FLOPS WOMEN MKT03:PASTEL PINK:37:SOLID:FLIP FLOPS</t>
  </si>
  <si>
    <t>FLIP FLOPS WOMEN MKT03:PASTEL PINK:38:SOLID:FLIP FLOPS</t>
  </si>
  <si>
    <t>FLIP FLOPS WOMEN MKT03:PASTEL PINK:39:SOLID:FLIP FLOPS</t>
  </si>
  <si>
    <t>FLIP FLOPS WOMEN MKT03:PASTEL PINK:40:SOLID:FLIP FLOPS</t>
  </si>
  <si>
    <t>FLIP FLOPS WOMEN MKT03:PASTEL BLUE:36:SOLID:FLIP FLOPS</t>
  </si>
  <si>
    <t>FLIP FLOPS WOMEN MKT03:PASTEL BLUE:37:SOLID:FLIP FLOPS</t>
  </si>
  <si>
    <t>FLIP FLOPS WOMEN MKT03:PASTEL BLUE:38:SOLID:FLIP FLOPS</t>
  </si>
  <si>
    <t>FLIP FLOPS WOMEN MKT03:PASTEL BLUE:39:SOLID:FLIP FLOPS</t>
  </si>
  <si>
    <t>FLIP FLOPS WOMEN MKT03:PASTEL BLUE:40:SOLID:FLIP FLOPS</t>
  </si>
  <si>
    <t>MKBAS31</t>
  </si>
  <si>
    <t>SLIPPER SANDALS MICKEY MKBAS31:WHITE:38:SOLID:SLIPPER SANDALS</t>
  </si>
  <si>
    <t>SLIPPER SANDALS MICKEY MKBAS31:WHITE:36:SOLID:SLIPPER SANDALS</t>
  </si>
  <si>
    <t>SLIPPER SANDALS MICKEY MKBAS31:LIGHT BLUE:37:SOLID:SLIPPER SANDALS</t>
  </si>
  <si>
    <t>SLIPPER SANDALS MICKEY MKBAS31:LIGHT BLUE:40:SOLID:SLIPPER SANDALS</t>
  </si>
  <si>
    <t>SLIPPER SANDALS MICKEY MKBAS31:LIGHT BLUE:39:SOLID:SLIPPER SANDALS</t>
  </si>
  <si>
    <t>SLIPPER SANDALS MICKEY MKBAS31:WHITE:40:SOLID:SLIPPER SANDALS</t>
  </si>
  <si>
    <t>SLIPPER SANDALS MICKEY MKBAS31:LIGHT BLUE:38:SOLID:SLIPPER SANDALS</t>
  </si>
  <si>
    <t>SLIPPER SANDALS MICKEY MKBAS31:LIGHT BLUE:36:SOLID:SLIPPER SANDALS</t>
  </si>
  <si>
    <t>SLIPPER SANDALS MICKEY MKBAS31:WHITE:39:SOLID:SLIPPER SANDALS</t>
  </si>
  <si>
    <t>SLIPPER SANDALS MICKEY MKBAS31:WHITE:37:SOLID:SLIPPER SANDALS</t>
  </si>
  <si>
    <t>MNBAS35</t>
  </si>
  <si>
    <t>SLIPPER SANDALS WOMEN MNBAS35:PASTEL PINK:36:SOLID:SLIPPER SANDALS</t>
  </si>
  <si>
    <t>SLIPPER SANDALS WOMEN MNBAS35:PASTEL PINK:37:SOLID:SLIPPER SANDALS</t>
  </si>
  <si>
    <t>SLIPPER SANDALS WOMEN MNBAS35:PASTEL PINK:38:SOLID:SLIPPER SANDALS</t>
  </si>
  <si>
    <t>SLIPPER SANDALS WOMEN MNBAS35:PASTEL PINK:39:SOLID:SLIPPER SANDALS</t>
  </si>
  <si>
    <t>SLIPPER SANDALS WOMEN MNBAS35:PASTEL PINK:40:SOLID:SLIPPER SANDALS</t>
  </si>
  <si>
    <t>SLIPPER SANDALS WOMEN MNBAS35:PASTEL BLUE:36:SOLID:SLIPPER SANDALS</t>
  </si>
  <si>
    <t>SLIPPER SANDALS WOMEN MNBAS35:PASTEL BLUE:37:SOLID:SLIPPER SANDALS</t>
  </si>
  <si>
    <t>SLIPPER SANDALS WOMEN MNBAS35:PASTEL BLUE:38:SOLID:SLIPPER SANDALS</t>
  </si>
  <si>
    <t>SLIPPER SANDALS WOMEN MNBAS35:PASTEL BLUE:39:SOLID:SLIPPER SANDALS</t>
  </si>
  <si>
    <t>SLIPPER SANDALS WOMEN MNBAS35:PASTEL BLUE:40:SOLID:SLIPPER SANDALS</t>
  </si>
  <si>
    <t>MKBASQ4416</t>
  </si>
  <si>
    <t>FLIP FLOPS MICKEY MKBASQ4416:PASTEL PINK:36:SOLID:FLIP FLOPS</t>
  </si>
  <si>
    <t>FLIP FLOPS MICKEY MKBASQ4416:PASTEL PINK:37:SOLID:FLIP FLOPS</t>
  </si>
  <si>
    <t>FLIP FLOPS MICKEY MKBASQ4416:PASTEL PINK:38:SOLID:FLIP FLOPS</t>
  </si>
  <si>
    <t>FLIP FLOPS MICKEY MKBASQ4416:PASTEL PINK:40:SOLID:FLIP FLOPS</t>
  </si>
  <si>
    <t>MNBAS28</t>
  </si>
  <si>
    <t>SLIPPER SANDALS MINNIE MNBAS28:PASTEL PINK:39:SOLID:SLIPPER SANDALS</t>
  </si>
  <si>
    <t>SLIPPER SANDALS MINNIE MNBAS28:PASTEL PINK:37:SOLID:SLIPPER SANDALS</t>
  </si>
  <si>
    <t>SLIPPER SANDALS MINNIE MNBAS28:PASTEL PINK:38:SOLID:SLIPPER SANDALS</t>
  </si>
  <si>
    <t>SLIPPER SANDALS MINNIE MNBAS28:PASTEL PINK:36:SOLID:SLIPPER SANDALS</t>
  </si>
  <si>
    <t>SLINGBACK SANDALS MICKEY MKBAS20:MISTY LIGHT BROW:39:SOLID:SLINGBACK SANDAL</t>
  </si>
  <si>
    <t>SLINGBACK SANDALS MICKEY MKBAS20:MISTY LIGHT BROW:37:SOLID:SLINGBACK SANDAL</t>
  </si>
  <si>
    <t>SLIPPER SANDALS MICKEY MKBAS34:LIGHT BLUE:36:SOLID:SLIPPER SANDALS</t>
  </si>
  <si>
    <t>SLIPPER SANDALS MICKEY MKBAS34:LIGHT BLUE:37:SOLID:SLIPPER SANDALS</t>
  </si>
  <si>
    <t>SLIPPER SANDALS MICKEY MKBAS34:LIGHT BLUE:40:SOLID:SLIPPER SANDALS</t>
  </si>
  <si>
    <t>SLINGBACK SANDALS MICKEY MKBAS20:MISTY LIGHT BROW:36:SOLID:SLINGBACK SANDAL</t>
  </si>
  <si>
    <t>SLINGBACK SANDALS MICKEY MKBAS20:MISTY LIGHT BROW:38:SOLID:SLINGBACK SANDAL</t>
  </si>
  <si>
    <t>SLINGBACK SANDALS MICKEY MKBAS20:MISTY LIGHT BROW:40:SOLID:SLINGBACK SANDAL</t>
  </si>
  <si>
    <t>SLIPPER SANDALS MINNIE MNBAS28:PASTEL PINK:40:SOLID:SLIPPER SANDALS</t>
  </si>
  <si>
    <t>FLIP FLOPS MICKEY MKBASQ4416:PASTEL PINK:39:SOLID:FLIP FLOPS</t>
  </si>
  <si>
    <t>SLIPPER SANDALS MICKEY MKBAS34:LIGHT BLUE:38:SOLID:SLIPPER SANDALS</t>
  </si>
  <si>
    <t>SLIPPER SANDALS MICKEY MKBAS34:LIGHT BLUE:39:SOLID:SLIPPER SANDALS</t>
  </si>
  <si>
    <t>MNBAS21</t>
  </si>
  <si>
    <t>SLINGBACK SANDALS WOMEN MNBAS21:PASTEL PINK:40:SOLID:SLINGBACK SANDALS</t>
  </si>
  <si>
    <t>SLINGBACK SANDALS WOMEN MNBAS21:WHITE:36:SOLID:SLINGBACK SANDALS</t>
  </si>
  <si>
    <t>SLINGBACK SANDALS WOMEN MNBAS21:WHITE:37:SOLID:SLINGBACK SANDALS</t>
  </si>
  <si>
    <t>SLINGBACK SANDALS WOMEN MNBAS21:WHITE:38:SOLID:SLINGBACK SANDALS</t>
  </si>
  <si>
    <t>SLINGBACK SANDALS WOMEN MNBAS21:WHITE:39:SOLID:SLINGBACK SANDALS</t>
  </si>
  <si>
    <t>SLINGBACK SANDALS WOMEN MNBAS21:WHITE:40:SOLID:SLINGBACK SANDALS</t>
  </si>
  <si>
    <t>SLINGBACK SANDALS WOMEN MNBAS21:PASTEL PINK:36:SOLID:SLINGBACK SANDALS</t>
  </si>
  <si>
    <t>SLINGBACK SANDALS WOMEN MNBAS21:PASTEL PINK:38:SOLID:SLINGBACK SANDALS</t>
  </si>
  <si>
    <t>SLINGBACK SANDALS WOMEN MNBAS21:PASTEL PINK:39:SOLID:SLINGBACK SANDALS</t>
  </si>
  <si>
    <t>SLINGBACK SANDALS WOMEN MNBAS21:PASTEL PINK:37:SOLID:SLINGBACK SANDALS</t>
  </si>
  <si>
    <t>TSS30</t>
  </si>
  <si>
    <t>SLIPPER SANDALS WOMEN TSS30:PASTEL PINK:36:SOLID:SLIPPER SANDALS</t>
  </si>
  <si>
    <t>SLIPPER SANDALS WOMEN TSS30:PASTEL PINK:37:SOLID:SLIPPER SANDALS</t>
  </si>
  <si>
    <t>SLIPPER SANDALS WOMEN TSS30:PASTEL PINK:38:SOLID:SLIPPER SANDALS</t>
  </si>
  <si>
    <t>SLIPPER SANDALS WOMEN TSS30:PASTEL PINK:39:SOLID:SLIPPER SANDALS</t>
  </si>
  <si>
    <t>SLIPPER SANDALS WOMEN TSS30:PASTEL PINK:40:SOLID:SLIPPER SANDALS</t>
  </si>
  <si>
    <t>SLIPPER SANDALS WOMEN TSS30:PASTEL BLUE:36:SOLID:SLIPPER SANDALS</t>
  </si>
  <si>
    <t>SLIPPER SANDALS WOMEN TSS30:PASTEL BLUE:37:SOLID:SLIPPER SANDALS</t>
  </si>
  <si>
    <t>SLIPPER SANDALS WOMEN TSS30:PASTEL BLUE:38:SOLID:SLIPPER SANDALS</t>
  </si>
  <si>
    <t>SLIPPER SANDALS WOMEN TSS30:PASTEL BLUE:39:SOLID:SLIPPER SANDALS</t>
  </si>
  <si>
    <t>SLIPPER SANDALS WOMEN TSS30:PASTEL BLUE:40:SOLID:SLIPPER SANDALS</t>
  </si>
  <si>
    <t>MKBAS49</t>
  </si>
  <si>
    <t>T-BAR SANDALS WOMEN MKBAS49:KHAKI:36:SOLID:T-BAR SANDALS</t>
  </si>
  <si>
    <t>T-BAR SANDALS WOMEN MKBAS49:KHAKI:37:SOLID:T-BAR SANDALS</t>
  </si>
  <si>
    <t>T-BAR SANDALS WOMEN MKBAS49:KHAKI:38:SOLID:T-BAR SANDALS</t>
  </si>
  <si>
    <t>T-BAR SANDALS WOMEN MKBAS49:KHAKI:39:SOLID:T-BAR SANDALS</t>
  </si>
  <si>
    <t>T-BAR SANDALS WOMEN MKBAS49:KHAKI:40:SOLID:T-BAR SANDALS</t>
  </si>
  <si>
    <t>T-BAR SANDALS WOMEN MKBAS49:PASTEL PINK:36:SOLID:T-BAR SANDALS</t>
  </si>
  <si>
    <t>T-BAR SANDALS WOMEN MKBAS49:PASTEL PINK:37:SOLID:T-BAR SANDALS</t>
  </si>
  <si>
    <t>T-BAR SANDALS WOMEN MKBAS49:PASTEL PINK:38:SOLID:T-BAR SANDALS</t>
  </si>
  <si>
    <t>T-BAR SANDALS WOMEN MKBAS49:PASTEL PINK:39:SOLID:T-BAR SANDALS</t>
  </si>
  <si>
    <t>T-BAR SANDALS WOMEN MKBAS49:PASTEL PINK:40:SOLID:T-BAR SANDALS</t>
  </si>
  <si>
    <t>MKBAS50</t>
  </si>
  <si>
    <t>SLIPPER SANDALS WOMEN MKBAS50:CLASSIC BLUE:36:SOLID:SLIPPER SANDALS</t>
  </si>
  <si>
    <t>SLIPPER SANDALS WOMEN MKBAS50:CLASSIC BLUE:37:SOLID:SLIPPER SANDALS</t>
  </si>
  <si>
    <t>SLIPPER SANDALS WOMEN MKBAS50:CLASSIC BLUE:38:SOLID:SLIPPER SANDALS</t>
  </si>
  <si>
    <t>SLIPPER SANDALS WOMEN MKBAS50:CLASSIC BLUE:39:SOLID:SLIPPER SANDALS</t>
  </si>
  <si>
    <t>SLIPPER SANDALS WOMEN MKBAS50:CLASSIC BLUE:40:SOLID:SLIPPER SANDALS</t>
  </si>
  <si>
    <t>SLIPPER SANDALS WOMEN MKBAS50:WHITE:36:SOLID:SLIPPER SANDALS</t>
  </si>
  <si>
    <t>SLIPPER SANDALS WOMEN MKBAS50:WHITE:37:SOLID:SLIPPER SANDALS</t>
  </si>
  <si>
    <t>SLIPPER SANDALS WOMEN MKBAS50:WHITE:38:SOLID:SLIPPER SANDALS</t>
  </si>
  <si>
    <t>SLIPPER SANDALS WOMEN MKBAS50:WHITE:39:SOLID:SLIPPER SANDALS</t>
  </si>
  <si>
    <t>SLIPPER SANDALS WOMEN MKBAS50:WHITE:40:SOLID:SLIPPER SANDALS</t>
  </si>
  <si>
    <t>MKBAS10</t>
  </si>
  <si>
    <t>SLIPPER SANDALS MICKEY MKBAS10:WHITE:39:SOLID:SLIPPER SANDALS</t>
  </si>
  <si>
    <t>SLIPPER SANDALS MICKEY MKBAS10:WHITE:37:SOLID:SLIPPER SANDALS</t>
  </si>
  <si>
    <t>SLIPPER SANDALS MICKEY MKBAS10:WHITE:40:SOLID:SLIPPER SANDALS</t>
  </si>
  <si>
    <t>SLIPPER SANDALS MICKEY MKBAS10:WHITE:36:SOLID:SLIPPER SANDALS</t>
  </si>
  <si>
    <t>SLIPPER SANDALS MICKEY MKBAS10:WHITE:38:SOLID:SLIPPER SANDALS</t>
  </si>
  <si>
    <t>MKBAS56</t>
  </si>
  <si>
    <t>SLIPPER SANDALS WOMEN MKBAS56:WHITE:36:SOLID:SLIPPER SANDALS</t>
  </si>
  <si>
    <t>SLIPPER SANDALS WOMEN MKBAS56:WHITE:37:SOLID:SLIPPER SANDALS</t>
  </si>
  <si>
    <t>SLIPPER SANDALS WOMEN MKBAS56:WHITE:38:SOLID:SLIPPER SANDALS</t>
  </si>
  <si>
    <t>SLIPPER SANDALS WOMEN MKBAS56:WHITE:39:SOLID:SLIPPER SANDALS</t>
  </si>
  <si>
    <t>SLIPPER SANDALS WOMEN MKBAS56:WHITE:40:SOLID:SLIPPER SANDALS</t>
  </si>
  <si>
    <t>SLIPPER SANDALS WOMEN MKBAS56:CLASSIC RED:36:SOLID:SLIPPER SANDALS</t>
  </si>
  <si>
    <t>SLIPPER SANDALS WOMEN MKBAS56:CLASSIC RED:37:SOLID:SLIPPER SANDALS</t>
  </si>
  <si>
    <t>SLIPPER SANDALS WOMEN MKBAS56:CLASSIC RED:38:SOLID:SLIPPER SANDALS</t>
  </si>
  <si>
    <t>SLIPPER SANDALS WOMEN MKBAS56:CLASSIC RED:39:SOLID:SLIPPER SANDALS</t>
  </si>
  <si>
    <t>SLIPPER SANDALS WOMEN MKBAS56:CLASSIC RED:40:SOLID:SLIPPER SANDALS</t>
  </si>
  <si>
    <t>MNT106</t>
  </si>
  <si>
    <t>SLIPPER SANDALS WOMEN MNT106:DUSTY PINK:36:SOLID:SLIPPER SANDALS</t>
  </si>
  <si>
    <t>SLIPPER SANDALS WOMEN MNT106:DUSTY PINK:37:SOLID:SLIPPER SANDALS</t>
  </si>
  <si>
    <t>SLIPPER SANDALS WOMEN MNT106:DUSTY PINK:38:SOLID:SLIPPER SANDALS</t>
  </si>
  <si>
    <t>SLIPPER SANDALS WOMEN MNT106:DUSTY PINK:39:SOLID:SLIPPER SANDALS</t>
  </si>
  <si>
    <t>SLIPPER SANDALS WOMEN MNT106:DUSTY PINK:40:SOLID:SLIPPER SANDALS</t>
  </si>
  <si>
    <t>SLIPPER SANDALS WOMEN MNT106:BLACK:36:SOLID:SLIPPER SANDALS</t>
  </si>
  <si>
    <t>SLIPPER SANDALS WOMEN MNT106:BLACK:37:SOLID:SLIPPER SANDALS</t>
  </si>
  <si>
    <t>SLIPPER SANDALS WOMEN MNT106:BLACK:38:SOLID:SLIPPER SANDALS</t>
  </si>
  <si>
    <t>SLIPPER SANDALS WOMEN MNT106:BLACK:39:SOLID:SLIPPER SANDALS</t>
  </si>
  <si>
    <t>SLIPPER SANDALS WOMEN MNT106:BLACK:40:SOLID:SLIPPER SANDALS</t>
  </si>
  <si>
    <t>MNT104</t>
  </si>
  <si>
    <t>SLIPPER SANDALS WOMEN MNT104:BLACK:36:SOLID:SLIPPER SANDALS</t>
  </si>
  <si>
    <t>SLIPPER SANDALS WOMEN MNT104:BLACK:37:SOLID:SLIPPER SANDALS</t>
  </si>
  <si>
    <t>SLIPPER SANDALS WOMEN MNT104:BLACK:38:SOLID:SLIPPER SANDALS</t>
  </si>
  <si>
    <t>SLIPPER SANDALS WOMEN MNT104:BLACK:39:SOLID:SLIPPER SANDALS</t>
  </si>
  <si>
    <t>SLIPPER SANDALS WOMEN MNT104:BLACK:40:SOLID:SLIPPER SANDALS</t>
  </si>
  <si>
    <t>SLIPPER SANDALS WOMEN MNT104:DUSTY PINK:36:SOLID:SLIPPER SANDALS</t>
  </si>
  <si>
    <t>SLIPPER SANDALS WOMEN MNT104:DUSTY PINK:37:SOLID:SLIPPER SANDALS</t>
  </si>
  <si>
    <t>SLIPPER SANDALS WOMEN MNT104:DUSTY PINK:38:SOLID:SLIPPER SANDALS</t>
  </si>
  <si>
    <t>SLIPPER SANDALS WOMEN MNT104:DUSTY PINK:39:SOLID:SLIPPER SANDALS</t>
  </si>
  <si>
    <t>SLIPPER SANDALS WOMEN MNT104:DUSTY PINK:40:SOLID:SLIPPER SANDALS</t>
  </si>
  <si>
    <t>MNT105</t>
  </si>
  <si>
    <t>SLIPPER SANDALS WOMEN MNT105:DUSTY PINK:36:SOLID:SLIPPER SANDALS</t>
  </si>
  <si>
    <t>SLIPPER SANDALS WOMEN MNT105:DUSTY PINK:37:SOLID:SLIPPER SANDALS</t>
  </si>
  <si>
    <t>SLIPPER SANDALS WOMEN MNT105:DUSTY PINK:38:SOLID:SLIPPER SANDALS</t>
  </si>
  <si>
    <t>SLIPPER SANDALS WOMEN MNT105:DUSTY PINK:39:SOLID:SLIPPER SANDALS</t>
  </si>
  <si>
    <t>SLIPPER SANDALS WOMEN MNT105:DUSTY PINK:40:SOLID:SLIPPER SANDALS</t>
  </si>
  <si>
    <t>SLIPPER SANDALS WOMEN MNT105:WHITE:36:SOLID:SLIPPER SANDALS</t>
  </si>
  <si>
    <t>SLIPPER SANDALS WOMEN MNT105:WHITE:37:SOLID:SLIPPER SANDALS</t>
  </si>
  <si>
    <t>SLIPPER SANDALS WOMEN MNT105:WHITE:38:SOLID:SLIPPER SANDALS</t>
  </si>
  <si>
    <t>SLIPPER SANDALS WOMEN MNT105:WHITE:39:SOLID:SLIPPER SANDALS</t>
  </si>
  <si>
    <t>SLIPPER SANDALS WOMEN MNT105:WHITE:40:SOLID:SLIPPER SANDALS</t>
  </si>
  <si>
    <t>MKBAS48</t>
  </si>
  <si>
    <t>SLIPPER SANDALS WOMEN MKBAS48:DUSTY PINK:36:SOLID:SLIPPER SANDALS</t>
  </si>
  <si>
    <t>SLIPPER SANDALS WOMEN MKBAS48:DUSTY PINK:37:SOLID:SLIPPER SANDALS</t>
  </si>
  <si>
    <t>SLIPPER SANDALS WOMEN MKBAS48:DUSTY PINK:38:SOLID:SLIPPER SANDALS</t>
  </si>
  <si>
    <t>SLIPPER SANDALS WOMEN MKBAS48:DUSTY PINK:39:SOLID:SLIPPER SANDALS</t>
  </si>
  <si>
    <t>SLIPPER SANDALS WOMEN MKBAS48:DUSTY PINK:40:SOLID:SLIPPER SANDALS</t>
  </si>
  <si>
    <t>SLIPPER SANDALS WOMEN MKBAS48:BLACK:36:SOLID:SLIPPER SANDALS</t>
  </si>
  <si>
    <t>SLIPPER SANDALS WOMEN MKBAS48:BLACK:37:SOLID:SLIPPER SANDALS</t>
  </si>
  <si>
    <t>SLIPPER SANDALS WOMEN MKBAS48:BLACK:38:SOLID:SLIPPER SANDALS</t>
  </si>
  <si>
    <t>SLIPPER SANDALS WOMEN MKBAS48:BLACK:39:SOLID:SLIPPER SANDALS</t>
  </si>
  <si>
    <t>SLIPPER SANDALS WOMEN MKBAS48:BLACK:40:SOLID:SLIPPER SANDALS</t>
  </si>
  <si>
    <t>MNARB01</t>
  </si>
  <si>
    <t>SNEAKERS WOMEN MNARB01:WHITE:36:SOLID:SNEAKERS</t>
  </si>
  <si>
    <t>SNEAKERS WOMEN MNARB01:WHITE:37:SOLID:SNEAKERS</t>
  </si>
  <si>
    <t>SNEAKERS WOMEN MNARB01:WHITE:38:SOLID:SNEAKERS</t>
  </si>
  <si>
    <t>SNEAKERS WOMEN MNARB01:WHITE:39:SOLID:SNEAKERS</t>
  </si>
  <si>
    <t>SNEAKERS WOMEN MNARB01:WHITE:40:SOLID:SNEAKERS</t>
  </si>
  <si>
    <t>MNARB05</t>
  </si>
  <si>
    <t>SNEAKERS WOMEN MNARB05:CLASSIC PURPLE:36:SOLID:SNEAKERS</t>
  </si>
  <si>
    <t>SNEAKERS WOMEN MNARB05:CLASSIC PURPLE:37:SOLID:SNEAKERS</t>
  </si>
  <si>
    <t>SNEAKERS WOMEN MNARB05:CLASSIC PURPLE:38:SOLID:SNEAKERS</t>
  </si>
  <si>
    <t>SNEAKERS WOMEN MNARB05:CLASSIC PURPLE:39:SOLID:SNEAKERS</t>
  </si>
  <si>
    <t>SNEAKERS WOMEN MNARB05:CLASSIC PURPLE:40:SOLID:SNEAKERS</t>
  </si>
  <si>
    <t>MKARB06</t>
  </si>
  <si>
    <t>SNEAKERS WOMEN MKARB06:WHITE:36:SOLID:SNEAKERS</t>
  </si>
  <si>
    <t>SNEAKERS WOMEN MKARB06:WHITE:37:SOLID:SNEAKERS</t>
  </si>
  <si>
    <t>SNEAKERS WOMEN MKARB06:WHITE:38:SOLID:SNEAKERS</t>
  </si>
  <si>
    <t>SNEAKERS WOMEN MKARB06:WHITE:39:SOLID:SNEAKERS</t>
  </si>
  <si>
    <t>SNEAKERS WOMEN MKARB06:WHITE:40:SOLID:SNEAKERS</t>
  </si>
  <si>
    <t>MNARB101</t>
  </si>
  <si>
    <t>SNEAKERS WOMEN MNARB101:NAVY BLUE:36:SOLID:SNEAKERS</t>
  </si>
  <si>
    <t>SNEAKERS WOMEN MNARB101:NAVY BLUE:37:SOLID:SNEAKERS</t>
  </si>
  <si>
    <t>SNEAKERS WOMEN MNARB101:NAVY BLUE:38:SOLID:SNEAKERS</t>
  </si>
  <si>
    <t>SNEAKERS WOMEN MNARB101:NAVY BLUE:39:SOLID:SNEAKERS</t>
  </si>
  <si>
    <t>SNEAKERS WOMEN MNARB101:NAVY BLUE:40:SOLID:SNEAKERS</t>
  </si>
  <si>
    <t>SNEAKERS WOMEN MNARB101:KHAKI:36:SOLID:SNEAKERS</t>
  </si>
  <si>
    <t>SNEAKERS WOMEN MNARB101:KHAKI:37:SOLID:SNEAKERS</t>
  </si>
  <si>
    <t>SNEAKERS WOMEN MNARB101:KHAKI:38:SOLID:SNEAKERS</t>
  </si>
  <si>
    <t>SNEAKERS WOMEN MNARB101:KHAKI:39:SOLID:SNEAKERS</t>
  </si>
  <si>
    <t>SNEAKERS WOMEN MNARB101:KHAKI:40:SOLID:SNEAKERS</t>
  </si>
  <si>
    <t>MKARB03</t>
  </si>
  <si>
    <t>MULE SANDALS WOMEN MKARB03:WHITE:36:SOLID:MULE SANDALS</t>
  </si>
  <si>
    <t>MULE SANDALS WOMEN MKARB03:WHITE:37:SOLID:MULE SANDALS</t>
  </si>
  <si>
    <t>MULE SANDALS WOMEN MKARB03:WHITE:38:SOLID:MULE SANDALS</t>
  </si>
  <si>
    <t>MULE SANDALS WOMEN MKARB03:WHITE:39:SOLID:MULE SANDALS</t>
  </si>
  <si>
    <t>MULE SANDALS WOMEN MKARB03:WHITE:40:SOLID:MULE SANDALS</t>
  </si>
  <si>
    <t>MKARB04</t>
  </si>
  <si>
    <t>MULE SANDALS WOMEN MKARB04:KHAKI:36:SOLID:MULE SANDALS</t>
  </si>
  <si>
    <t>MULE SANDALS WOMEN MKARB04:KHAKI:37:SOLID:MULE SANDALS</t>
  </si>
  <si>
    <t>MULE SANDALS WOMEN MKARB04:KHAKI:38:SOLID:MULE SANDALS</t>
  </si>
  <si>
    <t>MULE SANDALS WOMEN MKARB04:KHAKI:39:SOLID:MULE SANDALS</t>
  </si>
  <si>
    <t>MULE SANDALS WOMEN MKARB04:KHAKI:40:SOLID:MULE SANDALS</t>
  </si>
  <si>
    <t>DSBAS02</t>
  </si>
  <si>
    <t>FLIP FLOPS MINNIE DSBAS02:WHITE:36:SOLID:FLIP FLOPS</t>
  </si>
  <si>
    <t>FLIP FLOPS MINNIE DSBAS02:WHITE:37:SOLID:FLIP FLOPS</t>
  </si>
  <si>
    <t>FLIP FLOPS MINNIE DSBAS02:WHITE:38:SOLID:FLIP FLOPS</t>
  </si>
  <si>
    <t>FLIP FLOPS MINNIE DSBAS02:WHITE:39:SOLID:FLIP FLOPS</t>
  </si>
  <si>
    <t>FLIP FLOPS MINNIE DSBAS02:WHITE:40:SOLID:FLIP FLOPS</t>
  </si>
  <si>
    <t>FLIP FLOPS MINNIE DSBAS02:PASTEL PINK:36:SOLID:FLIP FLOPS</t>
  </si>
  <si>
    <t>FLIP FLOPS MINNIE DSBAS02:PASTEL PINK:37:SOLID:FLIP FLOPS</t>
  </si>
  <si>
    <t>FLIP FLOPS MINNIE DSBAS02:PASTEL PINK:38:SOLID:FLIP FLOPS</t>
  </si>
  <si>
    <t>FLIP FLOPS MINNIE DSBAS02:PASTEL PINK:39:SOLID:FLIP FLOPS</t>
  </si>
  <si>
    <t>FLIP FLOPS MINNIE DSBAS02:PASTEL PINK:40:SOLID:FLIP FLOPS</t>
  </si>
  <si>
    <t>MNARB02</t>
  </si>
  <si>
    <t>SNEAKERS WOMEN MNARB02:WHITE:36:SOLID:SNEAKERS</t>
  </si>
  <si>
    <t>SNEAKERS WOMEN MNARB02:WHITE:37:SOLID:SNEAKERS</t>
  </si>
  <si>
    <t>SNEAKERS WOMEN MNARB02:WHITE:38:SOLID:SNEAKERS</t>
  </si>
  <si>
    <t>SNEAKERS WOMEN MNARB02:WHITE:39:SOLID:SNEAKERS</t>
  </si>
  <si>
    <t>SNEAKERS WOMEN MNARB02:WHITE:40:SOLID:SNEAKERS</t>
  </si>
  <si>
    <t>MKARB102</t>
  </si>
  <si>
    <t>SNEAKERS WOMEN MKARB102:DUSTY PINK:36:SOLID:SNEAKERS</t>
  </si>
  <si>
    <t>SNEAKERS WOMEN MKARB102:DUSTY PINK:37:SOLID:SNEAKERS</t>
  </si>
  <si>
    <t>SNEAKERS WOMEN MKARB102:DUSTY PINK:38:SOLID:SNEAKERS</t>
  </si>
  <si>
    <t>SNEAKERS WOMEN MKARB102:DUSTY PINK:39:SOLID:SNEAKERS</t>
  </si>
  <si>
    <t>SNEAKERS WOMEN MKARB102:DUSTY PINK:40:SOLID:SNEAKERS</t>
  </si>
  <si>
    <t>SNEAKERS WOMEN MKARB102:FROST GREY:36:SOLID:SNEAKERS</t>
  </si>
  <si>
    <t>SNEAKERS WOMEN MKARB102:FROST GREY:37:SOLID:SNEAKERS</t>
  </si>
  <si>
    <t>SNEAKERS WOMEN MKARB102:FROST GREY:38:SOLID:SNEAKERS</t>
  </si>
  <si>
    <t>SNEAKERS WOMEN MKARB102:FROST GREY:39:SOLID:SNEAKERS</t>
  </si>
  <si>
    <t>SNEAKERS WOMEN MKARB102:FROST GREY:40:SOLID:SNEAKERS</t>
  </si>
  <si>
    <t>DSBAS03</t>
  </si>
  <si>
    <t>MULE SANDALS WOMEN DSBAS03:WHITE:36:SOLID:MULE SANDALS</t>
  </si>
  <si>
    <t>MULE SANDALS WOMEN DSBAS03:WHITE:37:SOLID:MULE SANDALS</t>
  </si>
  <si>
    <t>MULE SANDALS WOMEN DSBAS03:WHITE:38:SOLID:MULE SANDALS</t>
  </si>
  <si>
    <t>MULE SANDALS WOMEN DSBAS03:WHITE:39:SOLID:MULE SANDALS</t>
  </si>
  <si>
    <t>MULE SANDALS WOMEN DSBAS03:WHITE:40:SOLID:MULE SANDALS</t>
  </si>
  <si>
    <t>MULE SANDALS WOMEN DSBAS03:BLACK:36:SOLID:MULE SANDALS</t>
  </si>
  <si>
    <t>MULE SANDALS WOMEN DSBAS03:BLACK:37:SOLID:MULE SANDALS</t>
  </si>
  <si>
    <t>MULE SANDALS WOMEN DSBAS03:BLACK:38:SOLID:MULE SANDALS</t>
  </si>
  <si>
    <t>MULE SANDALS WOMEN DSBAS03:BLACK:39:SOLID:MULE SANDALS</t>
  </si>
  <si>
    <t>MULE SANDALS WOMEN DSBAS03:BLACK:40:SOLID:MULE SANDALS</t>
  </si>
  <si>
    <t>MKHJQ4221</t>
  </si>
  <si>
    <t>FLIP FLOPS MICKEY MKHJQ4221:NAVY BLUE:M:SOLID:FLIP FLOPS</t>
  </si>
  <si>
    <t>FLIP FLOPS MICKEY MKHJQ4221:NAVY BLUE:S:SOLID:FLIP FLOPS</t>
  </si>
  <si>
    <t>FLIP FLOPS MICKEY MKHJQ4221:NAVY BLUE:L:SOLID:FLIP FLOPS</t>
  </si>
  <si>
    <t>FLIP FLOPS MICKEY MKHJQ4221:NAVY BLUE:XL:SOLID:FLIP FLOPS</t>
  </si>
  <si>
    <t>TIMEDEV01</t>
  </si>
  <si>
    <t>SLIPPER SANDALS WOMEN TIMEDEV01:WHITE:36:PRINT:SLIPPER SANDALS</t>
  </si>
  <si>
    <t>SLIPPER SANDALS WOMEN TIMEDEV01:WHITE:37:PRINT:SLIPPER SANDALS</t>
  </si>
  <si>
    <t>SLIPPER SANDALS WOMEN TIMEDEV01:WHITE:38:PRINT:SLIPPER SANDALS</t>
  </si>
  <si>
    <t>SLIPPER SANDALS WOMEN TIMEDEV01:WHITE:39:PRINT:SLIPPER SANDALS</t>
  </si>
  <si>
    <t>SLIPPER SANDALS WOMEN TIMEDEV01:WHITE:40:PRINT:SLIPPER SANDALS</t>
  </si>
  <si>
    <t>SLIPPER SANDALS WOMEN TIMEDEV01:BLACK:36:PRINT:SLIPPER SANDALS</t>
  </si>
  <si>
    <t>SLIPPER SANDALS WOMEN TIMEDEV01:BLACK:37:PRINT:SLIPPER SANDALS</t>
  </si>
  <si>
    <t>SLIPPER SANDALS WOMEN TIMEDEV01:BLACK:38:PRINT:SLIPPER SANDALS</t>
  </si>
  <si>
    <t>SLIPPER SANDALS WOMEN TIMEDEV01:BLACK:39:PRINT:SLIPPER SANDALS</t>
  </si>
  <si>
    <t>SLIPPER SANDALS WOMEN TIMEDEV01:BLACK:40:PRINT:SLIPPER SANDALS</t>
  </si>
  <si>
    <t>MKBAS51</t>
  </si>
  <si>
    <t>SLIPPER SANDALS WOMEN MKBAS51:MUSTARD:36:TEXTURE:SLIPPER SANDALS</t>
  </si>
  <si>
    <t>SLIPPER SANDALS WOMEN MKBAS51:MUSTARD:37:TEXTURE:SLIPPER SANDALS</t>
  </si>
  <si>
    <t>SLIPPER SANDALS WOMEN MKBAS51:MUSTARD:38:TEXTURE:SLIPPER SANDALS</t>
  </si>
  <si>
    <t>SLIPPER SANDALS WOMEN MKBAS51:MUSTARD:39:TEXTURE:SLIPPER SANDALS</t>
  </si>
  <si>
    <t>SLIPPER SANDALS WOMEN MKBAS51:MUSTARD:40:TEXTURE:SLIPPER SANDALS</t>
  </si>
  <si>
    <t>SLIPPER SANDALS WOMEN MKBAS51:WHITE:36:TEXTURE:SLIPPER SANDALS</t>
  </si>
  <si>
    <t>SLIPPER SANDALS WOMEN MKBAS51:WHITE:37:TEXTURE:SLIPPER SANDALS</t>
  </si>
  <si>
    <t>SLIPPER SANDALS WOMEN MKBAS51:WHITE:38:TEXTURE:SLIPPER SANDALS</t>
  </si>
  <si>
    <t>SLIPPER SANDALS WOMEN MKBAS51:WHITE:39:TEXTURE:SLIPPER SANDALS</t>
  </si>
  <si>
    <t>SLIPPER SANDALS WOMEN MKBAS51:WHITE:40:TEXTURE:SLIPPER SANDALS</t>
  </si>
  <si>
    <t>MKBAS55</t>
  </si>
  <si>
    <t>ANKLE STRAP SANDALS WOMEN MKBAS55:PASTEL PINK:36:SOLID:ANKLE STRAP SANDALS</t>
  </si>
  <si>
    <t>ANKLE STRAP SANDALS WOMEN MKBAS55:PASTEL PINK:37:SOLID:ANKLE STRAP SANDALS</t>
  </si>
  <si>
    <t>ANKLE STRAP SANDALS WOMEN MKBAS55:PASTEL PINK:38:SOLID:ANKLE STRAP SANDALS</t>
  </si>
  <si>
    <t>ANKLE STRAP SANDALS WOMEN MKBAS55:PASTEL PINK:39:SOLID:ANKLE STRAP SANDALS</t>
  </si>
  <si>
    <t>ANKLE STRAP SANDALS WOMEN MKBAS55:PASTEL PINK:40:SOLID:ANKLE STRAP SANDALS</t>
  </si>
  <si>
    <t>ANKLE STRAP SANDALS WOMEN MKBAS55:BLACK:40:SOLID:ANKLE STRAP SANDALS</t>
  </si>
  <si>
    <t>ANKLE STRAP SANDALS WOMEN MKBAS55:BLACK:36:SOLID:ANKLE STRAP SANDALS</t>
  </si>
  <si>
    <t>ANKLE STRAP SANDALS WOMEN MKBAS55:BLACK:37:SOLID:ANKLE STRAP SANDALS</t>
  </si>
  <si>
    <t>ANKLE STRAP SANDALS WOMEN MKBAS55:BLACK:38:SOLID:ANKLE STRAP SANDALS</t>
  </si>
  <si>
    <t>ANKLE STRAP SANDALS WOMEN MKBAS55:BLACK:39:SOLID:ANKLE STRAP SANDALS</t>
  </si>
  <si>
    <t>HK006</t>
  </si>
  <si>
    <t>ANKLE STRAP SANDALS WOMEN HK006:TURQOUISE:36:SOLID:ANKLE STRAP SANDALS</t>
  </si>
  <si>
    <t>ANKLE STRAP SANDALS WOMEN HK006:TURQOUISE:37:SOLID:ANKLE STRAP SANDALS</t>
  </si>
  <si>
    <t>ANKLE STRAP SANDALS WOMEN HK006:TURQOUISE:38:SOLID:ANKLE STRAP SANDALS</t>
  </si>
  <si>
    <t>ANKLE STRAP SANDALS WOMEN HK006:TURQOUISE:39:SOLID:ANKLE STRAP SANDALS</t>
  </si>
  <si>
    <t>ANKLE STRAP SANDALS WOMEN HK006:TURQOUISE:40:SOLID:ANKLE STRAP SANDALS</t>
  </si>
  <si>
    <t>HK009</t>
  </si>
  <si>
    <t>ANKLE STRAP SANDALS WOMEN HK009:BLACK:36:STRIPES:ANKLE STRAP SANDALS</t>
  </si>
  <si>
    <t>ANKLE STRAP SANDALS WOMEN HK009:BLACK:38:STRIPES:ANKLE STRAP SANDALS</t>
  </si>
  <si>
    <t>ANKLE STRAP SANDALS WOMEN HK009:BLACK:39:STRIPES:ANKLE STRAP SANDALS</t>
  </si>
  <si>
    <t>ANKLE STRAP SANDALS WOMEN HK009:BLACK:40:STRIPES:ANKLE STRAP SANDALS</t>
  </si>
  <si>
    <t>ANKLE STRAP SANDALS WOMEN HK009:BLACK:37:STRIPES:ANKLE STRAP SANDALS</t>
  </si>
  <si>
    <t>MKBAS58</t>
  </si>
  <si>
    <t>SLINGBACK SANDALS WOMEN MKBAS58:KHAKI:36:PRINT:SLINGBACK SANDALS</t>
  </si>
  <si>
    <t>SLINGBACK SANDALS WOMEN MKBAS58:KHAKI:37:PRINT:SLINGBACK SANDALS</t>
  </si>
  <si>
    <t>SLINGBACK SANDALS WOMEN MKBAS58:KHAKI:38:PRINT:SLINGBACK SANDALS</t>
  </si>
  <si>
    <t>SLINGBACK SANDALS WOMEN MKBAS58:KHAKI:39:PRINT:SLINGBACK SANDALS</t>
  </si>
  <si>
    <t>SLINGBACK SANDALS WOMEN MKBAS58:KHAKI:40:PRINT:SLINGBACK SANDALS</t>
  </si>
  <si>
    <t>SLINGBACK SANDALS WOMEN MKBAS58:BLACK:36:PRINT:SLINGBACK SANDALS</t>
  </si>
  <si>
    <t>SLINGBACK SANDALS WOMEN MKBAS58:BLACK:37:PRINT:SLINGBACK SANDALS</t>
  </si>
  <si>
    <t>SLINGBACK SANDALS WOMEN MKBAS58:BLACK:38:PRINT:SLINGBACK SANDALS</t>
  </si>
  <si>
    <t>SLINGBACK SANDALS WOMEN MKBAS58:BLACK:39:PRINT:SLINGBACK SANDALS</t>
  </si>
  <si>
    <t>SLINGBACK SANDALS WOMEN MKBAS58:BLACK:40:PRINT:SLINGBACK SANDALS</t>
  </si>
  <si>
    <t>TIMEDEV09</t>
  </si>
  <si>
    <t>ANKLE STRAP SANDALS WOMEN TIMEDEV09:BLACK:36:GRAPHIC:ANKLE STRAP SANDALS</t>
  </si>
  <si>
    <t>ANKLE STRAP SANDALS WOMEN TIMEDEV09:BLACK:37:GRAPHIC:ANKLE STRAP SANDALS</t>
  </si>
  <si>
    <t>ANKLE STRAP SANDALS WOMEN TIMEDEV09:BLACK:38:GRAPHIC:ANKLE STRAP SANDALS</t>
  </si>
  <si>
    <t>ANKLE STRAP SANDALS WOMEN TIMEDEV09:BLACK:39:GRAPHIC:ANKLE STRAP SANDALS</t>
  </si>
  <si>
    <t>ANKLE STRAP SANDALS WOMEN TIMEDEV09:BLACK:40:GRAPHIC:ANKLE STRAP SANDALS</t>
  </si>
  <si>
    <t>ANKLE STRAP SANDALS WOMEN TIMEDEV09:WHITE:36:GRAPHIC:ANKLE STRAP SANDALS</t>
  </si>
  <si>
    <t>ANKLE STRAP SANDALS WOMEN TIMEDEV09:WHITE:37:GRAPHIC:ANKLE STRAP SANDALS</t>
  </si>
  <si>
    <t>ANKLE STRAP SANDALS WOMEN TIMEDEV09:WHITE:38:GRAPHIC:ANKLE STRAP SANDALS</t>
  </si>
  <si>
    <t>ANKLE STRAP SANDALS WOMEN TIMEDEV09:WHITE:39:GRAPHIC:ANKLE STRAP SANDALS</t>
  </si>
  <si>
    <t>ANKLE STRAP SANDALS WOMEN TIMEDEV09:WHITE:40:GRAPHIC:ANKLE STRAP SANDALS</t>
  </si>
  <si>
    <t>MKBAS60</t>
  </si>
  <si>
    <t>T-BAR SANDALS WOMEN MKBAS60:BLACK:36:SOLID:T-BAR SANDALS</t>
  </si>
  <si>
    <t>T-BAR SANDALS WOMEN MKBAS60:BLACK:37:SOLID:T-BAR SANDALS</t>
  </si>
  <si>
    <t>T-BAR SANDALS WOMEN MKBAS60:BLACK:38:SOLID:T-BAR SANDALS</t>
  </si>
  <si>
    <t>T-BAR SANDALS WOMEN MKBAS60:BLACK:39:SOLID:T-BAR SANDALS</t>
  </si>
  <si>
    <t>T-BAR SANDALS WOMEN MKBAS60:BLACK:40:SOLID:T-BAR SANDALS</t>
  </si>
  <si>
    <t>T-BAR SANDALS WOMEN MKBAS60:LIGHT BLUE:36:SOLID:T-BAR SANDALS</t>
  </si>
  <si>
    <t>T-BAR SANDALS WOMEN MKBAS60:LIGHT BLUE:37:SOLID:T-BAR SANDALS</t>
  </si>
  <si>
    <t>T-BAR SANDALS WOMEN MKBAS60:LIGHT BLUE:38:SOLID:T-BAR SANDALS</t>
  </si>
  <si>
    <t>T-BAR SANDALS WOMEN MKBAS60:LIGHT BLUE:39:SOLID:T-BAR SANDALS</t>
  </si>
  <si>
    <t>T-BAR SANDALS WOMEN MKBAS60:LIGHT BLUE:40:SOLID:T-BAR SANDALS</t>
  </si>
  <si>
    <t>TS211</t>
  </si>
  <si>
    <t>T-BAR SANDALS WOMEN TS211:BLACK:40:SOLID:T-BAR SANDALS</t>
  </si>
  <si>
    <t>T-BAR SANDALS WOMEN TS211:BLACK:39:SOLID:T-BAR SANDALS</t>
  </si>
  <si>
    <t>T-BAR SANDALS WOMEN TS211:BLACK:38:SOLID:T-BAR SANDALS</t>
  </si>
  <si>
    <t>T-BAR SANDALS WOMEN TS211:KHAKI:36:SOLID:T-BAR SANDALS</t>
  </si>
  <si>
    <t>T-BAR SANDALS WOMEN TS211:KHAKI:37:SOLID:T-BAR SANDALS</t>
  </si>
  <si>
    <t>T-BAR SANDALS WOMEN TS211:KHAKI:38:SOLID:T-BAR SANDALS</t>
  </si>
  <si>
    <t>T-BAR SANDALS WOMEN TS211:KHAKI:39:SOLID:T-BAR SANDALS</t>
  </si>
  <si>
    <t>T-BAR SANDALS WOMEN TS211:KHAKI:40:SOLID:T-BAR SANDALS</t>
  </si>
  <si>
    <t>T-BAR SANDALS WOMEN TS211:BLACK:36:SOLID:T-BAR SANDALS</t>
  </si>
  <si>
    <t>T-BAR SANDALS WOMEN TS211:BLACK:37:SOLID:T-BAR SANDALS</t>
  </si>
  <si>
    <t>SLIPPER SANDALS MINNIE MNBAS28:WHITE:39:SOLID:SLIPPER SANDALS</t>
  </si>
  <si>
    <t>SLIPPER SANDALS MINNIE MNBAS28:WHITE:37:SOLID:SLIPPER SANDALS</t>
  </si>
  <si>
    <t>SLIPPER SANDALS MINNIE MNBAS28:WHITE:36:SOLID:SLIPPER SANDALS</t>
  </si>
  <si>
    <t>SLIPPER SANDALS MINNIE MNBAS28:WHITE:38:SOLID:SLIPPER SANDALS</t>
  </si>
  <si>
    <t>SLIPPER SANDALS MINNIE MNBAS28:WHITE:40:SOLID:SLIPPER SANDALS</t>
  </si>
  <si>
    <t>SLIPPER SANDALS WOMEN MKBAS34:KHAKI:36:PRINT:SLIPPER SANDALS</t>
  </si>
  <si>
    <t>SLIPPER SANDALS WOMEN MKBAS34:KHAKI:37:PRINT:SLIPPER SANDALS</t>
  </si>
  <si>
    <t>SLIPPER SANDALS WOMEN MKBAS34:KHAKI:38:PRINT:SLIPPER SANDALS</t>
  </si>
  <si>
    <t>SLIPPER SANDALS WOMEN MKBAS34:KHAKI:39:PRINT:SLIPPER SANDALS</t>
  </si>
  <si>
    <t>SLIPPER SANDALS WOMEN MKBAS34:KHAKI:40:PRINT:SLIPPER SANDALS</t>
  </si>
  <si>
    <t>SLIPPER SANDALS WOMEN MK2216:OLIVE:36:PRINT:SLIPPER SANDALS</t>
  </si>
  <si>
    <t>SLIPPER SANDALS WOMEN MK2216:OLIVE:37:PRINT:SLIPPER SANDALS</t>
  </si>
  <si>
    <t>SLIPPER SANDALS WOMEN MK2216:OLIVE:38:PRINT:SLIPPER SANDALS</t>
  </si>
  <si>
    <t>SLIPPER SANDALS WOMEN MK2216:OLIVE:39:PRINT:SLIPPER SANDALS</t>
  </si>
  <si>
    <t>SLIPPER SANDALS WOMEN MK2216:OLIVE:40:PRINT:SLIPPER SANDALS</t>
  </si>
  <si>
    <t>MARB107</t>
  </si>
  <si>
    <t>BALLERINAS WOMEN MARB107:BLACK:36:SOLID:BALLERINA</t>
  </si>
  <si>
    <t>BALLERINAS WOMEN MARB107:BLACK:37:SOLID:BALLERINA</t>
  </si>
  <si>
    <t>BALLERINAS WOMEN MARB107:BLACK:38:SOLID:BALLERINA</t>
  </si>
  <si>
    <t>BALLERINAS WOMEN MARB107:BLACK:39:SOLID:BALLERINA</t>
  </si>
  <si>
    <t>BALLERINAS WOMEN MARB107:BLACK:40:SOLID:BALLERINA</t>
  </si>
  <si>
    <t>BALLERINAS WOMEN MARB107:WHITE:36:PRINT:BALLERINA</t>
  </si>
  <si>
    <t>BALLERINAS WOMEN MARB107:WHITE:37:PRINT:BALLERINA</t>
  </si>
  <si>
    <t>BALLERINAS WOMEN MARB107:WHITE:38:PRINT:BALLERINA</t>
  </si>
  <si>
    <t>BALLERINAS WOMEN MARB107:WHITE:39:PRINT:BALLERINA</t>
  </si>
  <si>
    <t>BALLERINAS WOMEN MARB107:WHITE:40:PRINT:BALLERINA</t>
  </si>
  <si>
    <t>MNHL003</t>
  </si>
  <si>
    <t>SNEAKERS WOMEN MNHL003:WHITE:36:PRINT:SNEAKERS</t>
  </si>
  <si>
    <t>SNEAKERS WOMEN MNHL003:WHITE:37:PRINT:SNEAKERS</t>
  </si>
  <si>
    <t>SNEAKERS WOMEN MNHL003:WHITE:38:PRINT:SNEAKERS</t>
  </si>
  <si>
    <t>SNEAKERS WOMEN MNHL003:WHITE:39:PRINT:SNEAKERS</t>
  </si>
  <si>
    <t>SNEAKERS WOMEN MNHL003:WHITE:40:PRINT:SNEAKERS</t>
  </si>
  <si>
    <t>SNEAKERS WOMEN MNHL003:PASTEL PINK:36:PRINT:SNEAKERS</t>
  </si>
  <si>
    <t>SNEAKERS WOMEN MNHL003:PASTEL PINK:37:PRINT:SNEAKERS</t>
  </si>
  <si>
    <t>SNEAKERS WOMEN MNHL003:PASTEL PINK:38:PRINT:SNEAKERS</t>
  </si>
  <si>
    <t>SNEAKERS WOMEN MNHL003:PASTEL PINK:39:PRINT:SNEAKERS</t>
  </si>
  <si>
    <t>SNEAKERS WOMEN MNHL003:PASTEL PINK:40:PRINT:SNEAKERS</t>
  </si>
  <si>
    <t>MNHL009</t>
  </si>
  <si>
    <t>SNEAKERS WOMEN MNHL009:WHITE:36:GRAPHIC:SNEAKERS</t>
  </si>
  <si>
    <t>SNEAKERS WOMEN MNHL009:WHITE:37:GRAPHIC:SNEAKERS</t>
  </si>
  <si>
    <t>SNEAKERS WOMEN MNHL009:WHITE:38:GRAPHIC:SNEAKERS</t>
  </si>
  <si>
    <t>SNEAKERS WOMEN MNHL009:WHITE:39:GRAPHIC:SNEAKERS</t>
  </si>
  <si>
    <t>SNEAKERS WOMEN MNHL009:WHITE:40:GRAPHIC:SNEAKERS</t>
  </si>
  <si>
    <t>SNEAKERS WOMEN MNHL009:BLACK:36:GRAPHIC:SNEAKERS</t>
  </si>
  <si>
    <t>SNEAKERS WOMEN MNHL009:BLACK:37:GRAPHIC:SNEAKERS</t>
  </si>
  <si>
    <t>SNEAKERS WOMEN MNHL009:BLACK:38:GRAPHIC:SNEAKERS</t>
  </si>
  <si>
    <t>SNEAKERS WOMEN MNHL009:BLACK:39:GRAPHIC:SNEAKERS</t>
  </si>
  <si>
    <t>SNEAKERS WOMEN MNHL009:BLACK:40:GRAPHIC:SNEAKERS</t>
  </si>
  <si>
    <t>MKBAS70</t>
  </si>
  <si>
    <t>SNEAKERS WOMEN MKBAS70:BLACK:36:PRINT:SNEAKERS</t>
  </si>
  <si>
    <t>SNEAKERS WOMEN MKBAS70:BLACK:37:PRINT:SNEAKERS</t>
  </si>
  <si>
    <t>SNEAKERS WOMEN MKBAS70:BLACK:38:PRINT:SNEAKERS</t>
  </si>
  <si>
    <t>SNEAKERS WOMEN MKBAS70:BLACK:39:PRINT:SNEAKERS</t>
  </si>
  <si>
    <t>SNEAKERS WOMEN MKBAS70:BLACK:40:PRINT:SNEAKERS</t>
  </si>
  <si>
    <t>SNEAKERS WOMEN MKBAS70:WHITE:36:PRINT:SNEAKERS</t>
  </si>
  <si>
    <t>SNEAKERS WOMEN MKBAS70:WHITE:37:PRINT:SNEAKERS</t>
  </si>
  <si>
    <t>SNEAKERS WOMEN MKBAS70:WHITE:38:PRINT:SNEAKERS</t>
  </si>
  <si>
    <t>SNEAKERS WOMEN MKBAS70:WHITE:39:PRINT:SNEAKERS</t>
  </si>
  <si>
    <t>SNEAKERS WOMEN MKBAS70:WHITE:40:PRINT:SNEAKERS</t>
  </si>
  <si>
    <t>MNARB105</t>
  </si>
  <si>
    <t>SNEAKERS WOMEN MNARB105:DUSTY PINK:36:PRINT:SNEAKERS</t>
  </si>
  <si>
    <t>SNEAKERS WOMEN MNARB105:DUSTY PINK:37:PRINT:SNEAKERS</t>
  </si>
  <si>
    <t>SNEAKERS WOMEN MNARB105:DUSTY PINK:38:PRINT:SNEAKERS</t>
  </si>
  <si>
    <t>SNEAKERS WOMEN MNARB105:DUSTY PINK:39:PRINT:SNEAKERS</t>
  </si>
  <si>
    <t>SNEAKERS WOMEN MNARB105:DUSTY PINK:40:PRINT:SNEAKERS</t>
  </si>
  <si>
    <t>MKARB106</t>
  </si>
  <si>
    <t>SNEAKERS WOMEN MKARB106:WHITE:36:PRINT:SNEAKERS</t>
  </si>
  <si>
    <t>SNEAKERS WOMEN MKARB106:WHITE:37:PRINT:SNEAKERS</t>
  </si>
  <si>
    <t>SNEAKERS WOMEN MKARB106:WHITE:38:PRINT:SNEAKERS</t>
  </si>
  <si>
    <t>SNEAKERS WOMEN MKARB106:WHITE:39:PRINT:SNEAKERS</t>
  </si>
  <si>
    <t>SNEAKERS WOMEN MKARB106:WHITE:40:PRINT:SNEAKERS</t>
  </si>
  <si>
    <t>MNT111</t>
  </si>
  <si>
    <t>SLIPPER SANDALS WOMEN MNT111:BLACK:36:PRINT:SLIPPER SANDALS</t>
  </si>
  <si>
    <t>SLIPPER SANDALS WOMEN MNT111:BLACK:37:PRINT:SLIPPER SANDALS</t>
  </si>
  <si>
    <t>SLIPPER SANDALS WOMEN MNT111:BLACK:38:PRINT:SLIPPER SANDALS</t>
  </si>
  <si>
    <t>SLIPPER SANDALS WOMEN MNT111:BLACK:39:PRINT:SLIPPER SANDALS</t>
  </si>
  <si>
    <t>SLIPPER SANDALS WOMEN MNT111:BLACK:40:PRINT:SLIPPER SANDALS</t>
  </si>
  <si>
    <t>SLIPPER SANDALS WOMEN MNT111:NAVY BLUE:36:PRINT:SLIPPER SANDALS</t>
  </si>
  <si>
    <t>SLIPPER SANDALS WOMEN MNT111:NAVY BLUE:37:PRINT:SLIPPER SANDALS</t>
  </si>
  <si>
    <t>SLIPPER SANDALS WOMEN MNT111:NAVY BLUE:38:PRINT:SLIPPER SANDALS</t>
  </si>
  <si>
    <t>SLIPPER SANDALS WOMEN MNT111:NAVY BLUE:39:PRINT:SLIPPER SANDALS</t>
  </si>
  <si>
    <t>SLIPPER SANDALS WOMEN MNT111:NAVY BLUE:40:PRINT:SLIPPER SANDALS</t>
  </si>
  <si>
    <t>TIMEDEV04</t>
  </si>
  <si>
    <t>SLIPPER SANDALS WOMEN TIMEDEV04:BLACK:36:PRINT:SLIPPER SANDALS</t>
  </si>
  <si>
    <t>SLIPPER SANDALS WOMEN TIMEDEV04:BLACK:37:PRINT:SLIPPER SANDALS</t>
  </si>
  <si>
    <t>SLIPPER SANDALS WOMEN TIMEDEV04:BLACK:38:PRINT:SLIPPER SANDALS</t>
  </si>
  <si>
    <t>SLIPPER SANDALS WOMEN TIMEDEV04:BLACK:39:PRINT:SLIPPER SANDALS</t>
  </si>
  <si>
    <t>SLIPPER SANDALS WOMEN TIMEDEV04:BLACK:40:PRINT:SLIPPER SANDALS</t>
  </si>
  <si>
    <t>TIMEDEV03</t>
  </si>
  <si>
    <t>SLIPPER SANDALS WOMEN TIMEDEV03:SAND:36:PRINT:SLIPPER SANDALS</t>
  </si>
  <si>
    <t>SLIPPER SANDALS WOMEN TIMEDEV03:SAND:37:PRINT:SLIPPER SANDALS</t>
  </si>
  <si>
    <t>SLIPPER SANDALS WOMEN TIMEDEV03:SAND:38:PRINT:SLIPPER SANDALS</t>
  </si>
  <si>
    <t>SLIPPER SANDALS WOMEN TIMEDEV03:SAND:39:PRINT:SLIPPER SANDALS</t>
  </si>
  <si>
    <t>SLIPPER SANDALS WOMEN TIMEDEV03:SAND:40:PRINT:SLIPPER SANDALS</t>
  </si>
  <si>
    <t>MKBAS22</t>
  </si>
  <si>
    <t>SLIPPER SANDALS MICKEY MKBAS22:WHITE:36:SOLID:SLIPPER SANDALS</t>
  </si>
  <si>
    <t>SLIPPER SANDALS MICKEY MKBAS22:WHITE:37:SOLID:SLIPPER SANDALS</t>
  </si>
  <si>
    <t>SLIPPER SANDALS MICKEY MKBAS22:KHAKI:36:SOLID:SLIPPER SANDALS</t>
  </si>
  <si>
    <t>SLIPPER SANDALS MICKEY MKBAS22:WHITE:38:SOLID:SLIPPER SANDALS</t>
  </si>
  <si>
    <t>SLIPPER SANDALS MICKEY MKBAS22:WHITE:39:SOLID:SLIPPER SANDALS</t>
  </si>
  <si>
    <t>SLIPPER SANDALS MICKEY MKBAS22:KHAKI:39:SOLID:SLIPPER SANDALS</t>
  </si>
  <si>
    <t>SLIPPER SANDALS MICKEY MKBAS22:KHAKI:38:SOLID:SLIPPER SANDALS</t>
  </si>
  <si>
    <t>SLIPPER SANDALS MICKEY MKBAS22:KHAKI:40:SOLID:SLIPPER SANDALS</t>
  </si>
  <si>
    <t>SLIPPER SANDALS MICKEY MKBAS22:WHITE:40:SOLID:SLIPPER SANDALS</t>
  </si>
  <si>
    <t>SLINGBACK SANDALS MICKEY MKBAS20:NAVY BLUE:37:SOLID:SLINGBACK SANDAL</t>
  </si>
  <si>
    <t>SLINGBACK SANDALS MICKEY MKBAS20:NAVY BLUE:40:SOLID:SLINGBACK SANDAL</t>
  </si>
  <si>
    <t>SLINGBACK SANDALS MICKEY MKBAS20:NAVY BLUE:38:SOLID:SLINGBACK SANDAL</t>
  </si>
  <si>
    <t>SLINGBACK SANDALS MICKEY MKBAS20:NAVY BLUE:36:SOLID:SLINGBACK SANDAL</t>
  </si>
  <si>
    <t>SLINGBACK SANDALS WOMEN MKBAS20:BLACK:36:PRINT:SLINGBACK SANDALS</t>
  </si>
  <si>
    <t>SLINGBACK SANDALS WOMEN MKBAS20:BLACK:37:PRINT:SLINGBACK SANDALS</t>
  </si>
  <si>
    <t>SLINGBACK SANDALS WOMEN MKBAS20:BLACK:38:PRINT:SLINGBACK SANDALS</t>
  </si>
  <si>
    <t>SLINGBACK SANDALS WOMEN MKBAS20:BLACK:39:PRINT:SLINGBACK SANDALS</t>
  </si>
  <si>
    <t>SLINGBACK SANDALS WOMEN MKBAS20:BLACK:40:PRINT:SLINGBACK SANDALS</t>
  </si>
  <si>
    <t>MKBAS72</t>
  </si>
  <si>
    <t>SLIPPER SANDALS WOMEN MKBAS72:WHITE:36:PRINT:SLIPPER SANDALS</t>
  </si>
  <si>
    <t>SLIPPER SANDALS WOMEN MKBAS72:WHITE:37:PRINT:SLIPPER SANDALS</t>
  </si>
  <si>
    <t>SLIPPER SANDALS WOMEN MKBAS72:WHITE:38:PRINT:SLIPPER SANDALS</t>
  </si>
  <si>
    <t>SLIPPER SANDALS WOMEN MKBAS72:WHITE:39:PRINT:SLIPPER SANDALS</t>
  </si>
  <si>
    <t>SLIPPER SANDALS WOMEN MKBAS72:WHITE:40:PRINT:SLIPPER SANDALS</t>
  </si>
  <si>
    <t>SLIPPER SANDALS WOMEN MKBAS72:KHAKI:36:PRINT:SLIPPER SANDALS</t>
  </si>
  <si>
    <t>SLIPPER SANDALS WOMEN MKBAS72:KHAKI:37:PRINT:SLIPPER SANDALS</t>
  </si>
  <si>
    <t>SLIPPER SANDALS WOMEN MKBAS72:KHAKI:38:PRINT:SLIPPER SANDALS</t>
  </si>
  <si>
    <t>SLIPPER SANDALS WOMEN MKBAS72:KHAKI:39:PRINT:SLIPPER SANDALS</t>
  </si>
  <si>
    <t>SLIPPER SANDALS WOMEN MKBAS72:KHAKI:40:PRINT:SLIPPER SANDALS</t>
  </si>
  <si>
    <t>MARB108</t>
  </si>
  <si>
    <t>ANKLE STRAP SANDALS WOMEN MARB108:WHITE:36:SOLID:ANKLE STRAP SANDALS</t>
  </si>
  <si>
    <t>ANKLE STRAP SANDALS WOMEN MARB108:WHITE:37:SOLID:ANKLE STRAP SANDALS</t>
  </si>
  <si>
    <t>ANKLE STRAP SANDALS WOMEN MARB108:WHITE:38:SOLID:ANKLE STRAP SANDALS</t>
  </si>
  <si>
    <t>ANKLE STRAP SANDALS WOMEN MARB108:WHITE:39:SOLID:ANKLE STRAP SANDALS</t>
  </si>
  <si>
    <t>ANKLE STRAP SANDALS WOMEN MARB108:WHITE:40:SOLID:ANKLE STRAP SANDALS</t>
  </si>
  <si>
    <t>ANKLE STRAP SANDALS WOMEN MARB108:BLACK:36:SOLID:ANKLE STRAP SANDALS</t>
  </si>
  <si>
    <t>ANKLE STRAP SANDALS WOMEN MARB108:BLACK:37:SOLID:ANKLE STRAP SANDALS</t>
  </si>
  <si>
    <t>ANKLE STRAP SANDALS WOMEN MARB108:BLACK:38:SOLID:ANKLE STRAP SANDALS</t>
  </si>
  <si>
    <t>ANKLE STRAP SANDALS WOMEN MARB108:BLACK:39:SOLID:ANKLE STRAP SANDALS</t>
  </si>
  <si>
    <t>ANKLE STRAP SANDALS WOMEN MARB108:BLACK:40:SOLID:ANKLE STRAP SANDALS</t>
  </si>
  <si>
    <t>MARB110</t>
  </si>
  <si>
    <t>SLIPPER SANDALS WOMEN MARB110:KHAKI:36:PRINT:SLIPPER SANDALS</t>
  </si>
  <si>
    <t>SLIPPER SANDALS WOMEN MARB110:KHAKI:37:PRINT:SLIPPER SANDALS</t>
  </si>
  <si>
    <t>SLIPPER SANDALS WOMEN MARB110:KHAKI:38:PRINT:SLIPPER SANDALS</t>
  </si>
  <si>
    <t>SLIPPER SANDALS WOMEN MARB110:KHAKI:39:PRINT:SLIPPER SANDALS</t>
  </si>
  <si>
    <t>SLIPPER SANDALS WOMEN MARB110:KHAKI:40:PRINT:SLIPPER SANDALS</t>
  </si>
  <si>
    <t>SLINGBACK SANDALS MICKEY MKBAS20:NAVY BLUE:39:SOLID:SLINGBACK SANDAL</t>
  </si>
  <si>
    <t>SLIPPER SANDALS MICKEY MKBAS22:KHAKI:37:SOLID:SLIPPER SANDALS</t>
  </si>
  <si>
    <t>MKBAS76</t>
  </si>
  <si>
    <t>SLIPPER SANDALS WOMEN MKBAS76:BLACK:36:SOLID:SLIPPER SANDALS</t>
  </si>
  <si>
    <t>SLIPPER SANDALS WOMEN MKBAS76:BLACK:37:SOLID:SLIPPER SANDALS</t>
  </si>
  <si>
    <t>SLIPPER SANDALS WOMEN MKBAS76:BLACK:38:SOLID:SLIPPER SANDALS</t>
  </si>
  <si>
    <t>SLIPPER SANDALS WOMEN MKBAS76:BLACK:39:SOLID:SLIPPER SANDALS</t>
  </si>
  <si>
    <t>SLIPPER SANDALS WOMEN MKBAS76:BLACK:40:SOLID:SLIPPER SANDALS</t>
  </si>
  <si>
    <t>SLIPPER SANDALS WOMEN MKBAS76:WHITE:36:SOLID:SLIPPER SANDALS</t>
  </si>
  <si>
    <t>SLIPPER SANDALS WOMEN MKBAS76:WHITE:37:SOLID:SLIPPER SANDALS</t>
  </si>
  <si>
    <t>SLIPPER SANDALS WOMEN MKBAS76:WHITE:38:SOLID:SLIPPER SANDALS</t>
  </si>
  <si>
    <t>SLIPPER SANDALS WOMEN MKBAS76:WHITE:39:SOLID:SLIPPER SANDALS</t>
  </si>
  <si>
    <t>SLIPPER SANDALS WOMEN MKBAS76:WHITE:40:SOLID:SLIPPER SANDALS</t>
  </si>
  <si>
    <t>MKBAS77</t>
  </si>
  <si>
    <t>SLIPPER SANDALS WOMEN MKBAS77:BLACK:36:SOLID:SLIPPER SANDALS</t>
  </si>
  <si>
    <t>SLIPPER SANDALS WOMEN MKBAS77:BLACK:37:SOLID:SLIPPER SANDALS</t>
  </si>
  <si>
    <t>SLIPPER SANDALS WOMEN MKBAS77:BLACK:38:SOLID:SLIPPER SANDALS</t>
  </si>
  <si>
    <t>SLIPPER SANDALS WOMEN MKBAS77:BLACK:39:SOLID:SLIPPER SANDALS</t>
  </si>
  <si>
    <t>SLIPPER SANDALS WOMEN MKBAS77:BLACK:40:SOLID:SLIPPER SANDALS</t>
  </si>
  <si>
    <t>SLIPPER SANDALS WOMEN MKBAS77:LIGHT BLUE:36:SOLID:SLIPPER SANDALS</t>
  </si>
  <si>
    <t>SLIPPER SANDALS WOMEN MKBAS77:LIGHT BLUE:37:SOLID:SLIPPER SANDALS</t>
  </si>
  <si>
    <t>SLIPPER SANDALS WOMEN MKBAS77:LIGHT BLUE:38:SOLID:SLIPPER SANDALS</t>
  </si>
  <si>
    <t>SLIPPER SANDALS WOMEN MKBAS77:LIGHT BLUE:39:SOLID:SLIPPER SANDALS</t>
  </si>
  <si>
    <t>SLIPPER SANDALS WOMEN MKBAS77:LIGHT BLUE:40:SOLID:SLIPPER SANDALS</t>
  </si>
  <si>
    <t>TELLA 1</t>
  </si>
  <si>
    <t>SLINGBACK SANDALS WOMEN TELLA 1:BLACK:36:GRAPHIC:SLINGBACK SANDALS</t>
  </si>
  <si>
    <t>SLINGBACK SANDALS WOMEN TELLA 1:BLACK:37:GRAPHIC:SLINGBACK SANDALS</t>
  </si>
  <si>
    <t>SLINGBACK SANDALS WOMEN TELLA 1:BLACK:38:GRAPHIC:SLINGBACK SANDALS</t>
  </si>
  <si>
    <t>SLINGBACK SANDALS WOMEN TELLA 1:BLACK:39:GRAPHIC:SLINGBACK SANDALS</t>
  </si>
  <si>
    <t>SLINGBACK SANDALS WOMEN TELLA 1:BLACK:40:GRAPHIC:SLINGBACK SANDALS</t>
  </si>
  <si>
    <t>SLINGBACK SANDALS WOMEN TELLA 1:NAVY BLUE:36:GRAPHIC:SLINGBACK SANDALS</t>
  </si>
  <si>
    <t>SLINGBACK SANDALS WOMEN TELLA 1:NAVY BLUE:37:GRAPHIC:SLINGBACK SANDALS</t>
  </si>
  <si>
    <t>SLINGBACK SANDALS WOMEN TELLA 1:NAVY BLUE:38:GRAPHIC:SLINGBACK SANDALS</t>
  </si>
  <si>
    <t>SLINGBACK SANDALS WOMEN TELLA 1:NAVY BLUE:39:GRAPHIC:SLINGBACK SANDALS</t>
  </si>
  <si>
    <t>SLINGBACK SANDALS WOMEN TELLA 1:NAVY BLUE:40:GRAPHIC:SLINGBACK SANDALS</t>
  </si>
  <si>
    <t>MKBAS73</t>
  </si>
  <si>
    <t>SLIPPER SANDALS WOMEN MKBAS73:WHITE:37:PRINT:SLIPPER SANDALS</t>
  </si>
  <si>
    <t>SLIPPER SANDALS WOMEN MKBAS73:WHITE:38:PRINT:SLIPPER SANDALS</t>
  </si>
  <si>
    <t>SLIPPER SANDALS WOMEN MKBAS73:WHITE:39:PRINT:SLIPPER SANDALS</t>
  </si>
  <si>
    <t>SLIPPER SANDALS WOMEN MKBAS73:WHITE:40:PRINT:SLIPPER SANDALS</t>
  </si>
  <si>
    <t>SLIPPER SANDALS WOMEN MKBAS73:BLACK:36:PRINT:SLIPPER SANDALS</t>
  </si>
  <si>
    <t>SLIPPER SANDALS WOMEN MKBAS73:BLACK:37:PRINT:SLIPPER SANDALS</t>
  </si>
  <si>
    <t>SLIPPER SANDALS WOMEN MKBAS73:BLACK:38:PRINT:SLIPPER SANDALS</t>
  </si>
  <si>
    <t>SLIPPER SANDALS WOMEN MKBAS73:BLACK:39:PRINT:SLIPPER SANDALS</t>
  </si>
  <si>
    <t>SLIPPER SANDALS WOMEN MKBAS73:BLACK:40:PRINT:SLIPPER SANDALS</t>
  </si>
  <si>
    <t>MKBAS75</t>
  </si>
  <si>
    <t>SLINGBACK SANDALS WOMEN MKBAS75:KHAKI:36:PRINT:SLINGBACK SANDALS</t>
  </si>
  <si>
    <t>SLINGBACK SANDALS WOMEN MKBAS75:KHAKI:37:PRINT:SLINGBACK SANDALS</t>
  </si>
  <si>
    <t>SLINGBACK SANDALS WOMEN MKBAS75:KHAKI:38:PRINT:SLINGBACK SANDALS</t>
  </si>
  <si>
    <t>SLINGBACK SANDALS WOMEN MKBAS75:KHAKI:39:PRINT:SLINGBACK SANDALS</t>
  </si>
  <si>
    <t>SLINGBACK SANDALS WOMEN MKBAS75:KHAKI:40:PRINT:SLINGBACK SANDALS</t>
  </si>
  <si>
    <t>SLINGBACK SANDALS WOMEN MKBAS75:BLACK:36:PRINT:SLINGBACK SANDALS</t>
  </si>
  <si>
    <t>SLINGBACK SANDALS WOMEN MKBAS75:BLACK:37:PRINT:SLINGBACK SANDALS</t>
  </si>
  <si>
    <t>SLINGBACK SANDALS WOMEN MKBAS75:BLACK:39:PRINT:SLINGBACK SANDALS</t>
  </si>
  <si>
    <t>SLINGBACK SANDALS WOMEN MKBAS75:BLACK:40:PRINT:SLINGBACK SANDALS</t>
  </si>
  <si>
    <t>SLINGBACK SANDALS WOMEN MKBAS75:BLACK:38:PRINT:SLINGBACK SANDALS</t>
  </si>
  <si>
    <t>MKBAS74</t>
  </si>
  <si>
    <t>FLIP FLOPS WOMEN MKBAS74:BLACK:36:PRINT:FLIP FLOPS</t>
  </si>
  <si>
    <t>FLIP FLOPS WOMEN MKBAS74:BLACK:37:PRINT:FLIP FLOPS</t>
  </si>
  <si>
    <t>FLIP FLOPS WOMEN MKBAS74:BLACK:38:PRINT:FLIP FLOPS</t>
  </si>
  <si>
    <t>FLIP FLOPS WOMEN MKBAS74:BLACK:39:PRINT:FLIP FLOPS</t>
  </si>
  <si>
    <t>FLIP FLOPS WOMEN MKBAS74:BLACK:40:PRINT:FLIP FLOPS</t>
  </si>
  <si>
    <t>MKBAS47</t>
  </si>
  <si>
    <t>SLIPPER SANDALS WOMEN MKBAS47:BLACK:36:PRINT:SLIPPER SANDALS</t>
  </si>
  <si>
    <t>SLIPPER SANDALS WOMEN MKBAS47:BLACK:37:PRINT:SLIPPER SANDALS</t>
  </si>
  <si>
    <t>SLIPPER SANDALS WOMEN MKBAS47:BLACK:38:PRINT:SLIPPER SANDALS</t>
  </si>
  <si>
    <t>SLIPPER SANDALS WOMEN MKBAS47:BLACK:39:PRINT:SLIPPER SANDALS</t>
  </si>
  <si>
    <t>SLIPPER SANDALS WOMEN MKBAS47:BLACK:40:PRINT:SLIPPER SANDALS</t>
  </si>
  <si>
    <t>SLIPPER SANDALS WOMEN MKBAS47:NAVY BLUE:36:PRINT:SLIPPER SANDALS</t>
  </si>
  <si>
    <t>SLIPPER SANDALS WOMEN MKBAS47:NAVY BLUE:37:PRINT:SLIPPER SANDALS</t>
  </si>
  <si>
    <t>SLIPPER SANDALS WOMEN MKBAS47:NAVY BLUE:38:PRINT:SLIPPER SANDALS</t>
  </si>
  <si>
    <t>SLIPPER SANDALS WOMEN MKBAS47:NAVY BLUE:39:PRINT:SLIPPER SANDALS</t>
  </si>
  <si>
    <t>SLIPPER SANDALS WOMEN MKBAS47:NAVY BLUE:40:PRINT:SLIPPER SANDALS</t>
  </si>
  <si>
    <t>MKBAS57</t>
  </si>
  <si>
    <t>SLIPPER SANDALS WOMEN MKBAS57:BLACK:36:SOLID:SLIPPER SANDALS</t>
  </si>
  <si>
    <t>SLIPPER SANDALS WOMEN MKBAS57:BLACK:37:SOLID:SLIPPER SANDALS</t>
  </si>
  <si>
    <t>SLIPPER SANDALS WOMEN MKBAS57:BLACK:38:SOLID:SLIPPER SANDALS</t>
  </si>
  <si>
    <t>SLIPPER SANDALS WOMEN MKBAS57:BLACK:39:SOLID:SLIPPER SANDALS</t>
  </si>
  <si>
    <t>SLIPPER SANDALS WOMEN MKBAS57:BLACK:40:SOLID:SLIPPER SANDALS</t>
  </si>
  <si>
    <t>SLIPPER SANDALS WOMEN MKBAS57:KHAKI:36:PRINT:SLIPPER SANDALS</t>
  </si>
  <si>
    <t>SLIPPER SANDALS WOMEN MKBAS57:KHAKI:37:PRINT:SLIPPER SANDALS</t>
  </si>
  <si>
    <t>SLIPPER SANDALS WOMEN MKBAS57:KHAKI:38:PRINT:SLIPPER SANDALS</t>
  </si>
  <si>
    <t>SLIPPER SANDALS WOMEN MKBAS57:KHAKI:39:PRINT:SLIPPER SANDALS</t>
  </si>
  <si>
    <t>SLIPPER SANDALS WOMEN MKBAS57:KHAKI:40:PRINT:SLIPPER SANDALS</t>
  </si>
  <si>
    <t>MKBAS71</t>
  </si>
  <si>
    <t>SLIPPER SANDALS WOMEN MKBAS71:WHITE:36:PRINT:SLIPPER SANDALS</t>
  </si>
  <si>
    <t>SLIPPER SANDALS WOMEN MKBAS71:WHITE:37:PRINT:SLIPPER SANDALS</t>
  </si>
  <si>
    <t>SLIPPER SANDALS WOMEN MKBAS71:WHITE:38:PRINT:SLIPPER SANDALS</t>
  </si>
  <si>
    <t>SLIPPER SANDALS WOMEN MKBAS71:WHITE:39:PRINT:SLIPPER SANDALS</t>
  </si>
  <si>
    <t>SLIPPER SANDALS WOMEN MKBAS71:WHITE:40:PRINT:SLIPPER SANDALS</t>
  </si>
  <si>
    <t>SLIPPER SANDALS WOMEN MKBAS71:KHAKI:36:PRINT:SLIPPER SANDALS</t>
  </si>
  <si>
    <t>SLIPPER SANDALS WOMEN MKBAS71:KHAKI:37:PRINT:SLIPPER SANDALS</t>
  </si>
  <si>
    <t>SLIPPER SANDALS WOMEN MKBAS71:KHAKI:38:PRINT:SLIPPER SANDALS</t>
  </si>
  <si>
    <t>SLIPPER SANDALS WOMEN MKBAS71:KHAKI:39:PRINT:SLIPPER SANDALS</t>
  </si>
  <si>
    <t>SLIPPER SANDALS WOMEN MKBAS71:KHAKI:40:PRINT:SLIPPER SANDALS</t>
  </si>
  <si>
    <t>SLIPPER SANDALS MICKEY MKBAS34:WHITE:40:SOLID:SLIPPER SANDALS</t>
  </si>
  <si>
    <t>SLIPPER SANDALS MICKEY MKBAS34:WHITE:38:SOLID:SLIPPER SANDALS</t>
  </si>
  <si>
    <t>SLIPPER SANDALS MICKEY MKBAS34:WHITE:36:SOLID:SLIPPER SANDALS</t>
  </si>
  <si>
    <t>SLIPPER SANDALS MICKEY MKBAS34:WHITE:37:SOLID:SLIPPER SANDALS</t>
  </si>
  <si>
    <t>SLIPPER SANDALS MICKEY MKBAS34:WHITE:39:SOLID:SLIPPER SANDALS</t>
  </si>
  <si>
    <t>SLIPPER SANDALS WOMEN MKBAS34:BLACK:36:PRINT:SLIPPER SANDALS</t>
  </si>
  <si>
    <t>SLIPPER SANDALS WOMEN MKBAS34:BLACK:37:PRINT:SLIPPER SANDALS</t>
  </si>
  <si>
    <t>SLIPPER SANDALS WOMEN MKBAS34:BLACK:38:PRINT:SLIPPER SANDALS</t>
  </si>
  <si>
    <t>SLIPPER SANDALS WOMEN MKBAS34:BLACK:39:PRINT:SLIPPER SANDALS</t>
  </si>
  <si>
    <t>SLIPPER SANDALS WOMEN MKBAS34:BLACK:40:PRINT:SLIPPER SANDALS</t>
  </si>
  <si>
    <t>FLIP FLOPS WOMEN MKBAS74:KHAKI:36:PRINT:FLIP FLOPS</t>
  </si>
  <si>
    <t>FLIP FLOPS WOMEN MKBAS74:KHAKI:37:PRINT:FLIP FLOPS</t>
  </si>
  <si>
    <t>FLIP FLOPS WOMEN MKBAS74:KHAKI:38:PRINT:FLIP FLOPS</t>
  </si>
  <si>
    <t>FLIP FLOPS WOMEN MKBAS74:KHAKI:39:PRINT:FLIP FLOPS</t>
  </si>
  <si>
    <t>FLIP FLOPS WOMEN MKBAS74:KHAKI:40:PRINT:FLIP FLOPS</t>
  </si>
  <si>
    <t>MKBAS78</t>
  </si>
  <si>
    <t>SLINGBACK SANDALS WOMEN MKBAS78:WHITE:36:PRINT:SLINGBACK SANDALS</t>
  </si>
  <si>
    <t>SLINGBACK SANDALS WOMEN MKBAS78:WHITE:37:PRINT:SLINGBACK SANDALS</t>
  </si>
  <si>
    <t>SLINGBACK SANDALS WOMEN MKBAS78:WHITE:38:PRINT:SLINGBACK SANDALS</t>
  </si>
  <si>
    <t>SLINGBACK SANDALS WOMEN MKBAS78:WHITE:39:PRINT:SLINGBACK SANDALS</t>
  </si>
  <si>
    <t>SLINGBACK SANDALS WOMEN MKBAS78:WHITE:40:PRINT:SLINGBACK SANDALS</t>
  </si>
  <si>
    <t>SLINGBACK SANDALS WOMEN MKBAS78:BLACK:36:PRINT:SLINGBACK SANDALS</t>
  </si>
  <si>
    <t>SLINGBACK SANDALS WOMEN MKBAS78:BLACK:37:PRINT:SLINGBACK SANDALS</t>
  </si>
  <si>
    <t>SLINGBACK SANDALS WOMEN MKBAS78:BLACK:38:PRINT:SLINGBACK SANDALS</t>
  </si>
  <si>
    <t>SLINGBACK SANDALS WOMEN MKBAS78:BLACK:39:PRINT:SLINGBACK SANDALS</t>
  </si>
  <si>
    <t>SLINGBACK SANDALS WOMEN MKBAS78:BLACK:40:PRINT:SLINGBACK SANDALS</t>
  </si>
  <si>
    <t>MST01</t>
  </si>
  <si>
    <t>SLIPPER SANDALS WOMEN MST01:LIGHT BLUE:36:PRINT:SLIPPER SANDALS</t>
  </si>
  <si>
    <t>SLIPPER SANDALS WOMEN MST01:LIGHT BLUE:37:PRINT:SLIPPER SANDALS</t>
  </si>
  <si>
    <t>SLIPPER SANDALS WOMEN MST01:LIGHT BLUE:38:PRINT:SLIPPER SANDALS</t>
  </si>
  <si>
    <t>SLIPPER SANDALS WOMEN MST01:LIGHT BLUE:39:PRINT:SLIPPER SANDALS</t>
  </si>
  <si>
    <t>SLIPPER SANDALS WOMEN MST01:LIGHT BLUE:40:PRINT:SLIPPER SANDALS</t>
  </si>
  <si>
    <t>SLIPPER SANDALS WOMEN MST01:BLACK:36:PRINT:SLIPPER SANDALS</t>
  </si>
  <si>
    <t>SLIPPER SANDALS WOMEN MST01:BLACK:37:PRINT:SLIPPER SANDALS</t>
  </si>
  <si>
    <t>SLIPPER SANDALS WOMEN MST01:BLACK:38:PRINT:SLIPPER SANDALS</t>
  </si>
  <si>
    <t>SLIPPER SANDALS WOMEN MST01:BLACK:39:PRINT:SLIPPER SANDALS</t>
  </si>
  <si>
    <t>SLIPPER SANDALS WOMEN MST01:BLACK:40:PRINT:SLIPPER SANDALS</t>
  </si>
  <si>
    <t>MWC001</t>
  </si>
  <si>
    <t>FLIP FLOPS WOMEN MWC001:KHAKI:36:SOLID:FLIP FLOPS</t>
  </si>
  <si>
    <t>FLIP FLOPS WOMEN MWC001:KHAKI:37:SOLID:FLIP FLOPS</t>
  </si>
  <si>
    <t>FLIP FLOPS WOMEN MWC001:KHAKI:38:SOLID:FLIP FLOPS</t>
  </si>
  <si>
    <t>FLIP FLOPS WOMEN MWC001:KHAKI:39:SOLID:FLIP FLOPS</t>
  </si>
  <si>
    <t>FLIP FLOPS WOMEN MWC001:KHAKI:40:SOLID:FLIP FLOPS</t>
  </si>
  <si>
    <t>FLIP FLOPS WOMEN MWC001:BLACK:36:SOLID:FLIP FLOPS</t>
  </si>
  <si>
    <t>FLIP FLOPS WOMEN MWC001:BLACK:37:SOLID:FLIP FLOPS</t>
  </si>
  <si>
    <t>FLIP FLOPS WOMEN MWC001:BLACK:38:SOLID:FLIP FLOPS</t>
  </si>
  <si>
    <t>FLIP FLOPS WOMEN MWC001:BLACK:39:SOLID:FLIP FLOPS</t>
  </si>
  <si>
    <t>FLIP FLOPS WOMEN MWC001:BLACK:40:SOLID:FLIP FLOPS</t>
  </si>
  <si>
    <t>MB2</t>
  </si>
  <si>
    <t>BALLERINAS WOMEN MB2:BLACK:40:SOLID:BALLERINA</t>
  </si>
  <si>
    <t>BALLERINAS WOMEN MB2:KHAKI:36:SOLID:BALLERINA</t>
  </si>
  <si>
    <t>BALLERINAS WOMEN MB2:KHAKI:37:SOLID:BALLERINA</t>
  </si>
  <si>
    <t>BALLERINAS WOMEN MB2:KHAKI:38:SOLID:BALLERINA</t>
  </si>
  <si>
    <t>BALLERINAS WOMEN MB2:KHAKI:39:SOLID:BALLERINA</t>
  </si>
  <si>
    <t>BALLERINAS WOMEN MB2:KHAKI:40:SOLID:BALLERINA</t>
  </si>
  <si>
    <t>BALLERINAS WOMEN MB2:BLACK:39:SOLID:BALLERINA</t>
  </si>
  <si>
    <t>BALLERINAS WOMEN MB2:BLACK:38:SOLID:BALLERINA</t>
  </si>
  <si>
    <t>BALLERINAS WOMEN MB2:BLACK:37:SOLID:BALLERINA</t>
  </si>
  <si>
    <t>BALLERINAS WOMEN MB2:BLACK:36:SOLID:BALLERINA</t>
  </si>
  <si>
    <t>MB3</t>
  </si>
  <si>
    <t>BALLERINAS WOMEN MB3:BLACK:36:SOLID:BALLERINA</t>
  </si>
  <si>
    <t>BALLERINAS WOMEN MB3:OFF WHITE:36:SOLID:BALLERINA</t>
  </si>
  <si>
    <t>BALLERINAS WOMEN MB3:OFF WHITE:37:SOLID:BALLERINA</t>
  </si>
  <si>
    <t>BALLERINAS WOMEN MB3:OFF WHITE:38:SOLID:BALLERINA</t>
  </si>
  <si>
    <t>BALLERINAS WOMEN MB3:OFF WHITE:39:SOLID:BALLERINA</t>
  </si>
  <si>
    <t>BALLERINAS WOMEN MB3:OFF WHITE:40:SOLID:BALLERINA</t>
  </si>
  <si>
    <t>BALLERINAS WOMEN MB3:BLACK:37:SOLID:BALLERINA</t>
  </si>
  <si>
    <t>BALLERINAS WOMEN MB3:BLACK:38:SOLID:BALLERINA</t>
  </si>
  <si>
    <t>BALLERINAS WOMEN MB3:BLACK:39:SOLID:BALLERINA</t>
  </si>
  <si>
    <t>BALLERINAS WOMEN MB3:BLACK:40:SOLID:BALLERINA</t>
  </si>
  <si>
    <t>MB1</t>
  </si>
  <si>
    <t>BALLERINAS WOMEN MB1:KHAKI:36:PRINT:BALLERINA</t>
  </si>
  <si>
    <t>BALLERINAS WOMEN MB1:KHAKI:37:PRINT:BALLERINA</t>
  </si>
  <si>
    <t>BALLERINAS WOMEN MB1:KHAKI:38:PRINT:BALLERINA</t>
  </si>
  <si>
    <t>BALLERINAS WOMEN MB1:KHAKI:39:PRINT:BALLERINA</t>
  </si>
  <si>
    <t>BALLERINAS WOMEN MB1:KHAKI:40:PRINT:BALLERINA</t>
  </si>
  <si>
    <t>SNIK02</t>
  </si>
  <si>
    <t>SNEAKERS WOMEN SNIK02:KHAKI:36:SOLID:SNEAKERS</t>
  </si>
  <si>
    <t>SNEAKERS WOMEN SNIK02:KHAKI:37:SOLID:SNEAKERS</t>
  </si>
  <si>
    <t>SNEAKERS WOMEN SNIK02:KHAKI:38:SOLID:SNEAKERS</t>
  </si>
  <si>
    <t>SNEAKERS WOMEN SNIK02:KHAKI:39:SOLID:SNEAKERS</t>
  </si>
  <si>
    <t>SNEAKERS WOMEN SNIK02:KHAKI:40:SOLID:SNEAKERS</t>
  </si>
  <si>
    <t>SNEAKERS WOMEN SNIK02:BLACK:36:SOLID:SNEAKERS</t>
  </si>
  <si>
    <t>SNEAKERS WOMEN SNIK02:BLACK:37:SOLID:SNEAKERS</t>
  </si>
  <si>
    <t>SNEAKERS WOMEN SNIK02:BLACK:38:SOLID:SNEAKERS</t>
  </si>
  <si>
    <t>SNEAKERS WOMEN SNIK02:BLACK:39:SOLID:SNEAKERS</t>
  </si>
  <si>
    <t>SNEAKERS WOMEN SNIK02:BLACK:40:SOLID:SNEAKERS</t>
  </si>
  <si>
    <t>SNIK03</t>
  </si>
  <si>
    <t>SNEAKERS WOMEN SNIK03:WHITE:36:SOLID:SNEAKERS</t>
  </si>
  <si>
    <t>SNEAKERS WOMEN SNIK03:WHITE:37:SOLID:SNEAKERS</t>
  </si>
  <si>
    <t>SNEAKERS WOMEN SNIK03:WHITE:38:SOLID:SNEAKERS</t>
  </si>
  <si>
    <t>SNEAKERS WOMEN SNIK03:WHITE:39:SOLID:SNEAKERS</t>
  </si>
  <si>
    <t>SNEAKERS WOMEN SNIK03:WHITE:40:SOLID:SNEAKERS</t>
  </si>
  <si>
    <t>SNEAKERS WOMEN SNIK03:BLACK:36:SOLID:SNEAKERS</t>
  </si>
  <si>
    <t>SNEAKERS WOMEN SNIK03:BLACK:37:SOLID:SNEAKERS</t>
  </si>
  <si>
    <t>SNEAKERS WOMEN SNIK03:BLACK:38:SOLID:SNEAKERS</t>
  </si>
  <si>
    <t>SNEAKERS WOMEN SNIK03:BLACK:39:SOLID:SNEAKERS</t>
  </si>
  <si>
    <t>SNEAKERS WOMEN SNIK03:BLACK:40:SOLID:SNEAKERS</t>
  </si>
  <si>
    <t>DND2407</t>
  </si>
  <si>
    <t>FLIP FLOPS WOMEN DND2407:PASTEL YELLOW:S:PRINT:FLIP FLOPS</t>
  </si>
  <si>
    <t>FLIP FLOPS WOMEN DND2407:PASTEL YELLOW:M:PRINT:FLIP FLOPS</t>
  </si>
  <si>
    <t>FLIP FLOPS WOMEN DND2407:PASTEL YELLOW:L:PRINT:FLIP FLOPS</t>
  </si>
  <si>
    <t>FLIP FLOPS WOMEN DND2407:PASTEL YELLOW:XL:PRINT:FLIP FLOPS</t>
  </si>
  <si>
    <t>DND2311</t>
  </si>
  <si>
    <t>FLIP FLOPS WOMEN DND2311:BLACK:S:PRINT:FLIP FLOPS</t>
  </si>
  <si>
    <t>FLIP FLOPS WOMEN DND2311:BLACK:M:PRINT:FLIP FLOPS</t>
  </si>
  <si>
    <t>FLIP FLOPS WOMEN DND2311:BLACK:L:PRINT:FLIP FLOPS</t>
  </si>
  <si>
    <t>FLIP FLOPS WOMEN DND2311:BLACK:XL:PRINT:FLIP FLOPS</t>
  </si>
  <si>
    <t>DND2405</t>
  </si>
  <si>
    <t>FLIP FLOPS WOMEN DND2405:NAVY BLUE:S:PRINT:FLIP FLOPS</t>
  </si>
  <si>
    <t>FLIP FLOPS WOMEN DND2405:NAVY BLUE:M:PRINT:FLIP FLOPS</t>
  </si>
  <si>
    <t>FLIP FLOPS WOMEN DND2405:NAVY BLUE:L:PRINT:FLIP FLOPS</t>
  </si>
  <si>
    <t>FLIP FLOPS WOMEN DND2405:NAVY BLUE:XL:PRINT:FLIP FLOPS</t>
  </si>
  <si>
    <t>DND09</t>
  </si>
  <si>
    <t>SLIP ON WOMEN DND09:WHITE:36:PRINT:SLIP ON</t>
  </si>
  <si>
    <t>SLIP ON WOMEN DND09:WHITE:37:PRINT:SLIP ON</t>
  </si>
  <si>
    <t>SLIP ON WOMEN DND09:WHITE:38:PRINT:SLIP ON</t>
  </si>
  <si>
    <t>SLIP ON WOMEN DND09:WHITE:39:PRINT:SLIP ON</t>
  </si>
  <si>
    <t>SLIP ON WOMEN DND09:WHITE:40:PRINT:SLIP ON</t>
  </si>
  <si>
    <t>SLIP ON WOMEN DND09:LIGHT BLUE:36:PRINT:SLIP ON</t>
  </si>
  <si>
    <t>SLIP ON WOMEN DND09:LIGHT BLUE:37:PRINT:SLIP ON</t>
  </si>
  <si>
    <t>SLIP ON WOMEN DND09:LIGHT BLUE:38:PRINT:SLIP ON</t>
  </si>
  <si>
    <t>SLIP ON WOMEN DND09:LIGHT BLUE:39:PRINT:SLIP ON</t>
  </si>
  <si>
    <t>SLIP ON WOMEN DND09:LIGHT BLUE:40:PRINT:SLIP ON</t>
  </si>
  <si>
    <t>DND10</t>
  </si>
  <si>
    <t>SLIP ON WOMEN DND10:WHITE:36:PRINT:SLIP ON</t>
  </si>
  <si>
    <t>SLIP ON WOMEN DND10:WHITE:37:PRINT:SLIP ON</t>
  </si>
  <si>
    <t>SLIP ON WOMEN DND10:WHITE:38:PRINT:SLIP ON</t>
  </si>
  <si>
    <t>SLIP ON WOMEN DND10:WHITE:39:PRINT:SLIP ON</t>
  </si>
  <si>
    <t>SLIP ON WOMEN DND10:WHITE:40:PRINT:SLIP ON</t>
  </si>
  <si>
    <t>STBAS01</t>
  </si>
  <si>
    <t>SLIPPER SANDALS WOMEN STBAS01:PASTEL PINK:36:PRINT:SLIPPER SANDALS</t>
  </si>
  <si>
    <t>SLIPPER SANDALS WOMEN STBAS01:PASTEL PINK:37:PRINT:SLIPPER SANDALS</t>
  </si>
  <si>
    <t>SLIPPER SANDALS WOMEN STBAS01:PASTEL PINK:38:PRINT:SLIPPER SANDALS</t>
  </si>
  <si>
    <t>SLIPPER SANDALS WOMEN STBAS01:PASTEL PINK:39:PRINT:SLIPPER SANDALS</t>
  </si>
  <si>
    <t>SLIPPER SANDALS WOMEN STBAS01:PASTEL PINK:40:PRINT:SLIPPER SANDALS</t>
  </si>
  <si>
    <t>STBAS02</t>
  </si>
  <si>
    <t>SLIPPER SANDALS WOMEN STBAS02:NAVY BLUE:36:PRINT:SLIPPER SANDALS</t>
  </si>
  <si>
    <t>SLIPPER SANDALS WOMEN STBAS02:NAVY BLUE:37:PRINT:SLIPPER SANDALS</t>
  </si>
  <si>
    <t>SLIPPER SANDALS WOMEN STBAS02:NAVY BLUE:38:PRINT:SLIPPER SANDALS</t>
  </si>
  <si>
    <t>SLIPPER SANDALS WOMEN STBAS02:NAVY BLUE:39:PRINT:SLIPPER SANDALS</t>
  </si>
  <si>
    <t>SLIPPER SANDALS WOMEN STBAS02:NAVY BLUE:40:PRINT:SLIPPER SANDALS</t>
  </si>
  <si>
    <t>TS1713</t>
  </si>
  <si>
    <t>FLIP FLOPS TSUM TSUM TS1713:OLIVE:S:SOLID:FLIP FLOPS</t>
  </si>
  <si>
    <t>FLIP FLOPS TSUM TSUM TS1713:BLACK:S:SOLID:FLIP FLOPS</t>
  </si>
  <si>
    <t>FLIP FLOPS TSUM TSUM TS1713:CLASSIC PURPLE:M:SOLID:FLIP FLOPS</t>
  </si>
  <si>
    <t>FLIP FLOPS TSUM TSUM TS1713:BLACK:L:SOLID:FLIP FLOPS</t>
  </si>
  <si>
    <t>FLIP FLOPS TSUM TSUM TS1713:NAVY BLUE:M:SOLID:FLIP FLOPS</t>
  </si>
  <si>
    <t>FLIP FLOPS TSUM TSUM TS1713:OLIVE:L:SOLID:FLIP FLOPS</t>
  </si>
  <si>
    <t>FLIP FLOPS TSUM TSUM TS1713:OLIVE:XL:SOLID:FLIP FLOPS</t>
  </si>
  <si>
    <t>FLIP FLOPS TSUM TSUM TS1713:CLASSIC PURPLE:L:SOLID:FLIP FLOPS</t>
  </si>
  <si>
    <t>FLIP FLOPS TSUM TSUM TS1713:CLASSIC PURPLE:XL:SOLID:FLIP FLOPS</t>
  </si>
  <si>
    <t>FLIP FLOPS TSUM TSUM TS1713:BLACK:M:SOLID:FLIP FLOPS</t>
  </si>
  <si>
    <t>FLIP FLOPS TSUM TSUM TS1713:OLIVE:M:SOLID:FLIP FLOPS</t>
  </si>
  <si>
    <t>FLIP FLOPS TSUM TSUM TS1713:NAVY BLUE:S:SOLID:FLIP FLOPS</t>
  </si>
  <si>
    <t>FLIP FLOPS TSUM TSUM TS1713:NAVY BLUE:L:SOLID:FLIP FLOPS</t>
  </si>
  <si>
    <t>FLIP FLOPS TSUM TSUM TS1713:CLASSIC PURPLE:S:SOLID:FLIP FLOPS</t>
  </si>
  <si>
    <t>FLIP FLOPS TSUM TSUM TS1713:NAVY BLUE:XL:SOLID:FLIP FLOPS</t>
  </si>
  <si>
    <t>FLIP FLOPS TSUM TSUM TS1713:BLACK:XL:SOLID:FLIP FLOPS</t>
  </si>
  <si>
    <t>T-BAR SANDALS WOMEN TS211:WOOD BROWN:36:SOLID:T-BAR SANDALS</t>
  </si>
  <si>
    <t>T-BAR SANDALS WOMEN TS211:WOOD BROWN:37:SOLID:T-BAR SANDALS</t>
  </si>
  <si>
    <t>T-BAR SANDALS WOMEN TS211:WOOD BROWN:38:SOLID:T-BAR SANDALS</t>
  </si>
  <si>
    <t>T-BAR SANDALS WOMEN TS211:WOOD BROWN:39:SOLID:T-BAR SANDALS</t>
  </si>
  <si>
    <t>T-BAR SANDALS WOMEN TS211:WOOD BROWN:40:SOLID:T-BAR SANDALS</t>
  </si>
  <si>
    <t>STITCH2404</t>
  </si>
  <si>
    <t>FLIP FLOPS WOMEN STITCH2404:NAVY BLUE:M:PRINT:FLIP FLOPS</t>
  </si>
  <si>
    <t>FLIP FLOPS WOMEN STITCH2404:NAVY BLUE:S:PRINT:FLIP FLOPS</t>
  </si>
  <si>
    <t>FLIP FLOPS WOMEN STITCH2404:NAVY BLUE:L:PRINT:FLIP FLOPS</t>
  </si>
  <si>
    <t>FLIP FLOPS WOMEN STITCH2404:NAVY BLUE:XL:PRINT:FLIP FLOPS</t>
  </si>
  <si>
    <t>STITCH2402</t>
  </si>
  <si>
    <t>SLIPPER SANDALS WOMEN STITCH2402:LIGHT BLUE:36:PRINT:SLIPPER SANDALS</t>
  </si>
  <si>
    <t>SLIPPER SANDALS WOMEN STITCH2402:LIGHT BLUE:37:PRINT:SLIPPER SANDALS</t>
  </si>
  <si>
    <t>SLIPPER SANDALS WOMEN STITCH2402:LIGHT BLUE:38:PRINT:SLIPPER SANDALS</t>
  </si>
  <si>
    <t>SLIPPER SANDALS WOMEN STITCH2402:LIGHT BLUE:39:PRINT:SLIPPER SANDALS</t>
  </si>
  <si>
    <t>SLIPPER SANDALS WOMEN STITCH2402:LIGHT BLUE:40:PRINT:SLIPPER SANDALS</t>
  </si>
  <si>
    <t>SLIPPER SANDALS MICKEY MKBAS72:BLACK:36:PRINT:SLIPPER SANDALS</t>
  </si>
  <si>
    <t>SLIPPER SANDALS MICKEY MKBAS72:BLACK:37:PRINT:SLIPPER SANDALS</t>
  </si>
  <si>
    <t>SLIPPER SANDALS MICKEY MKBAS72:BLACK:38:PRINT:SLIPPER SANDALS</t>
  </si>
  <si>
    <t>SLIPPER SANDALS MICKEY MKBAS72:BLACK:39:PRINT:SLIPPER SANDALS</t>
  </si>
  <si>
    <t>SLIPPER SANDALS MICKEY MKBAS72:BLACK:40:PRINT:SLIPPER SANDALS</t>
  </si>
  <si>
    <t>MST07</t>
  </si>
  <si>
    <t>SLIPPER SANDALS WOMEN MST07:BLACK:37:SOLID:SLIPPER SANDALS</t>
  </si>
  <si>
    <t>SLIPPER SANDALS WOMEN MST07:BLACK:38:SOLID:SLIPPER SANDALS</t>
  </si>
  <si>
    <t>SLIPPER SANDALS WOMEN MST07:BLACK:39:SOLID:SLIPPER SANDALS</t>
  </si>
  <si>
    <t>SLIPPER SANDALS WOMEN MST07:BLACK:40:SOLID:SLIPPER SANDALS</t>
  </si>
  <si>
    <t>DSY01</t>
  </si>
  <si>
    <t>SLIPPER SANDALS WOMEN DSY01:PASTEL PURPLE:37:SOLID:SLIPPER SANDALS</t>
  </si>
  <si>
    <t>SLIPPER SANDALS WOMEN DSY01:PASTEL PURPLE:38:SOLID:SLIPPER SANDALS</t>
  </si>
  <si>
    <t>SLIPPER SANDALS WOMEN DSY01:PASTEL PURPLE:39:SOLID:SLIPPER SANDALS</t>
  </si>
  <si>
    <t>SLIPPER SANDALS WOMEN DSY01:PASTEL PURPLE:40:SOLID:SLIPPER SANDALS</t>
  </si>
  <si>
    <t>SLIPPER SANDALS WOMEN MST07:BLACK:36:SOLID:SLIPPER SANDALS</t>
  </si>
  <si>
    <t>MCLO1</t>
  </si>
  <si>
    <t>CROCS WOMEN MCLO1:BLACK:37:SOLID:CROCS</t>
  </si>
  <si>
    <t>CROCS WOMEN MCLO1:BLACK:38:SOLID:CROCS</t>
  </si>
  <si>
    <t>CROCS WOMEN MCLO1:BLACK:39:SOLID:CROCS</t>
  </si>
  <si>
    <t>CROCS WOMEN MCLO1:BLACK:40:SOLID:CROCS</t>
  </si>
  <si>
    <t>SLIPPER SANDALS WOMEN DSY01:PASTEL PURPLE:36:SOLID:SLIPPER SANDALS</t>
  </si>
  <si>
    <t>CROCS WOMEN MCLO1:BLACK:36:SOLID:CROCS</t>
  </si>
  <si>
    <t>DND08</t>
  </si>
  <si>
    <t>SNEAKERS WOMEN DND08:WHITE:36:SOLID:SNEAKERS</t>
  </si>
  <si>
    <t>SNEAKERS WOMEN DND08:WHITE:37:SOLID:SNEAKERS</t>
  </si>
  <si>
    <t>SNEAKERS WOMEN DND08:WHITE:38:SOLID:SNEAKERS</t>
  </si>
  <si>
    <t>SNEAKERS WOMEN DND08:WHITE:39:SOLID:SNEAKERS</t>
  </si>
  <si>
    <t>SNEAKERS WOMEN DND08:WHITE:40:SOLID:SNEAKERS</t>
  </si>
  <si>
    <t>2019 OLDER D95</t>
  </si>
  <si>
    <t>FLIP FLOPS WOMEN MK2206:BLACK:S:SOLID:FLIP FLOPS</t>
  </si>
  <si>
    <t>FLIP FLOPS WOMEN MK2206:BLACK:L:SOLID:FLIP FLOPS</t>
  </si>
  <si>
    <t>FLIP FLOPS WOMEN MK2206:BLACK:XL:SOLID:FLIP FLOPS</t>
  </si>
  <si>
    <t>FLIP FLOPS WOMEN MK2206:BLACK:M:SOLID:FLIP FLOPS</t>
  </si>
  <si>
    <t>MKBAS28</t>
  </si>
  <si>
    <t>SLIPPER SANDALS MICKEY MKBAS28:BLACK:36:SOLID:SLIPPER SANDALS</t>
  </si>
  <si>
    <t>SLIPPER SANDALS MICKEY MKBAS28:BLACK:37:SOLID:SLIPPER SANDALS</t>
  </si>
  <si>
    <t>SLIPPER SANDALS MICKEY MKBAS28:BLACK:38:SOLID:SLIPPER SANDALS</t>
  </si>
  <si>
    <t>SLIPPER SANDALS MICKEY MKBAS28:BLACK:39:SOLID:SLIPPER SANDALS</t>
  </si>
  <si>
    <t>SLIPPER SANDALS MICKEY MKBAS28:BLACK:40:SOLID:SLIPPER SANDALS</t>
  </si>
  <si>
    <t>SLIPPER SANDALS MICKEY MKBAS28:MUSTARD:36:SOLID:SLIPPER SANDALS</t>
  </si>
  <si>
    <t>SLIPPER SANDALS MICKEY MKBAS28:MUSTARD:37:SOLID:SLIPPER SANDALS</t>
  </si>
  <si>
    <t>SLIPPER SANDALS MICKEY MKBAS28:MUSTARD:38:SOLID:SLIPPER SANDALS</t>
  </si>
  <si>
    <t>SLIPPER SANDALS MICKEY MKBAS28:MUSTARD:39:SOLID:SLIPPER SANDALS</t>
  </si>
  <si>
    <t>SLIPPER SANDALS MICKEY MKBAS28:MUSTARD:40:SOLID:SLIPPER SANDALS</t>
  </si>
  <si>
    <t>MKBAS79</t>
  </si>
  <si>
    <t>SLIPPER SANDALS MICKEY MKBAS79:BLACK:36:PRINT:SLIPPER SANDALS</t>
  </si>
  <si>
    <t>SLIPPER SANDALS MICKEY MKBAS79:BLACK:37:PRINT:SLIPPER SANDALS</t>
  </si>
  <si>
    <t>SLIPPER SANDALS MICKEY MKBAS79:BLACK:38:PRINT:SLIPPER SANDALS</t>
  </si>
  <si>
    <t>SLIPPER SANDALS MICKEY MKBAS79:BLACK:39:PRINT:SLIPPER SANDALS</t>
  </si>
  <si>
    <t>SLIPPER SANDALS MICKEY MKBAS79:BLACK:40:PRINT:SLIPPER SANDALS</t>
  </si>
  <si>
    <t>SLIPPER SANDALS MICKEY MKBAS79:WHITE:36:PRINT:SLIPPER SANDALS</t>
  </si>
  <si>
    <t>SLIPPER SANDALS MICKEY MKBAS79:WHITE:37:PRINT:SLIPPER SANDALS</t>
  </si>
  <si>
    <t>SLIPPER SANDALS MICKEY MKBAS79:WHITE:38:PRINT:SLIPPER SANDALS</t>
  </si>
  <si>
    <t>SLIPPER SANDALS MICKEY MKBAS79:WHITE:39:PRINT:SLIPPER SANDALS</t>
  </si>
  <si>
    <t>SLIPPER SANDALS MICKEY MKBAS79:WHITE:40:PRINT:SLIPPER SANDALS</t>
  </si>
  <si>
    <t>MKBAS82</t>
  </si>
  <si>
    <t>SLIPPER SANDALS WOMEN MKBAS82:BLACK:40:SOLID:SLIPPER SANDALS</t>
  </si>
  <si>
    <t>SLIPPER SANDALS WOMEN MKBAS82:MUSTARD:40:SOLID:SLIPPER SANDALS</t>
  </si>
  <si>
    <t>SLIPPER SANDALS WOMEN MKBAS82:BLACK:36:SOLID:SLIPPER SANDALS</t>
  </si>
  <si>
    <t>SLIPPER SANDALS WOMEN MKBAS82:BLACK:37:SOLID:SLIPPER SANDALS</t>
  </si>
  <si>
    <t>SLIPPER SANDALS WOMEN MKBAS82:BLACK:38:SOLID:SLIPPER SANDALS</t>
  </si>
  <si>
    <t>SLIPPER SANDALS WOMEN MKBAS82:BLACK:39:SOLID:SLIPPER SANDALS</t>
  </si>
  <si>
    <t>SLIPPER SANDALS WOMEN MKBAS82:MUSTARD:36:SOLID:SLIPPER SANDALS</t>
  </si>
  <si>
    <t>SLIPPER SANDALS WOMEN MKBAS82:MUSTARD:37:SOLID:SLIPPER SANDALS</t>
  </si>
  <si>
    <t>SLIPPER SANDALS WOMEN MKBAS82:MUSTARD:38:SOLID:SLIPPER SANDALS</t>
  </si>
  <si>
    <t>SLIPPER SANDALS WOMEN MKBAS82:MUSTARD:39:SOLID:SLIPPER SANDALS</t>
  </si>
  <si>
    <t>MK2402</t>
  </si>
  <si>
    <t>SLIPPER SANDALS MICKEY MK2402:BLACK:36:PRINT:SLIPPER SANDALS</t>
  </si>
  <si>
    <t>SLIPPER SANDALS MICKEY MK2402:BLACK:37:PRINT:SLIPPER SANDALS</t>
  </si>
  <si>
    <t>SLIPPER SANDALS MICKEY MK2402:BLACK:38:PRINT:SLIPPER SANDALS</t>
  </si>
  <si>
    <t>SLIPPER SANDALS MICKEY MK2402:BLACK:39:PRINT:SLIPPER SANDALS</t>
  </si>
  <si>
    <t>SLIPPER SANDALS MICKEY MK2402:BLACK:40:PRINT:SLIPPER SANDALS</t>
  </si>
  <si>
    <t>MKBAS85</t>
  </si>
  <si>
    <t>SLINGBACK SANDALS MICKEY MKBAS85:WHITE:36:SOLID:SLINGBACK SANDALS</t>
  </si>
  <si>
    <t>SLINGBACK SANDALS MICKEY MKBAS85:WHITE:37:SOLID:SLINGBACK SANDALS</t>
  </si>
  <si>
    <t>SLINGBACK SANDALS MICKEY MKBAS85:WHITE:38:SOLID:SLINGBACK SANDALS</t>
  </si>
  <si>
    <t>SLINGBACK SANDALS MICKEY MKBAS85:WHITE:39:SOLID:SLINGBACK SANDALS</t>
  </si>
  <si>
    <t>SLINGBACK SANDALS MICKEY MKBAS85:WHITE:40:SOLID:SLINGBACK SANDALS</t>
  </si>
  <si>
    <t>SLINGBACK SANDALS MICKEY MKBAS85:KHAKI:36:SOLID:SLINGBACK SANDALS</t>
  </si>
  <si>
    <t>SLINGBACK SANDALS MICKEY MKBAS85:KHAKI:37:SOLID:SLINGBACK SANDALS</t>
  </si>
  <si>
    <t>SLINGBACK SANDALS MICKEY MKBAS85:KHAKI:38:SOLID:SLINGBACK SANDALS</t>
  </si>
  <si>
    <t>SLINGBACK SANDALS MICKEY MKBAS85:KHAKI:39:SOLID:SLINGBACK SANDALS</t>
  </si>
  <si>
    <t>SLINGBACK SANDALS MICKEY MKBAS85:KHAKI:40:SOLID:SLINGBACK SANDALS</t>
  </si>
  <si>
    <t>MKW01</t>
  </si>
  <si>
    <t>SLINGBACK SANDALS MICKEY MKW01:BLACK:36:SOLID:SLINGBACK SANDALS</t>
  </si>
  <si>
    <t>SLINGBACK SANDALS MICKEY MKW01:BLACK:37:SOLID:SLINGBACK SANDALS</t>
  </si>
  <si>
    <t>SLINGBACK SANDALS MICKEY MKW01:BLACK:38:SOLID:SLINGBACK SANDALS</t>
  </si>
  <si>
    <t>SLINGBACK SANDALS MICKEY MKW01:BLACK:39:SOLID:SLINGBACK SANDALS</t>
  </si>
  <si>
    <t>SLINGBACK SANDALS MICKEY MKW01:BLACK:40:SOLID:SLINGBACK SANDALS</t>
  </si>
  <si>
    <t>SLINGBACK SANDALS MICKEY MKW01:WOOD BROWN:36:SOLID:SLINGBACK SANDALS</t>
  </si>
  <si>
    <t>SLINGBACK SANDALS MICKEY MKW01:WOOD BROWN:37:SOLID:SLINGBACK SANDALS</t>
  </si>
  <si>
    <t>SLINGBACK SANDALS MICKEY MKW01:WOOD BROWN:38:SOLID:SLINGBACK SANDALS</t>
  </si>
  <si>
    <t>SLINGBACK SANDALS MICKEY MKW01:WOOD BROWN:39:SOLID:SLINGBACK SANDALS</t>
  </si>
  <si>
    <t>SLINGBACK SANDALS MICKEY MKW01:WOOD BROWN:40:SOLID:SLINGBACK SANDALS</t>
  </si>
  <si>
    <t>MK2213</t>
  </si>
  <si>
    <t>T-BAR SANDALS WOMEN MK2213:BLACK:40:PRINT:T-BAR SANDALS</t>
  </si>
  <si>
    <t>T-BAR SANDALS WOMEN MK2213:MAROON:40:PRINT:T-BAR SANDALS</t>
  </si>
  <si>
    <t>T-BAR SANDALS WOMEN MK2213:BLACK:39:PRINT:T-BAR SANDALS</t>
  </si>
  <si>
    <t>T-BAR SANDALS WOMEN MK2213:BLACK:38:PRINT:T-BAR SANDALS</t>
  </si>
  <si>
    <t>T-BAR SANDALS WOMEN MK2213:MAROON:36:PRINT:T-BAR SANDALS</t>
  </si>
  <si>
    <t>T-BAR SANDALS WOMEN MK2213:MAROON:37:PRINT:T-BAR SANDALS</t>
  </si>
  <si>
    <t>T-BAR SANDALS WOMEN MK2213:MAROON:38:PRINT:T-BAR SANDALS</t>
  </si>
  <si>
    <t>T-BAR SANDALS WOMEN MK2213:MAROON:39:PRINT:T-BAR SANDALS</t>
  </si>
  <si>
    <t>T-BAR SANDALS WOMEN MK2213:BLACK:36:PRINT:T-BAR SANDALS</t>
  </si>
  <si>
    <t>T-BAR SANDALS WOMEN MK2213:BLACK:37:PRINT:T-BAR SANDALS</t>
  </si>
  <si>
    <t>MK2214</t>
  </si>
  <si>
    <t>SLINGBACK SANDALS WOMEN MK2214:FROST GREY:36:SOLID:SLINGBACK SANDALS</t>
  </si>
  <si>
    <t>SLINGBACK SANDALS WOMEN MK2214:FROST GREY:37:SOLID:SLINGBACK SANDALS</t>
  </si>
  <si>
    <t>SLINGBACK SANDALS WOMEN MK2214:FROST GREY:38:SOLID:SLINGBACK SANDALS</t>
  </si>
  <si>
    <t>SLINGBACK SANDALS WOMEN MK2214:FROST GREY:39:SOLID:SLINGBACK SANDALS</t>
  </si>
  <si>
    <t>SLINGBACK SANDALS WOMEN MK2214:FROST GREY:40:SOLID:SLINGBACK SANDALS</t>
  </si>
  <si>
    <t>SLINGBACK SANDALS WOMEN MK2214:PASTEL PINK:36:SOLID:SLINGBACK SANDALS</t>
  </si>
  <si>
    <t>SLINGBACK SANDALS WOMEN MK2214:PASTEL PINK:37:SOLID:SLINGBACK SANDALS</t>
  </si>
  <si>
    <t>SLINGBACK SANDALS WOMEN MK2214:PASTEL PINK:38:SOLID:SLINGBACK SANDALS</t>
  </si>
  <si>
    <t>SLINGBACK SANDALS WOMEN MK2214:PASTEL PINK:39:SOLID:SLINGBACK SANDALS</t>
  </si>
  <si>
    <t>SLINGBACK SANDALS WOMEN MK2214:PASTEL PINK:40:SOLID:SLINGBACK SANDALS</t>
  </si>
  <si>
    <t>FLIP FLOPS WOMEN MK2214:BLACK:36:PRINT:FLIP FLOPS</t>
  </si>
  <si>
    <t>FLIP FLOPS WOMEN MK2214:BLACK:37:PRINT:FLIP FLOPS</t>
  </si>
  <si>
    <t>FLIP FLOPS WOMEN MK2214:BLACK:38:PRINT:FLIP FLOPS</t>
  </si>
  <si>
    <t>FLIP FLOPS WOMEN MK2214:BLACK:39:PRINT:FLIP FLOPS</t>
  </si>
  <si>
    <t>FLIP FLOPS WOMEN MK2214:BLACK:40:PRINT:FLIP FLOPS</t>
  </si>
  <si>
    <t>FLIP FLOPS WOMEN MK2214:KHAKI:36:PRINT:FLIP FLOPS</t>
  </si>
  <si>
    <t>FLIP FLOPS WOMEN MK2214:KHAKI:37:PRINT:FLIP FLOPS</t>
  </si>
  <si>
    <t>FLIP FLOPS WOMEN MK2214:KHAKI:38:PRINT:FLIP FLOPS</t>
  </si>
  <si>
    <t>FLIP FLOPS WOMEN MK2214:KHAKI:39:PRINT:FLIP FLOPS</t>
  </si>
  <si>
    <t>FLIP FLOPS WOMEN MK2214:KHAKI:40:PRINT:FLIP FLOPS</t>
  </si>
  <si>
    <t>MKW02</t>
  </si>
  <si>
    <t>SLIPPER SANDALS MICKEY MKW02:WHITE:37:SOLID:SLIPPER SANDALS</t>
  </si>
  <si>
    <t>SLIPPER SANDALS MICKEY MKW02:WHITE:36:SOLID:SLIPPER SANDALS</t>
  </si>
  <si>
    <t>SLIPPER SANDALS MICKEY MKW02:WHITE:38:SOLID:SLIPPER SANDALS</t>
  </si>
  <si>
    <t>SLIPPER SANDALS MICKEY MKW02:WHITE:39:SOLID:SLIPPER SANDALS</t>
  </si>
  <si>
    <t>SLIPPER SANDALS MICKEY MKW02:WHITE:40:SOLID:SLIPPER SANDALS</t>
  </si>
  <si>
    <t>SLIPPER SANDALS MICKEY MKW02:KHAKI:36:SOLID:SLIPPER SANDALS</t>
  </si>
  <si>
    <t>SLIPPER SANDALS MICKEY MKW02:KHAKI:37:SOLID:SLIPPER SANDALS</t>
  </si>
  <si>
    <t>SLIPPER SANDALS MICKEY MKW02:KHAKI:38:SOLID:SLIPPER SANDALS</t>
  </si>
  <si>
    <t>SLIPPER SANDALS MICKEY MKW02:KHAKI:39:SOLID:SLIPPER SANDALS</t>
  </si>
  <si>
    <t>SLIPPER SANDALS MICKEY MKW02:KHAKI:40:SOLID:SLIPPER SANDALS</t>
  </si>
  <si>
    <t>MKBAS83</t>
  </si>
  <si>
    <t>SLIPPER SANDALS WOMEN MKBAS83:BLACK:37:SOLID:SLIPPER SANDALS</t>
  </si>
  <si>
    <t>SLIPPER SANDALS WOMEN MKBAS83:BLACK:38:SOLID:SLIPPER SANDALS</t>
  </si>
  <si>
    <t>SLIPPER SANDALS WOMEN MKBAS83:BLACK:39:SOLID:SLIPPER SANDALS</t>
  </si>
  <si>
    <t>SLIPPER SANDALS WOMEN MKBAS83:BLACK:40:SOLID:SLIPPER SANDALS</t>
  </si>
  <si>
    <t>SLIPPER SANDALS WOMEN MKBAS83:KHAKI:36:SOLID:SLIPPER SANDALS</t>
  </si>
  <si>
    <t>SLIPPER SANDALS WOMEN MKBAS83:KHAKI:37:SOLID:SLIPPER SANDALS</t>
  </si>
  <si>
    <t>SLIPPER SANDALS WOMEN MKBAS83:KHAKI:38:SOLID:SLIPPER SANDALS</t>
  </si>
  <si>
    <t>SLIPPER SANDALS WOMEN MKBAS83:KHAKI:39:SOLID:SLIPPER SANDALS</t>
  </si>
  <si>
    <t>SLIPPER SANDALS WOMEN MKBAS83:KHAKI:40:SOLID:SLIPPER SANDALS</t>
  </si>
  <si>
    <t>SLIPPER SANDALS WOMEN MKBAS83:BLACK:36:SOLID:SLIPPER SANDALS</t>
  </si>
  <si>
    <t>MKBAS95</t>
  </si>
  <si>
    <t>SLIPPER SANDALS WOMEN MKBAS95:WHITE:36:SOLID:SLIPPER SANDALS</t>
  </si>
  <si>
    <t>SLIPPER SANDALS WOMEN MKBAS95:WHITE:37:SOLID:SLIPPER SANDALS</t>
  </si>
  <si>
    <t>SLIPPER SANDALS WOMEN MKBAS95:WHITE:38:SOLID:SLIPPER SANDALS</t>
  </si>
  <si>
    <t>SLIPPER SANDALS WOMEN MKBAS95:WHITE:39:SOLID:SLIPPER SANDALS</t>
  </si>
  <si>
    <t>SLIPPER SANDALS WOMEN MKBAS95:WHITE:40:SOLID:SLIPPER SANDALS</t>
  </si>
  <si>
    <t>SLIPPER SANDALS WOMEN MKBAS95:BLACK:36:SOLID:SLIPPER SANDALS</t>
  </si>
  <si>
    <t>SLIPPER SANDALS WOMEN MKBAS95:BLACK:37:SOLID:SLIPPER SANDALS</t>
  </si>
  <si>
    <t>SLIPPER SANDALS WOMEN MKBAS95:BLACK:38:SOLID:SLIPPER SANDALS</t>
  </si>
  <si>
    <t>SLIPPER SANDALS WOMEN MKBAS95:BLACK:39:SOLID:SLIPPER SANDALS</t>
  </si>
  <si>
    <t>SLIPPER SANDALS WOMEN MKBAS95:BLACK:40:SOLID:SLIPPER SANDALS</t>
  </si>
  <si>
    <t>SLIPPER SANDALS WOMEN MKBAS95:DUSTY PINK:36:SOLID:SLIPPER SANDALS</t>
  </si>
  <si>
    <t>SLIPPER SANDALS WOMEN MKBAS95:DUSTY PINK:37:SOLID:SLIPPER SANDALS</t>
  </si>
  <si>
    <t>SLIPPER SANDALS WOMEN MKBAS95:DUSTY PINK:38:SOLID:SLIPPER SANDALS</t>
  </si>
  <si>
    <t>SLIPPER SANDALS WOMEN MKBAS95:DUSTY PINK:39:SOLID:SLIPPER SANDALS</t>
  </si>
  <si>
    <t>SLIPPER SANDALS WOMEN MKBAS95:DUSTY PINK:40:SOLID:SLIPPER SANDALS</t>
  </si>
  <si>
    <t>MST05</t>
  </si>
  <si>
    <t>SLIPPER SANDALS WOMEN MST05:BLACK:37:SOLID:SLIPPER SANDALS</t>
  </si>
  <si>
    <t>SLIPPER SANDALS WOMEN MST05:BLACK:38:SOLID:SLIPPER SANDALS</t>
  </si>
  <si>
    <t>SLIPPER SANDALS WOMEN MST05:BLACK:39:SOLID:SLIPPER SANDALS</t>
  </si>
  <si>
    <t>SLIPPER SANDALS WOMEN MST05:BLACK:40:SOLID:SLIPPER SANDALS</t>
  </si>
  <si>
    <t>SLIPPER SANDALS WOMEN MST05:BLACK:36:SOLID:SLIPPER SANDALS</t>
  </si>
  <si>
    <t>MARB112</t>
  </si>
  <si>
    <t>SLIPPER SANDALS WOMEN MARB112:OFF WHITE:36:SOLID:SLIPPER SANDALS</t>
  </si>
  <si>
    <t>SLIPPER SANDALS WOMEN MARB112:OFF WHITE:37:SOLID:SLIPPER SANDALS</t>
  </si>
  <si>
    <t>SLIPPER SANDALS WOMEN MARB112:OFF WHITE:38:SOLID:SLIPPER SANDALS</t>
  </si>
  <si>
    <t>SLIPPER SANDALS WOMEN MARB112:OFF WHITE:39:SOLID:SLIPPER SANDALS</t>
  </si>
  <si>
    <t>SLIPPER SANDALS WOMEN MARB112:OFF WHITE:40:SOLID:SLIPPER SANDALS</t>
  </si>
  <si>
    <t>SLIPPER SANDALS WOMEN MARB112:BLACK:36:SOLID:SLIPPER SANDALS</t>
  </si>
  <si>
    <t>SLIPPER SANDALS WOMEN MARB112:BLACK:37:SOLID:SLIPPER SANDALS</t>
  </si>
  <si>
    <t>SLIPPER SANDALS WOMEN MARB112:BLACK:38:SOLID:SLIPPER SANDALS</t>
  </si>
  <si>
    <t>SLIPPER SANDALS WOMEN MARB112:BLACK:39:SOLID:SLIPPER SANDALS</t>
  </si>
  <si>
    <t>SLIPPER SANDALS WOMEN MARB112:BLACK:40:SOLID:SLIPPER SANDALS</t>
  </si>
  <si>
    <t>MARB113</t>
  </si>
  <si>
    <t>SLIPPER SANDALS WOMEN MARB113:KHAKI:36:SOLID:SLIPPER SANDALS</t>
  </si>
  <si>
    <t>SLIPPER SANDALS WOMEN MARB113:KHAKI:37:SOLID:SLIPPER SANDALS</t>
  </si>
  <si>
    <t>SLIPPER SANDALS WOMEN MARB113:KHAKI:38:SOLID:SLIPPER SANDALS</t>
  </si>
  <si>
    <t>SLIPPER SANDALS WOMEN MARB113:KHAKI:39:SOLID:SLIPPER SANDALS</t>
  </si>
  <si>
    <t>SLIPPER SANDALS WOMEN MARB113:KHAKI:40:SOLID:SLIPPER SANDALS</t>
  </si>
  <si>
    <t>SLIPPER SANDALS WOMEN MARB113:WOOD BROWN:36:SOLID:SLIPPER SANDALS</t>
  </si>
  <si>
    <t>SLIPPER SANDALS WOMEN MARB113:WOOD BROWN:37:SOLID:SLIPPER SANDALS</t>
  </si>
  <si>
    <t>SLIPPER SANDALS WOMEN MARB113:WOOD BROWN:38:SOLID:SLIPPER SANDALS</t>
  </si>
  <si>
    <t>SLIPPER SANDALS WOMEN MARB113:WOOD BROWN:39:SOLID:SLIPPER SANDALS</t>
  </si>
  <si>
    <t>SLIPPER SANDALS WOMEN MARB113:WOOD BROWN:40:SOLID:SLIPPER SANDALS</t>
  </si>
  <si>
    <t>LO03</t>
  </si>
  <si>
    <t>SLIPPER SANDALS WOMEN LO03:BLACK:M:SOLID:SLIPPER SANDALS</t>
  </si>
  <si>
    <t>SLIPPER SANDALS WOMEN LO03:BLACK:L:SOLID:SLIPPER SANDALS</t>
  </si>
  <si>
    <t>SLIPPER SANDALS WOMEN LO03:BLACK:XL:SOLID:SLIPPER SANDALS</t>
  </si>
  <si>
    <t>MKSOFT1</t>
  </si>
  <si>
    <t>SLIPPER SANDALS WOMEN MKSOFT1:BLACK:S:PRINT:SLIPPER SANDALS</t>
  </si>
  <si>
    <t>SLIPPER SANDALS WOMEN MKSOFT1:BLACK:M:PRINT:SLIPPER SANDALS</t>
  </si>
  <si>
    <t>SLIPPER SANDALS WOMEN MKSOFT1:BLACK:L:PRINT:SLIPPER SANDALS</t>
  </si>
  <si>
    <t>SLIPPER SANDALS WOMEN MKSOFT1:BLACK:XL:PRINT:SLIPPER SANDALS</t>
  </si>
  <si>
    <t>SLIPPER SANDALS WOMEN MKSOFT1:LIGHT BLUE:S:PRINT:SLIPPER SANDALS</t>
  </si>
  <si>
    <t>SLIPPER SANDALS WOMEN MKSOFT1:LIGHT BLUE:M:PRINT:SLIPPER SANDALS</t>
  </si>
  <si>
    <t>SLIPPER SANDALS WOMEN MKSOFT1:LIGHT BLUE:L:PRINT:SLIPPER SANDALS</t>
  </si>
  <si>
    <t>SLIPPER SANDALS WOMEN MKSOFT1:LIGHT BLUE:XL:PRINT:SLIPPER SANDALS</t>
  </si>
  <si>
    <t>SLIPPER SANDALS WOMEN MKSOFT1:KHAKI:S:PRINT:SLIPPER SANDALS</t>
  </si>
  <si>
    <t>SLIPPER SANDALS WOMEN MKSOFT1:KHAKI:M:PRINT:SLIPPER SANDALS</t>
  </si>
  <si>
    <t>SLIPPER SANDALS WOMEN MKSOFT1:KHAKI:L:PRINT:SLIPPER SANDALS</t>
  </si>
  <si>
    <t>SLIPPER SANDALS WOMEN MKSOFT1:KHAKI:XL:PRINT:SLIPPER SANDALS</t>
  </si>
  <si>
    <t>LO01</t>
  </si>
  <si>
    <t>SLIPPER SANDALS WOMEN LO01:FUSCHIA:36:SOLID:SLIPPER SANDALS</t>
  </si>
  <si>
    <t>SLIPPER SANDALS WOMEN LO01:FUSCHIA:37:SOLID:SLIPPER SANDALS</t>
  </si>
  <si>
    <t>SLIPPER SANDALS WOMEN LO01:FUSCHIA:38:SOLID:SLIPPER SANDALS</t>
  </si>
  <si>
    <t>SLIPPER SANDALS WOMEN LO01:FUSCHIA:39:SOLID:SLIPPER SANDALS</t>
  </si>
  <si>
    <t>SLIPPER SANDALS WOMEN LO01:FUSCHIA:40:SOLID:SLIPPER SANDALS</t>
  </si>
  <si>
    <t>LO02</t>
  </si>
  <si>
    <t>SLIPPER SANDALS WOMEN LO02:WHITE:36:SOLID:SLIPPER SANDALS</t>
  </si>
  <si>
    <t>SLIPPER SANDALS WOMEN LO02:WHITE:37:SOLID:SLIPPER SANDALS</t>
  </si>
  <si>
    <t>SLIPPER SANDALS WOMEN LO02:WHITE:38:SOLID:SLIPPER SANDALS</t>
  </si>
  <si>
    <t>SLIPPER SANDALS WOMEN LO02:WHITE:39:SOLID:SLIPPER SANDALS</t>
  </si>
  <si>
    <t>SLIPPER SANDALS WOMEN LO02:WHITE:40:SOLID:SLIPPER SANDALS</t>
  </si>
  <si>
    <t>SLIPPER SANDALS WOMEN LO03:BLACK:S:SOLID:SLIPPER SANDALS</t>
  </si>
  <si>
    <t>MK2305</t>
  </si>
  <si>
    <t>FLIP FLOPS MICKEY MK2305:PASTEL GREY:XL:PRINT:FLIP FLOPS</t>
  </si>
  <si>
    <t>FLIP FLOPS MICKEY MK2305:NAVY BLUE:S:PRINT:FLIP FLOPS</t>
  </si>
  <si>
    <t>FLIP FLOPS MICKEY MK2305:NAVY BLUE:M:PRINT:FLIP FLOPS</t>
  </si>
  <si>
    <t>FLIP FLOPS MICKEY MK2305:NAVY BLUE:L:PRINT:FLIP FLOPS</t>
  </si>
  <si>
    <t>FLIP FLOPS MICKEY MK2305:NAVY BLUE:XL:PRINT:FLIP FLOPS</t>
  </si>
  <si>
    <t>FLIP FLOPS MICKEY MK2305:BLACK:S:PRINT:FLIP FLOPS</t>
  </si>
  <si>
    <t>FLIP FLOPS MICKEY MK2305:BLACK:M:PRINT:FLIP FLOPS</t>
  </si>
  <si>
    <t>FLIP FLOPS MICKEY MK2305:BLACK:L:PRINT:FLIP FLOPS</t>
  </si>
  <si>
    <t>FLIP FLOPS MICKEY MK2305:BLACK:XL:PRINT:FLIP FLOPS</t>
  </si>
  <si>
    <t>FLIP FLOPS MICKEY MK2305:BROWN SUGAR:S:PRINT:FLIP FLOPS</t>
  </si>
  <si>
    <t>FLIP FLOPS MICKEY MK2305:BROWN SUGAR:M:PRINT:FLIP FLOPS</t>
  </si>
  <si>
    <t>FLIP FLOPS MICKEY MK2305:BROWN SUGAR:L:PRINT:FLIP FLOPS</t>
  </si>
  <si>
    <t>FLIP FLOPS MICKEY MK2305:BROWN SUGAR:XL:PRINT:FLIP FLOPS</t>
  </si>
  <si>
    <t>FLIP FLOPS MICKEY MK2305:PASTEL GREY:S:PRINT:FLIP FLOPS</t>
  </si>
  <si>
    <t>FLIP FLOPS MICKEY MK2305:PASTEL GREY:M:PRINT:FLIP FLOPS</t>
  </si>
  <si>
    <t>FLIP FLOPS MICKEY MK2305:PASTEL GREY:L:PRINT:FLIP FLOPS</t>
  </si>
  <si>
    <t>MK2218</t>
  </si>
  <si>
    <t>FLIP FLOPS MICKEY MK2218:BLACK:S:PRINT:FLIP FLOPS</t>
  </si>
  <si>
    <t>FLIP FLOPS MICKEY MK2218:BLACK:M:PRINT:FLIP FLOPS</t>
  </si>
  <si>
    <t>FLIP FLOPS MICKEY MK2218:BLACK:L:PRINT:FLIP FLOPS</t>
  </si>
  <si>
    <t>FLIP FLOPS MICKEY MK2218:BLACK:XL:PRINT:FLIP FLOPS</t>
  </si>
  <si>
    <t>FLIP FLOPS MICKEY MK2218:KHAKI:S:PRINT:FLIP FLOPS</t>
  </si>
  <si>
    <t>FLIP FLOPS MICKEY MK2218:KHAKI:M:PRINT:FLIP FLOPS</t>
  </si>
  <si>
    <t>FLIP FLOPS MICKEY MK2218:KHAKI:L:PRINT:FLIP FLOPS</t>
  </si>
  <si>
    <t>FLIP FLOPS MICKEY MK2218:KHAKI:XL:PRINT:FLIP FLOPS</t>
  </si>
  <si>
    <t>MK2406</t>
  </si>
  <si>
    <t>FLIP FLOPS MICKEY MK2406:WHITE:S:PRINT:FLIP FLOPS</t>
  </si>
  <si>
    <t>FLIP FLOPS MICKEY MK2406:WHITE:M:PRINT:FLIP FLOPS</t>
  </si>
  <si>
    <t>FLIP FLOPS MICKEY MK2406:WHITE:L:PRINT:FLIP FLOPS</t>
  </si>
  <si>
    <t>FLIP FLOPS MICKEY MK2406:WHITE:XL:PRINT:FLIP FLOPS</t>
  </si>
  <si>
    <t>MK2417</t>
  </si>
  <si>
    <t>SLIPPER SANDALS MICKEY MK2417:BLACK:36:SOLID:SLIPPER SANDALS</t>
  </si>
  <si>
    <t>SLIPPER SANDALS MICKEY MK2417:BLACK:37:SOLID:SLIPPER SANDALS</t>
  </si>
  <si>
    <t>SLIPPER SANDALS MICKEY MK2417:BLACK:38:SOLID:SLIPPER SANDALS</t>
  </si>
  <si>
    <t>SLIPPER SANDALS MICKEY MK2417:BLACK:39:SOLID:SLIPPER SANDALS</t>
  </si>
  <si>
    <t>SLIPPER SANDALS MICKEY MK2417:BLACK:40:SOLID:SLIPPER SANDALS</t>
  </si>
  <si>
    <t>SLIPPER SANDALS MICKEY MK2417:KHAKI:36:SOLID:SLIPPER SANDALS</t>
  </si>
  <si>
    <t>SLIPPER SANDALS MICKEY MK2417:KHAKI:37:SOLID:SLIPPER SANDALS</t>
  </si>
  <si>
    <t>SLIPPER SANDALS MICKEY MK2417:KHAKI:38:SOLID:SLIPPER SANDALS</t>
  </si>
  <si>
    <t>SLIPPER SANDALS MICKEY MK2417:KHAKI:39:SOLID:SLIPPER SANDALS</t>
  </si>
  <si>
    <t>SLIPPER SANDALS MICKEY MK2417:KHAKI:40:SOLID:SLIPPER SANDALS</t>
  </si>
  <si>
    <t>MK2414</t>
  </si>
  <si>
    <t>SLIPPER SANDALS MICKEY MK2414:NAVY BLUE:36:SOLID:SLIPPER SANDALS</t>
  </si>
  <si>
    <t>SLIPPER SANDALS MICKEY MK2414:NAVY BLUE:37:SOLID:SLIPPER SANDALS</t>
  </si>
  <si>
    <t>SLIPPER SANDALS MICKEY MK2414:NAVY BLUE:38:SOLID:SLIPPER SANDALS</t>
  </si>
  <si>
    <t>SLIPPER SANDALS MICKEY MK2414:NAVY BLUE:39:SOLID:SLIPPER SANDALS</t>
  </si>
  <si>
    <t>SLIPPER SANDALS MICKEY MK2414:NAVY BLUE:40:SOLID:SLIPPER SANDALS</t>
  </si>
  <si>
    <t>MK2410</t>
  </si>
  <si>
    <t>SLIPPER SANDALS MICKEY MK2410:WHITE:36:SOLID:SLIPPER SANDALS</t>
  </si>
  <si>
    <t>SLIPPER SANDALS MICKEY MK2410:WHITE:37:SOLID:SLIPPER SANDALS</t>
  </si>
  <si>
    <t>SLIPPER SANDALS MICKEY MK2410:WHITE:38:SOLID:SLIPPER SANDALS</t>
  </si>
  <si>
    <t>SLIPPER SANDALS MICKEY MK2410:WHITE:39:SOLID:SLIPPER SANDALS</t>
  </si>
  <si>
    <t>SLIPPER SANDALS MICKEY MK2410:WHITE:40:SOLID:SLIPPER SANDALS</t>
  </si>
  <si>
    <t>MK2407</t>
  </si>
  <si>
    <t>FLIP FLOPS MICKEY MK2407:GOLD:S:SOLID:FLIP FLOPS</t>
  </si>
  <si>
    <t>FLIP FLOPS MICKEY MK2407:GOLD:M:SOLID:FLIP FLOPS</t>
  </si>
  <si>
    <t>FLIP FLOPS MICKEY MK2407:GOLD:L:SOLID:FLIP FLOPS</t>
  </si>
  <si>
    <t>FLIP FLOPS MICKEY MK2407:GOLD:XL:SOLID:FLIP FLOPS</t>
  </si>
  <si>
    <t>MK2418</t>
  </si>
  <si>
    <t>SLIPPER SANDALS MICKEY MK2418:BLACK:36:SOLID:SLIPPER SANDALS</t>
  </si>
  <si>
    <t>SLIPPER SANDALS MICKEY MK2418:BLACK:37:SOLID:SLIPPER SANDALS</t>
  </si>
  <si>
    <t>SLIPPER SANDALS MICKEY MK2418:BLACK:38:SOLID:SLIPPER SANDALS</t>
  </si>
  <si>
    <t>SLIPPER SANDALS MICKEY MK2418:BLACK:39:SOLID:SLIPPER SANDALS</t>
  </si>
  <si>
    <t>SLIPPER SANDALS MICKEY MK2418:BLACK:40:SOLID:SLIPPER SANDALS</t>
  </si>
  <si>
    <t>MKBAS90</t>
  </si>
  <si>
    <t>SLINGBACK SANDALS WOMEN MKBAS90:BLACK:40:PRINT:SLINGBACK SANDALS</t>
  </si>
  <si>
    <t>SLINGBACK SANDALS WOMEN MKBAS90:KHAKI:38:PRINT:SLINGBACK SANDALS</t>
  </si>
  <si>
    <t>SLINGBACK SANDALS WOMEN MKBAS90:KHAKI:39:PRINT:SLINGBACK SANDALS</t>
  </si>
  <si>
    <t>SLINGBACK SANDALS WOMEN MKBAS90:KHAKI:40:PRINT:SLINGBACK SANDALS</t>
  </si>
  <si>
    <t>SLINGBACK SANDALS WOMEN MKBAS90:BLACK:36:PRINT:SLINGBACK SANDALS</t>
  </si>
  <si>
    <t>SLINGBACK SANDALS WOMEN MKBAS90:BLACK:37:PRINT:SLINGBACK SANDALS</t>
  </si>
  <si>
    <t>SLINGBACK SANDALS WOMEN MKBAS90:BLACK:38:PRINT:SLINGBACK SANDALS</t>
  </si>
  <si>
    <t>SLINGBACK SANDALS WOMEN MKBAS90:BLACK:39:PRINT:SLINGBACK SANDALS</t>
  </si>
  <si>
    <t>SLINGBACK SANDALS WOMEN MKBAS90:KHAKI:36:PRINT:SLINGBACK SANDALS</t>
  </si>
  <si>
    <t>SLINGBACK SANDALS WOMEN MKBAS90:KHAKI:37:PRINT:SLINGBACK SANDALS</t>
  </si>
  <si>
    <t>SLIPPER SANDALS MICKEY MKBAS28:KHAKI:40:SOLID:SLIPPER SANDALS</t>
  </si>
  <si>
    <t>SLIPPER SANDALS MICKEY MKBAS28:LIGHT BLUE:36:SOLID:SLIPPER SANDALS</t>
  </si>
  <si>
    <t>SLIPPER SANDALS MICKEY MKBAS28:LIGHT BLUE:37:SOLID:SLIPPER SANDALS</t>
  </si>
  <si>
    <t>SLIPPER SANDALS MICKEY MKBAS28:LIGHT BLUE:38:SOLID:SLIPPER SANDALS</t>
  </si>
  <si>
    <t>SLIPPER SANDALS MICKEY MKBAS28:LIGHT BLUE:39:SOLID:SLIPPER SANDALS</t>
  </si>
  <si>
    <t>SLIPPER SANDALS MICKEY MKBAS28:LIGHT BLUE:40:SOLID:SLIPPER SANDALS</t>
  </si>
  <si>
    <t>SLIPPER SANDALS MICKEY MKBAS28:KHAKI:36:SOLID:SLIPPER SANDALS</t>
  </si>
  <si>
    <t>SLIPPER SANDALS MICKEY MKBAS28:KHAKI:37:SOLID:SLIPPER SANDALS</t>
  </si>
  <si>
    <t>SLIPPER SANDALS MICKEY MKBAS28:KHAKI:38:SOLID:SLIPPER SANDALS</t>
  </si>
  <si>
    <t>SLIPPER SANDALS MICKEY MKBAS28:KHAKI:39:SOLID:SLIPPER SANDALS</t>
  </si>
  <si>
    <t>SLIPPER SANDALS MICKEY MKBAS57:BROWN SUGAR:40:PRINT:SLIPPER SANDALS</t>
  </si>
  <si>
    <t>SLIPPER SANDALS MICKEY MKBAS57:BROWN SUGAR:39:PRINT:SLIPPER SANDALS</t>
  </si>
  <si>
    <t>SLIPPER SANDALS MICKEY MKBAS57:BROWN SUGAR:36:PRINT:SLIPPER SANDALS</t>
  </si>
  <si>
    <t>SLIPPER SANDALS MICKEY MKBAS57:BROWN SUGAR:37:PRINT:SLIPPER SANDALS</t>
  </si>
  <si>
    <t>SLIPPER SANDALS MICKEY MKBAS57:BROWN SUGAR:38:PRINT:SLIPPER SANDALS</t>
  </si>
  <si>
    <t>MKBAS86</t>
  </si>
  <si>
    <t>SLIPPER SANDALS WOMEN MKBAS86:BLACK:40:SOLID:SLIPPER SANDALS</t>
  </si>
  <si>
    <t>SLIPPER SANDALS WOMEN MKBAS86:LIGHT BLUE:36:SOLID:SLIPPER SANDALS</t>
  </si>
  <si>
    <t>SLIPPER SANDALS WOMEN MKBAS86:LIGHT BLUE:37:SOLID:SLIPPER SANDALS</t>
  </si>
  <si>
    <t>SLIPPER SANDALS WOMEN MKBAS86:LIGHT BLUE:38:SOLID:SLIPPER SANDALS</t>
  </si>
  <si>
    <t>SLIPPER SANDALS WOMEN MKBAS86:LIGHT BLUE:39:SOLID:SLIPPER SANDALS</t>
  </si>
  <si>
    <t>SLIPPER SANDALS WOMEN MKBAS86:LIGHT BLUE:40:SOLID:SLIPPER SANDALS</t>
  </si>
  <si>
    <t>SLIPPER SANDALS WOMEN MKBAS86:BLACK:36:SOLID:SLIPPER SANDALS</t>
  </si>
  <si>
    <t>SLIPPER SANDALS WOMEN MKBAS86:BLACK:37:SOLID:SLIPPER SANDALS</t>
  </si>
  <si>
    <t>SLIPPER SANDALS WOMEN MKBAS86:BLACK:38:SOLID:SLIPPER SANDALS</t>
  </si>
  <si>
    <t>SLIPPER SANDALS WOMEN MKBAS86:BLACK:39:SOLID:SLIPPER SANDALS</t>
  </si>
  <si>
    <t>MKBAS91</t>
  </si>
  <si>
    <t>SLIPPER SANDALS WOMEN MKBAS91:KHAKI:37:PRINT:SLIPPER SANDALS</t>
  </si>
  <si>
    <t>SLIPPER SANDALS WOMEN MKBAS91:KHAKI:38:PRINT:SLIPPER SANDALS</t>
  </si>
  <si>
    <t>SLIPPER SANDALS WOMEN MKBAS91:KHAKI:39:PRINT:SLIPPER SANDALS</t>
  </si>
  <si>
    <t>SLIPPER SANDALS WOMEN MKBAS91:KHAKI:40:PRINT:SLIPPER SANDALS</t>
  </si>
  <si>
    <t>SLIPPER SANDALS WOMEN MKBAS91:LIGHT BLUE:36:PRINT:SLIPPER SANDALS</t>
  </si>
  <si>
    <t>SLIPPER SANDALS WOMEN MKBAS91:LIGHT BLUE:37:PRINT:SLIPPER SANDALS</t>
  </si>
  <si>
    <t>SLIPPER SANDALS WOMEN MKBAS91:LIGHT BLUE:38:PRINT:SLIPPER SANDALS</t>
  </si>
  <si>
    <t>SLIPPER SANDALS WOMEN MKBAS91:LIGHT BLUE:39:PRINT:SLIPPER SANDALS</t>
  </si>
  <si>
    <t>SLIPPER SANDALS WOMEN MKBAS91:LIGHT BLUE:40:PRINT:SLIPPER SANDALS</t>
  </si>
  <si>
    <t>SLIPPER SANDALS WOMEN MKBAS91:WHITE:36:PRINT:SLIPPER SANDALS</t>
  </si>
  <si>
    <t>SLIPPER SANDALS WOMEN MKBAS91:WHITE:37:PRINT:SLIPPER SANDALS</t>
  </si>
  <si>
    <t>SLIPPER SANDALS WOMEN MKBAS91:WHITE:38:PRINT:SLIPPER SANDALS</t>
  </si>
  <si>
    <t>SLIPPER SANDALS WOMEN MKBAS91:WHITE:39:PRINT:SLIPPER SANDALS</t>
  </si>
  <si>
    <t>SLIPPER SANDALS WOMEN MKBAS91:WHITE:40:PRINT:SLIPPER SANDALS</t>
  </si>
  <si>
    <t>MKBAS93</t>
  </si>
  <si>
    <t>SLIPPER SANDALS WOMEN MKBAS93:WHITE:36:PRINT:SLIPPER SANDALS</t>
  </si>
  <si>
    <t>SLIPPER SANDALS WOMEN MKBAS93:WHITE:37:PRINT:SLIPPER SANDALS</t>
  </si>
  <si>
    <t>SLIPPER SANDALS WOMEN MKBAS93:WHITE:38:PRINT:SLIPPER SANDALS</t>
  </si>
  <si>
    <t>SLIPPER SANDALS WOMEN MKBAS93:WHITE:39:PRINT:SLIPPER SANDALS</t>
  </si>
  <si>
    <t>SLIPPER SANDALS WOMEN MKBAS93:WHITE:40:PRINT:SLIPPER SANDALS</t>
  </si>
  <si>
    <t>SLIPPER SANDALS WOMEN MKBAS93:BLACK:36:PRINT:SLIPPER SANDALS</t>
  </si>
  <si>
    <t>SLIPPER SANDALS WOMEN MKBAS93:BLACK:37:PRINT:SLIPPER SANDALS</t>
  </si>
  <si>
    <t>SLIPPER SANDALS WOMEN MKBAS93:BLACK:38:PRINT:SLIPPER SANDALS</t>
  </si>
  <si>
    <t>SLIPPER SANDALS WOMEN MKBAS93:BLACK:39:PRINT:SLIPPER SANDALS</t>
  </si>
  <si>
    <t>SLIPPER SANDALS WOMEN MKBAS93:BLACK:40:PRINT:SLIPPER SANDALS</t>
  </si>
  <si>
    <t>SLIPPER SANDALS WOMEN MKBAS91:KHAKI:36:PRINT:SLIPPER SANDALS</t>
  </si>
  <si>
    <t>MKBAS94</t>
  </si>
  <si>
    <t>SLINGBACK SANDALS WOMEN MKBAS94:BLACK:40:SOLID:SLINGBACK SANDALS</t>
  </si>
  <si>
    <t>SLINGBACK SANDALS WOMEN MKBAS94:KHAKI:36:SOLID:SLINGBACK SANDALS</t>
  </si>
  <si>
    <t>SLINGBACK SANDALS WOMEN MKBAS94:KHAKI:37:SOLID:SLINGBACK SANDALS</t>
  </si>
  <si>
    <t>SLINGBACK SANDALS WOMEN MKBAS94:KHAKI:38:SOLID:SLINGBACK SANDALS</t>
  </si>
  <si>
    <t>SLINGBACK SANDALS WOMEN MKBAS94:KHAKI:39:SOLID:SLINGBACK SANDALS</t>
  </si>
  <si>
    <t>SLINGBACK SANDALS WOMEN MKBAS94:KHAKI:40:SOLID:SLINGBACK SANDALS</t>
  </si>
  <si>
    <t>SLINGBACK SANDALS WOMEN MKBAS94:BLACK:36:SOLID:SLINGBACK SANDALS</t>
  </si>
  <si>
    <t>SLINGBACK SANDALS WOMEN MKBAS94:BLACK:37:SOLID:SLINGBACK SANDALS</t>
  </si>
  <si>
    <t>SLINGBACK SANDALS WOMEN MKBAS94:BLACK:38:SOLID:SLINGBACK SANDALS</t>
  </si>
  <si>
    <t>SLINGBACK SANDALS WOMEN MKBAS94:BLACK:39:SOLID:SLINGBACK SANDALS</t>
  </si>
  <si>
    <t>MKBAS89</t>
  </si>
  <si>
    <t>SLIPPER SANDALS WOMEN MKBAS89:WHITE:36:PRINT:SLIPPER SANDALS</t>
  </si>
  <si>
    <t>SLIPPER SANDALS WOMEN MKBAS89:WHITE:37:PRINT:SLIPPER SANDALS</t>
  </si>
  <si>
    <t>SLIPPER SANDALS WOMEN MKBAS89:WHITE:38:PRINT:SLIPPER SANDALS</t>
  </si>
  <si>
    <t>SLIPPER SANDALS WOMEN MKBAS89:WHITE:39:PRINT:SLIPPER SANDALS</t>
  </si>
  <si>
    <t>SLIPPER SANDALS WOMEN MKBAS89:WHITE:40:PRINT:SLIPPER SANDALS</t>
  </si>
  <si>
    <t>SLIPPER SANDALS WOMEN MKBAS89:BLACK:36:PRINT:SLIPPER SANDALS</t>
  </si>
  <si>
    <t>SLIPPER SANDALS WOMEN MKBAS89:BLACK:37:PRINT:SLIPPER SANDALS</t>
  </si>
  <si>
    <t>SLIPPER SANDALS WOMEN MKBAS89:BLACK:38:PRINT:SLIPPER SANDALS</t>
  </si>
  <si>
    <t>SLIPPER SANDALS WOMEN MKBAS89:BLACK:39:PRINT:SLIPPER SANDALS</t>
  </si>
  <si>
    <t>SLIPPER SANDALS WOMEN MKBAS89:BLACK:40:PRINT:SLIPPER SANDALS</t>
  </si>
  <si>
    <t>MKBAS87</t>
  </si>
  <si>
    <t>SLIPPER SANDALS WOMEN MKBAS87:KHAKI:36:PRINT:SLIPPER SANDALS</t>
  </si>
  <si>
    <t>SLIPPER SANDALS WOMEN MKBAS87:KHAKI:37:PRINT:SLIPPER SANDALS</t>
  </si>
  <si>
    <t>SLIPPER SANDALS WOMEN MKBAS87:KHAKI:38:PRINT:SLIPPER SANDALS</t>
  </si>
  <si>
    <t>SLIPPER SANDALS WOMEN MKBAS87:KHAKI:39:PRINT:SLIPPER SANDALS</t>
  </si>
  <si>
    <t>SLIPPER SANDALS WOMEN MKBAS87:KHAKI:40:PRINT:SLIPPER SANDALS</t>
  </si>
  <si>
    <t>SLIPPER SANDALS WOMEN MKBAS87:BLACK:36:PRINT:SLIPPER SANDALS</t>
  </si>
  <si>
    <t>SLIPPER SANDALS WOMEN MKBAS87:BLACK:37:PRINT:SLIPPER SANDALS</t>
  </si>
  <si>
    <t>SLIPPER SANDALS WOMEN MKBAS87:BLACK:38:PRINT:SLIPPER SANDALS</t>
  </si>
  <si>
    <t>SLIPPER SANDALS WOMEN MKBAS87:BLACK:39:PRINT:SLIPPER SANDALS</t>
  </si>
  <si>
    <t>SLIPPER SANDALS WOMEN MKBAS87:BLACK:40:PRINT:SLIPPER SANDALS</t>
  </si>
  <si>
    <t>TIMEDEV10</t>
  </si>
  <si>
    <t>SLINGBACK SANDALS WOMEN TIMEDEV10:OLIVE:39:SOLID:SLINGBACK SANDALS</t>
  </si>
  <si>
    <t>SLINGBACK SANDALS WOMEN TIMEDEV10:OLIVE:40:SOLID:SLINGBACK SANDALS</t>
  </si>
  <si>
    <t>SLINGBACK SANDALS WOMEN TIMEDEV10:BLACK:36:SOLID:SLINGBACK SANDALS</t>
  </si>
  <si>
    <t>SLINGBACK SANDALS WOMEN TIMEDEV10:BLACK:37:SOLID:SLINGBACK SANDALS</t>
  </si>
  <si>
    <t>SLINGBACK SANDALS WOMEN TIMEDEV10:BLACK:38:SOLID:SLINGBACK SANDALS</t>
  </si>
  <si>
    <t>SLINGBACK SANDALS WOMEN TIMEDEV10:BLACK:39:SOLID:SLINGBACK SANDALS</t>
  </si>
  <si>
    <t>SLINGBACK SANDALS WOMEN TIMEDEV10:BLACK:40:SOLID:SLINGBACK SANDALS</t>
  </si>
  <si>
    <t>SLINGBACK SANDALS WOMEN TIMEDEV10:OLIVE:36:SOLID:SLINGBACK SANDALS</t>
  </si>
  <si>
    <t>SLINGBACK SANDALS WOMEN TIMEDEV10:OLIVE:37:SOLID:SLINGBACK SANDALS</t>
  </si>
  <si>
    <t>SLINGBACK SANDALS WOMEN TIMEDEV10:OLIVE:38:SOLID:SLINGBACK SANDALS</t>
  </si>
  <si>
    <t>MST08</t>
  </si>
  <si>
    <t>SLIPPER SANDALS WOMEN MST08:BLACK:36:SOLID:SLIPPER SANDALS</t>
  </si>
  <si>
    <t>SLIPPER SANDALS WOMEN MST08:BLACK:37:SOLID:SLIPPER SANDALS</t>
  </si>
  <si>
    <t>SLIPPER SANDALS WOMEN MST08:BLACK:38:SOLID:SLIPPER SANDALS</t>
  </si>
  <si>
    <t>SLIPPER SANDALS WOMEN MST08:BLACK:39:SOLID:SLIPPER SANDALS</t>
  </si>
  <si>
    <t>SLIPPER SANDALS WOMEN MST08:BLACK:40:SOLID:SLIPPER SANDALS</t>
  </si>
  <si>
    <t>SLIPPER SANDALS WOMEN MST08:MAROON:36:SOLID:SLIPPER SANDALS</t>
  </si>
  <si>
    <t>SLIPPER SANDALS WOMEN MST08:MAROON:37:SOLID:SLIPPER SANDALS</t>
  </si>
  <si>
    <t>SLIPPER SANDALS WOMEN MST08:MAROON:38:SOLID:SLIPPER SANDALS</t>
  </si>
  <si>
    <t>SLIPPER SANDALS WOMEN MST08:MAROON:39:SOLID:SLIPPER SANDALS</t>
  </si>
  <si>
    <t>SLIPPER SANDALS WOMEN MST08:MAROON:40:SOLID:SLIPPER SANDALS</t>
  </si>
  <si>
    <t>MST09</t>
  </si>
  <si>
    <t>SLIPPER SANDALS WOMEN MST09:BLACK:36:SOLID:SLIPPER SANDALS</t>
  </si>
  <si>
    <t>SLIPPER SANDALS WOMEN MST09:BLACK:37:SOLID:SLIPPER SANDALS</t>
  </si>
  <si>
    <t>SLIPPER SANDALS WOMEN MST09:BLACK:38:SOLID:SLIPPER SANDALS</t>
  </si>
  <si>
    <t>SLIPPER SANDALS WOMEN MST09:BLACK:39:SOLID:SLIPPER SANDALS</t>
  </si>
  <si>
    <t>SLIPPER SANDALS WOMEN MST09:BLACK:40:SOLID:SLIPPER SANDALS</t>
  </si>
  <si>
    <t>MKBAS88</t>
  </si>
  <si>
    <t>SLIPPER SANDALS WOMEN MKBAS88:BLACK:36:PRINT:SLIPPER SANDALS</t>
  </si>
  <si>
    <t>SLIPPER SANDALS WOMEN MKBAS88:BLACK:37:PRINT:SLIPPER SANDALS</t>
  </si>
  <si>
    <t>SLIPPER SANDALS WOMEN MKBAS88:BLACK:38:PRINT:SLIPPER SANDALS</t>
  </si>
  <si>
    <t>SLIPPER SANDALS WOMEN MKBAS88:BLACK:39:PRINT:SLIPPER SANDALS</t>
  </si>
  <si>
    <t>SLIPPER SANDALS WOMEN MKBAS88:BLACK:40:PRINT:SLIPPER SANDALS</t>
  </si>
  <si>
    <t>SLIPPER SANDALS WOMEN MKBAS88:KHAKI:36:PRINT:SLIPPER SANDALS</t>
  </si>
  <si>
    <t>SLIPPER SANDALS WOMEN MKBAS88:KHAKI:37:PRINT:SLIPPER SANDALS</t>
  </si>
  <si>
    <t>SLIPPER SANDALS WOMEN MKBAS88:KHAKI:38:PRINT:SLIPPER SANDALS</t>
  </si>
  <si>
    <t>SLIPPER SANDALS WOMEN MKBAS88:KHAKI:39:PRINT:SLIPPER SANDALS</t>
  </si>
  <si>
    <t>SLIPPER SANDALS WOMEN MKBAS88:KHAKI:40:PRINT:SLIPPER SANDALS</t>
  </si>
  <si>
    <t>MK2404</t>
  </si>
  <si>
    <t>FLIP FLOPS WOMEN MK2404:FROST GREY:S:SOLID:FLIP FLOPS</t>
  </si>
  <si>
    <t>FLIP FLOPS WOMEN MK2404:FROST GREY:M:SOLID:FLIP FLOPS</t>
  </si>
  <si>
    <t>FLIP FLOPS WOMEN MK2404:FROST GREY:L:SOLID:FLIP FLOPS</t>
  </si>
  <si>
    <t>FLIP FLOPS WOMEN MK2404:FROST GREY:XL:SOLID:FLIP FLOPS</t>
  </si>
  <si>
    <t>FLIP FLOPS WOMEN MK2404:OLIVE:S:SOLID:FLIP FLOPS</t>
  </si>
  <si>
    <t>FLIP FLOPS WOMEN MK2404:OLIVE:M:SOLID:FLIP FLOPS</t>
  </si>
  <si>
    <t>FLIP FLOPS WOMEN MK2404:OLIVE:L:SOLID:FLIP FLOPS</t>
  </si>
  <si>
    <t>FLIP FLOPS WOMEN MK2404:OLIVE:XL:SOLID:FLIP FLOPS</t>
  </si>
  <si>
    <t>MKT05</t>
  </si>
  <si>
    <t>SLIPPER SANDALS WOMEN MKT05:BLACK:36:SOLID:SLIPPER SANDALS</t>
  </si>
  <si>
    <t>SLIPPER SANDALS WOMEN MKT05:BLACK:37:SOLID:SLIPPER SANDALS</t>
  </si>
  <si>
    <t>SLIPPER SANDALS WOMEN MKT05:BLACK:38:SOLID:SLIPPER SANDALS</t>
  </si>
  <si>
    <t>SLIPPER SANDALS WOMEN MKT05:BLACK:39:SOLID:SLIPPER SANDALS</t>
  </si>
  <si>
    <t>SLIPPER SANDALS WOMEN MKT05:BLACK:40:SOLID:SLIPPER SANDALS</t>
  </si>
  <si>
    <t>SLBAS02</t>
  </si>
  <si>
    <t>SLIPPER SANDALS MICKEY SLBAS02:WHITE:36:SOLID:SLIPPER SANDALS</t>
  </si>
  <si>
    <t>SLBAS01</t>
  </si>
  <si>
    <t>SLIPPER SANDALS MICKEY SLBAS01:WHITE:36:SOLID:SLIPPER SANDALS</t>
  </si>
  <si>
    <t>SLBAS03</t>
  </si>
  <si>
    <t>SLIPPER SANDALS MICKEY SLBAS03:PASTEL PINK:36:SOLID:SLIPPER SANDALS</t>
  </si>
  <si>
    <t>SLIPPER SANDALS MICKEY SLBAS01:WHITE:37:SOLID:SLIPPER SANDALS</t>
  </si>
  <si>
    <t>SLIPPER SANDALS MICKEY SLBAS03:PASTEL PINK:38:SOLID:SLIPPER SANDALS</t>
  </si>
  <si>
    <t>SLIPPER SANDALS MICKEY SLBAS03:BLACK:36:SOLID:SLIPPER SANDALS</t>
  </si>
  <si>
    <t>SLIPPER SANDALS MICKEY SLBAS03:BLACK:37:SOLID:SLIPPER SANDALS</t>
  </si>
  <si>
    <t>SLIPPER SANDALS MICKEY SLBAS02:WHITE:40:SOLID:SLIPPER SANDALS</t>
  </si>
  <si>
    <t>SLIPPER SANDALS MICKEY SLBAS01:WHITE:40:SOLID:SLIPPER SANDALS</t>
  </si>
  <si>
    <t>SLIPPER SANDALS MICKEY SLBAS01:WHITE:39:SOLID:SLIPPER SANDALS</t>
  </si>
  <si>
    <t>SLIPPER SANDALS MICKEY SLBAS03:BLACK:38:SOLID:SLIPPER SANDALS</t>
  </si>
  <si>
    <t>SLIPPER SANDALS MICKEY SLBAS03:PASTEL PINK:40:SOLID:SLIPPER SANDALS</t>
  </si>
  <si>
    <t>SLIPPER SANDALS MICKEY SLBAS01:WHITE:38:SOLID:SLIPPER SANDALS</t>
  </si>
  <si>
    <t>SLIPPER SANDALS MICKEY SLBAS02:WHITE:37:SOLID:SLIPPER SANDALS</t>
  </si>
  <si>
    <t>SLIPPER SANDALS MICKEY SLBAS03:PASTEL PINK:39:SOLID:SLIPPER SANDALS</t>
  </si>
  <si>
    <t>SLIPPER SANDALS MICKEY SLBAS02:WHITE:38:SOLID:SLIPPER SANDALS</t>
  </si>
  <si>
    <t>SLIPPER SANDALS MICKEY SLBAS03:BLACK:39:SOLID:SLIPPER SANDALS</t>
  </si>
  <si>
    <t>SLIPPER SANDALS MICKEY SLBAS03:BLACK:40:SOLID:SLIPPER SANDALS</t>
  </si>
  <si>
    <t>SLIPPER SANDALS MICKEY SLBAS03:PASTEL PINK:37:SOLID:SLIPPER SANDALS</t>
  </si>
  <si>
    <t>SLIPPER SANDALS MICKEY SLBAS02:WHITE:39:SOLID:SLIPPER SANDALS</t>
  </si>
  <si>
    <t>MKBAS96</t>
  </si>
  <si>
    <t>SLIPPER SANDALS WOMEN MKBAS96:BLACK:36:SOLID:SLIPPER SANDALS</t>
  </si>
  <si>
    <t>SLIPPER SANDALS WOMEN MKBAS96:BLACK:38:SOLID:SLIPPER SANDALS</t>
  </si>
  <si>
    <t>SLIPPER SANDALS WOMEN MKBAS96:BLACK:39:SOLID:SLIPPER SANDALS</t>
  </si>
  <si>
    <t>SLIPPER SANDALS WOMEN MKBAS96:BLACK:40:SOLID:SLIPPER SANDALS</t>
  </si>
  <si>
    <t>SLIPPER SANDALS WOMEN MKBAS96:MUSTARD:36:SOLID:SLIPPER SANDALS</t>
  </si>
  <si>
    <t>SLIPPER SANDALS WOMEN MKBAS96:MUSTARD:37:SOLID:SLIPPER SANDALS</t>
  </si>
  <si>
    <t>SLIPPER SANDALS WOMEN MKBAS96:MUSTARD:38:SOLID:SLIPPER SANDALS</t>
  </si>
  <si>
    <t>SLIPPER SANDALS WOMEN MKBAS96:MUSTARD:39:SOLID:SLIPPER SANDALS</t>
  </si>
  <si>
    <t>SLIPPER SANDALS WOMEN MKBAS96:MUSTARD:40:SOLID:SLIPPER SANDALS</t>
  </si>
  <si>
    <t>MKBAS92</t>
  </si>
  <si>
    <t>SLIPPER SANDALS WOMEN MKBAS92:MUSTARD:36:SOLID:SLIPPER SANDALS</t>
  </si>
  <si>
    <t>SLIPPER SANDALS WOMEN MKBAS92:MUSTARD:37:SOLID:SLIPPER SANDALS</t>
  </si>
  <si>
    <t>SLIPPER SANDALS WOMEN MKBAS92:PASTEL PINK:38:SOLID:SLIPPER SANDALS</t>
  </si>
  <si>
    <t>SLIPPER SANDALS WOMEN MKBAS92:MUSTARD:38:SOLID:SLIPPER SANDALS</t>
  </si>
  <si>
    <t>SLIPPER SANDALS WOMEN MKBAS92:MUSTARD:39:SOLID:SLIPPER SANDALS</t>
  </si>
  <si>
    <t>SLIPPER SANDALS WOMEN MKBAS92:MUSTARD:40:SOLID:SLIPPER SANDALS</t>
  </si>
  <si>
    <t>SLIPPER SANDALS WOMEN MKBAS92:PASTEL PINK:36:SOLID:SLIPPER SANDALS</t>
  </si>
  <si>
    <t>SLIPPER SANDALS WOMEN MKBAS92:PASTEL PINK:37:SOLID:SLIPPER SANDALS</t>
  </si>
  <si>
    <t>SLIPPER SANDALS WOMEN MKBAS92:PASTEL PINK:39:SOLID:SLIPPER SANDALS</t>
  </si>
  <si>
    <t>SLIPPER SANDALS WOMEN MKBAS92:PASTEL PINK:40:SOLID:SLIPPER SANDALS</t>
  </si>
  <si>
    <t>SLIPPER SANDALS WOMEN MKBAS96:BLACK:37:SOLID:SLIPPER SANDALS</t>
  </si>
  <si>
    <t>SLIPPER SANDALS MICKEY MKBAS47:WHITE:39:SOLID:SLIPPER SANDALS</t>
  </si>
  <si>
    <t>SLIPPER SANDALS MICKEY MKBAS47:WHITE:40:SOLID:SLIPPER SANDALS</t>
  </si>
  <si>
    <t>SLIPPER SANDALS MICKEY MKBAS47:WHITE:36:SOLID:SLIPPER SANDALS</t>
  </si>
  <si>
    <t>SLIPPER SANDALS MICKEY MKBAS47:WHITE:37:SOLID:SLIPPER SANDALS</t>
  </si>
  <si>
    <t>SLIPPER SANDALS MICKEY MKBAS47:WHITE:38:SOLID:SLIPPER SANDALS</t>
  </si>
  <si>
    <t>SP</t>
  </si>
  <si>
    <t>SPECIAL PRICE</t>
  </si>
  <si>
    <t>MKBAS98</t>
  </si>
  <si>
    <t>SLIPPER SANDALS MICKEY MKBAS98:BLACK:36:SOLID:SLIPPER SANDALS</t>
  </si>
  <si>
    <t>SLIPPER SANDALS MICKEY MKBAS98:BLACK:39:SOLID:SLIPPER SANDALS</t>
  </si>
  <si>
    <t>SLIPPER SANDALS MICKEY MKBAS98:OFF WHITE:37:SOLID:SLIPPER SANDALS</t>
  </si>
  <si>
    <t>SLIPPER SANDALS MICKEY MKBAS98:BLACK:40:SOLID:SLIPPER SANDALS</t>
  </si>
  <si>
    <t>SLIPPER SANDALS MICKEY MKBAS98:OFF WHITE:40:SOLID:SLIPPER SANDALS</t>
  </si>
  <si>
    <t>SLIPPER SANDALS MICKEY MKBAS98:BLACK:38:SOLID:SLIPPER SANDALS</t>
  </si>
  <si>
    <t>SLIPPER SANDALS MICKEY MKBAS98:OFF WHITE:39:SOLID:SLIPPER SANDALS</t>
  </si>
  <si>
    <t>SLIPPER SANDALS MICKEY MKBAS98:OFF WHITE:38:SOLID:SLIPPER SANDALS</t>
  </si>
  <si>
    <t>SLIPPER SANDALS MICKEY MKBAS98:OFF WHITE:36:SOLID:SLIPPER SANDALS</t>
  </si>
  <si>
    <t>SLIPPER SANDALS MICKEY MKBAS98:BLACK:37:SOLID:SLIPPER SANDALS</t>
  </si>
  <si>
    <t>MKBAS99</t>
  </si>
  <si>
    <t>SLIPPER SANDALS MICKEY MKBAS99:KHAKI:38:SOLID:SLIPPER SANDALS</t>
  </si>
  <si>
    <t>SLIPPER SANDALS MICKEY MKBAS99:KHAKI:39:SOLID:SLIPPER SANDALS</t>
  </si>
  <si>
    <t>SLIPPER SANDALS MICKEY MKBAS99:OFF WHITE:38:SOLID:SLIPPER SANDALS</t>
  </si>
  <si>
    <t>SLIPPER SANDALS MICKEY MKBAS99:KHAKI:37:SOLID:SLIPPER SANDALS</t>
  </si>
  <si>
    <t>SLIPPER SANDALS MICKEY MKBAS99:KHAKI:36:SOLID:SLIPPER SANDALS</t>
  </si>
  <si>
    <t>SLIPPER SANDALS MICKEY MKBAS99:OFF WHITE:40:SOLID:SLIPPER SANDALS</t>
  </si>
  <si>
    <t>SLIPPER SANDALS MICKEY MKBAS99:OFF WHITE:37:SOLID:SLIPPER SANDALS</t>
  </si>
  <si>
    <t>SLIPPER SANDALS MICKEY MKBAS99:OFF WHITE:39:SOLID:SLIPPER SANDALS</t>
  </si>
  <si>
    <t>SLIPPER SANDALS MICKEY MKBAS99:OFF WHITE:36:SOLID:SLIPPER SANDALS</t>
  </si>
  <si>
    <t>SLIPPER SANDALS MICKEY MKBAS99:KHAKI:40:SOLID:SLIPPER SANDALS</t>
  </si>
  <si>
    <t>LOHA01</t>
  </si>
  <si>
    <t>FLIP FLOPS LOTSO LOHA01:PASTEL PINK:L:SOLID:FLIP FLOPS</t>
  </si>
  <si>
    <t>STITCH2415</t>
  </si>
  <si>
    <t>SLIPPER SANDALS WOMEN STITCH2415:LIGHT BLUE:40:SOLID:SLIPPER SANDALS</t>
  </si>
  <si>
    <t>FLIP FLOPS LOTSO LOHA01:PASTEL PINK:M:SOLID:FLIP FLOPS</t>
  </si>
  <si>
    <t>FLIP FLOPS LOTSO LOHA01:PASTEL PINK:XL:SOLID:FLIP FLOPS</t>
  </si>
  <si>
    <t>FLIP FLOPS LOTSO LOHA01:BLACK:S:SOLID:FLIP FLOPS</t>
  </si>
  <si>
    <t>FLIP FLOPS LOTSO LOHA01:BLACK:M:SOLID:FLIP FLOPS</t>
  </si>
  <si>
    <t>FLIP FLOPS LOTSO LOHA01:BLACK:L:SOLID:FLIP FLOPS</t>
  </si>
  <si>
    <t>FLIP FLOPS LOTSO LOHA01:BLACK:XL:SOLID:FLIP FLOPS</t>
  </si>
  <si>
    <t>SLIPPER SANDALS WOMEN STITCH2415:LIGHT BLUE:38:SOLID:SLIPPER SANDALS</t>
  </si>
  <si>
    <t>SLIPPER SANDALS WOMEN STITCH2415:LIGHT BLUE:39:SOLID:SLIPPER SANDALS</t>
  </si>
  <si>
    <t>SLIPPER SANDALS WOMEN STITCH2415:LIGHT BLUE:37:SOLID:SLIPPER SANDALS</t>
  </si>
  <si>
    <t>FLIP FLOPS LOTSO LOHA01:PASTEL PINK:S:SOLID:FLIP FLOPS</t>
  </si>
  <si>
    <t>SLIPPER SANDALS WOMEN MNT111:LIGHT BLUE:37:PRINT:SLIPPER SANDALS</t>
  </si>
  <si>
    <t>SLIPPER SANDALS WOMEN MNT111:LIGHT BLUE:36:PRINT:SLIPPER SANDALS</t>
  </si>
  <si>
    <t>SLIPPER SANDALS WOMEN MNT111:LIGHT BLUE:38:PRINT:SLIPPER SANDALS</t>
  </si>
  <si>
    <t>SLIPPER SANDALS WOMEN MNT111:LIGHT BLUE:39:PRINT:SLIPPER SANDALS</t>
  </si>
  <si>
    <t>SLIPPER SANDALS WOMEN MNT111:LIGHT BLUE:40:PRINT:SLIPPER SANDALS</t>
  </si>
  <si>
    <t>SLIPPER SANDALS WOMEN MNT111:PASTEL PURPLE:36:PRINT:SLIPPER SANDALS</t>
  </si>
  <si>
    <t>SLIPPER SANDALS WOMEN MNT111:PASTEL PURPLE:38:PRINT:SLIPPER SANDALS</t>
  </si>
  <si>
    <t>SLIPPER SANDALS WOMEN MNT111:PASTEL PURPLE:39:PRINT:SLIPPER SANDALS</t>
  </si>
  <si>
    <t>SLIPPER SANDALS WOMEN MNT111:PASTEL PURPLE:40:PRINT:SLIPPER SANDALS</t>
  </si>
  <si>
    <t>SLIPPER SANDALS WOMEN MNT111:PASTEL PURPLE:37:PRINT:SLIPPER SANDALS</t>
  </si>
  <si>
    <t>SST02</t>
  </si>
  <si>
    <t>SLIPPER SANDALS WOMEN SST02:LIGHT BLUE:38:SOLID:SLIPPER SANDALS</t>
  </si>
  <si>
    <t>SLIPPER SANDALS WOMEN SST02:LIGHT BLUE:39:SOLID:SLIPPER SANDALS</t>
  </si>
  <si>
    <t>SLIPPER SANDALS WOMEN SST02:LIGHT BLUE:40:SOLID:SLIPPER SANDALS</t>
  </si>
  <si>
    <t>SLIPPER SANDALS WOMEN SST02:LIGHT BLUE:36:SOLID:SLIPPER SANDALS</t>
  </si>
  <si>
    <t>SLIPPER SANDALS WOMEN SST02:LIGHT BLUE:37:SOLID:SLIPPER SANDALS</t>
  </si>
  <si>
    <t>DPH01</t>
  </si>
  <si>
    <t>SLIPPER SANDALS WOMEN DPH01:BLACK:40:SOLID:SLIPPER SANDALS</t>
  </si>
  <si>
    <t>SLIPPER SANDALS WOMEN DPH01:OFF WHITE:36:SOLID:SLIPPER SANDALS</t>
  </si>
  <si>
    <t>SLIPPER SANDALS WOMEN DPH01:OFF WHITE:37:SOLID:SLIPPER SANDALS</t>
  </si>
  <si>
    <t>SLIPPER SANDALS WOMEN DPH01:OFF WHITE:38:SOLID:SLIPPER SANDALS</t>
  </si>
  <si>
    <t>SLIPPER SANDALS WOMEN DPH01:OFF WHITE:40:SOLID:SLIPPER SANDALS</t>
  </si>
  <si>
    <t>SLIPPER SANDALS WOMEN DPH01:BLACK:38:SOLID:SLIPPER SANDALS</t>
  </si>
  <si>
    <t>SLIPPER SANDALS WOMEN DPH01:BLACK:36:SOLID:SLIPPER SANDALS</t>
  </si>
  <si>
    <t>SLIPPER SANDALS WOMEN DPH01:BLACK:37:SOLID:SLIPPER SANDALS</t>
  </si>
  <si>
    <t>SLIPPER SANDALS WOMEN DPH01:BLACK:39:SOLID:SLIPPER SANDALS</t>
  </si>
  <si>
    <t>SLIPPER SANDALS WOMEN DPH01:OFF WHITE:39:SOLID:SLIPPER SANDALS</t>
  </si>
  <si>
    <t>LST01</t>
  </si>
  <si>
    <t>SLIPPER SANDALS WOMEN LST01:FUSCHIA:37:SOLID:SLIPPER SANDALS</t>
  </si>
  <si>
    <t>SLIPPER SANDALS WOMEN LST01:FUSCHIA:36:SOLID:SLIPPER SANDALS</t>
  </si>
  <si>
    <t>SLIPPER SANDALS WOMEN LST01:FUSCHIA:39:SOLID:SLIPPER SANDALS</t>
  </si>
  <si>
    <t>SLIPPER SANDALS WOMEN LST01:FUSCHIA:38:SOLID:SLIPPER SANDALS</t>
  </si>
  <si>
    <t>SLIPPER SANDALS WOMEN LST01:FUSCHIA:40:SOLID:SLIPPER SANDALS</t>
  </si>
  <si>
    <t>SLIPPER SANDALS WOMEN MNT111:FUSCHIA:40:PRINT:SLIPPER SANDALS</t>
  </si>
  <si>
    <t>SLIPPER SANDALS WOMEN MNT111:FUSCHIA:39:PRINT:SLIPPER SANDALS</t>
  </si>
  <si>
    <t>SLIPPER SANDALS WOMEN MNT111:FUSCHIA:36:PRINT:SLIPPER SANDALS</t>
  </si>
  <si>
    <t>SLIPPER SANDALS WOMEN MNT111:FUSCHIA:38:PRINT:SLIPPER SANDALS</t>
  </si>
  <si>
    <t>SLIPPER SANDALS WOMEN MNT111:FUSCHIA:37:PRINT:SLIPPER SANDALS</t>
  </si>
  <si>
    <t>ALL CROCS SANDALS SP20K</t>
  </si>
  <si>
    <t>SBAS01</t>
  </si>
  <si>
    <t>SLINGBACK SANDALS MICKEY SBAS01:LIGHT BLUE:36:SOLID:SLINGBACK SANDALS</t>
  </si>
  <si>
    <t>SLINGBACK SANDALS MICKEY SBAS01:WHITE:37:SOLID:SLINGBACK SANDALS</t>
  </si>
  <si>
    <t>SLINGBACK SANDALS MICKEY SBAS01:WHITE:38:SOLID:SLINGBACK SANDALS</t>
  </si>
  <si>
    <t>SLINGBACK SANDALS MICKEY SBAS01:LIGHT BLUE:37:SOLID:SLINGBACK SANDALS</t>
  </si>
  <si>
    <t>SLINGBACK SANDALS MICKEY SBAS01:LIGHT BLUE:39:SOLID:SLINGBACK SANDALS</t>
  </si>
  <si>
    <t>SLINGBACK SANDALS MICKEY SBAS01:WHITE:36:SOLID:SLINGBACK SANDALS</t>
  </si>
  <si>
    <t>SLINGBACK SANDALS MICKEY SBAS01:LIGHT BLUE:38:SOLID:SLINGBACK SANDALS</t>
  </si>
  <si>
    <t>SLINGBACK SANDALS MICKEY SBAS01:LIGHT BLUE:40:SOLID:SLINGBACK SANDALS</t>
  </si>
  <si>
    <t>SLINGBACK SANDALS MICKEY SBAS01:WHITE:39:SOLID:SLINGBACK SANDALS</t>
  </si>
  <si>
    <t>SLINGBACK SANDALS MICKEY SBAS01:WHITE:40:SOLID:SLINGBACK SANDALS</t>
  </si>
  <si>
    <t>SBAS03</t>
  </si>
  <si>
    <t>SLIPPER SANDALS MICKEY SBAS03:BLACK:37:SOLID:SLIPPER SANDALS</t>
  </si>
  <si>
    <t>SLIPPER SANDALS MICKEY SBAS03:KHAKI:37:SOLID:SLIPPER SANDALS</t>
  </si>
  <si>
    <t>SLIPPER SANDALS MICKEY SBAS03:KHAKI:38:SOLID:SLIPPER SANDALS</t>
  </si>
  <si>
    <t>SLIPPER SANDALS MICKEY SBAS03:KHAKI:36:SOLID:SLIPPER SANDALS</t>
  </si>
  <si>
    <t>SLIPPER SANDALS MICKEY SBAS03:BLACK:38:SOLID:SLIPPER SANDALS</t>
  </si>
  <si>
    <t>SLIPPER SANDALS MICKEY SBAS03:BLACK:36:SOLID:SLIPPER SANDALS</t>
  </si>
  <si>
    <t>SLIPPER SANDALS MICKEY SBAS03:BLACK:39:SOLID:SLIPPER SANDALS</t>
  </si>
  <si>
    <t>SLIPPER SANDALS MICKEY SBAS03:BLACK:40:SOLID:SLIPPER SANDALS</t>
  </si>
  <si>
    <t>SLIPPER SANDALS MICKEY SBAS03:KHAKI:39:SOLID:SLIPPER SANDALS</t>
  </si>
  <si>
    <t>SLIPPER SANDALS MICKEY SBAS03:KHAKI:40:SOLID:SLIPPER SANDALS</t>
  </si>
  <si>
    <t>MST12</t>
  </si>
  <si>
    <t>SLIPPER SANDALS WOMEN MK2216:BLACK:40:PRINT:SLIPPER SANDALS</t>
  </si>
  <si>
    <t>SLIPPER SANDALS WOMEN MK2216:BLACK:38:PRINT:SLIPPER SANDALS</t>
  </si>
  <si>
    <t>SLIPPER SANDALS WOMEN MK2216:BLACK:39:PRINT:SLIPPER SANDALS</t>
  </si>
  <si>
    <t>SLIPPER SANDALS WOMEN MK2216:BLACK:36:PRINT:SLIPPER SANDALS</t>
  </si>
  <si>
    <t>SLIPPER SANDALS WOMEN MK2216:BLACK:37:PRINT:SLIPPER SANDALS</t>
  </si>
  <si>
    <t>SLIPPER SANDALS WOMEN MK2216:NAVY BLUE:37:PRINT:SLIPPER SANDALS</t>
  </si>
  <si>
    <t>SLIPPER SANDALS WOMEN MK2216:NAVY BLUE:38:PRINT:SLIPPER SANDALS</t>
  </si>
  <si>
    <t>SLIPPER SANDALS WOMEN MK2216:NAVY BLUE:36:PRINT:SLIPPER SANDALS</t>
  </si>
  <si>
    <t>SLIPPER SANDALS WOMEN MK2216:NAVY BLUE:39:PRINT:SLIPPER SANDALS</t>
  </si>
  <si>
    <t>SLIPPER SANDALS WOMEN MK2216:NAVY BLUE:40:PRINT:SLIPPER SANDALS</t>
  </si>
  <si>
    <t>FLIP FLOPS WOMEN MK2206:MAROON:S:PRINT:FLIP FLOPS</t>
  </si>
  <si>
    <t>FLIP FLOPS WOMEN MK2206:MAROON:M:PRINT:FLIP FLOPS</t>
  </si>
  <si>
    <t>FLIP FLOPS WOMEN MK2206:MAROON:L:PRINT:FLIP FLOPS</t>
  </si>
  <si>
    <t>FLIP FLOPS WOMEN MK2206:MAROON:XL:PRINT:FLIP FLOPS</t>
  </si>
  <si>
    <t>TS210</t>
  </si>
  <si>
    <t>FLIP FLOPS WOMEN TS210:FUSCHIA:S:PRINT:FLIP FLOPS</t>
  </si>
  <si>
    <t>FLIP FLOPS WOMEN TS210:FUSCHIA:M:PRINT:FLIP FLOPS</t>
  </si>
  <si>
    <t>FLIP FLOPS WOMEN TS210:FUSCHIA:L:PRINT:FLIP FLOPS</t>
  </si>
  <si>
    <t>FLIP FLOPS WOMEN TS210:FUSCHIA:XL:PRINT:FLIP FLOPS</t>
  </si>
  <si>
    <t>FLIP FLOPS WOMEN TS210:LIGHT BLUE:S:PRINT:FLIP FLOPS</t>
  </si>
  <si>
    <t>FLIP FLOPS WOMEN TS210:LIGHT BLUE:M:PRINT:FLIP FLOPS</t>
  </si>
  <si>
    <t>FLIP FLOPS WOMEN TS210:LIGHT BLUE:L:PRINT:FLIP FLOPS</t>
  </si>
  <si>
    <t>FLIP FLOPS WOMEN TS210:LIGHT BLUE:XL:PRINT:FLIP FLOPS</t>
  </si>
  <si>
    <t>MTREK1</t>
  </si>
  <si>
    <t>ANKLE STRAP SANDALS WOMEN MTREK1:BLACK:36:TEXTURE:ANKLE STRAP SANDALS</t>
  </si>
  <si>
    <t>ANKLE STRAP SANDALS WOMEN MTREK1:BLACK:37:TEXTURE:ANKLE STRAP SANDALS</t>
  </si>
  <si>
    <t>ANKLE STRAP SANDALS WOMEN MTREK1:BLACK:38:TEXTURE:ANKLE STRAP SANDALS</t>
  </si>
  <si>
    <t>ANKLE STRAP SANDALS WOMEN MTREK1:BLACK:39:TEXTURE:ANKLE STRAP SANDALS</t>
  </si>
  <si>
    <t>ANKLE STRAP SANDALS WOMEN MTREK1:BLACK:40:TEXTURE:ANKLE STRAP SANDALS</t>
  </si>
  <si>
    <t>ANKLE STRAP SANDALS WOMEN MTREK1:KHAKI:36:TEXTURE:ANKLE STRAP SANDALS</t>
  </si>
  <si>
    <t>ANKLE STRAP SANDALS WOMEN MTREK1:KHAKI:37:TEXTURE:ANKLE STRAP SANDALS</t>
  </si>
  <si>
    <t>ANKLE STRAP SANDALS WOMEN MTREK1:KHAKI:38:TEXTURE:ANKLE STRAP SANDALS</t>
  </si>
  <si>
    <t>ANKLE STRAP SANDALS WOMEN MTREK1:KHAKI:39:TEXTURE:ANKLE STRAP SANDALS</t>
  </si>
  <si>
    <t>ANKLE STRAP SANDALS WOMEN MTREK1:KHAKI:40:TEXTURE:ANKLE STRAP SANDALS</t>
  </si>
  <si>
    <t>SLINGBACK SANDALS WOMEN TIMEDEV10:KHAKI:36:SOLID:SLINGBACK SANDALS</t>
  </si>
  <si>
    <t>SLINGBACK SANDALS WOMEN TIMEDEV10:KHAKI:37:SOLID:SLINGBACK SANDALS</t>
  </si>
  <si>
    <t>SLINGBACK SANDALS WOMEN TIMEDEV10:KHAKI:38:SOLID:SLINGBACK SANDALS</t>
  </si>
  <si>
    <t>SLINGBACK SANDALS WOMEN TIMEDEV10:KHAKI:39:SOLID:SLINGBACK SANDALS</t>
  </si>
  <si>
    <t>SLINGBACK SANDALS WOMEN TIMEDEV10:KHAKI:40:SOLID:SLINGBACK SANDALS</t>
  </si>
  <si>
    <t>MARB114</t>
  </si>
  <si>
    <t>FLIP FLOPS MICKEY MARB114:NAVY BLUE:36:SOLID:FLIP FLOPS</t>
  </si>
  <si>
    <t>FLIP FLOPS MICKEY MARB114:NAVY BLUE:37:SOLID:FLIP FLOPS</t>
  </si>
  <si>
    <t>FLIP FLOPS MICKEY MARB114:NAVY BLUE:38:SOLID:FLIP FLOPS</t>
  </si>
  <si>
    <t>FLIP FLOPS MICKEY MARB114:NAVY BLUE:39:SOLID:FLIP FLOPS</t>
  </si>
  <si>
    <t>FLIP FLOPS MICKEY MARB114:NAVY BLUE:40:SOLID:FLIP FLOPS</t>
  </si>
  <si>
    <t>FLIP FLOPS MICKEY MARB114:ASSORTIVE COLOR:36:SOLID:FLIP FLOPS</t>
  </si>
  <si>
    <t>FLIP FLOPS MICKEY MARB114:ASSORTIVE COLOR:37:SOLID:FLIP FLOPS</t>
  </si>
  <si>
    <t>FLIP FLOPS MICKEY MARB114:ASSORTIVE COLOR:38:SOLID:FLIP FLOPS</t>
  </si>
  <si>
    <t>FLIP FLOPS MICKEY MARB114:ASSORTIVE COLOR:39:SOLID:FLIP FLOPS</t>
  </si>
  <si>
    <t>FLIP FLOPS MICKEY MARB114:ASSORTIVE COLOR:40:SOLID:FLIP FLOPS</t>
  </si>
  <si>
    <t>MARB115</t>
  </si>
  <si>
    <t>SLIPPER SANDALS MICKEY MARB115:BLACK:36:SOLID:SLIPPER SANDALS</t>
  </si>
  <si>
    <t>SLIPPER SANDALS MICKEY MARB115:BLACK:37:SOLID:SLIPPER SANDALS</t>
  </si>
  <si>
    <t>SLIPPER SANDALS MICKEY MARB115:BLACK:38:SOLID:SLIPPER SANDALS</t>
  </si>
  <si>
    <t>SLIPPER SANDALS MICKEY MARB115:BLACK:39:SOLID:SLIPPER SANDALS</t>
  </si>
  <si>
    <t>SLIPPER SANDALS MICKEY MARB115:BLACK:40:SOLID:SLIPPER SANDALS</t>
  </si>
  <si>
    <t>SLIPPER SANDALS MICKEY MARB115:WHITE:36:SOLID:SLIPPER SANDALS</t>
  </si>
  <si>
    <t>SLIPPER SANDALS MICKEY MARB115:WHITE:37:SOLID:SLIPPER SANDALS</t>
  </si>
  <si>
    <t>SLIPPER SANDALS MICKEY MARB115:WHITE:38:SOLID:SLIPPER SANDALS</t>
  </si>
  <si>
    <t>SLIPPER SANDALS MICKEY MARB115:WHITE:39:SOLID:SLIPPER SANDALS</t>
  </si>
  <si>
    <t>SLIPPER SANDALS MICKEY MARB115:WHITE:40:SOLID:SLIPPER SANDALS</t>
  </si>
  <si>
    <t>MIRL01</t>
  </si>
  <si>
    <t>SLIPPER SANDALS MICKEY MIRL01:BLACK:36:SOLID:SLIPPER SANDALS</t>
  </si>
  <si>
    <t>SLIPPER SANDALS MICKEY MIRL01:BLACK:37:SOLID:SLIPPER SANDALS</t>
  </si>
  <si>
    <t>SLIPPER SANDALS MICKEY MIRL01:BLACK:38:SOLID:SLIPPER SANDALS</t>
  </si>
  <si>
    <t>SLIPPER SANDALS MICKEY MIRL01:BLACK:39:SOLID:SLIPPER SANDALS</t>
  </si>
  <si>
    <t>SLIPPER SANDALS MICKEY MIRL01:BLACK:40:SOLID:SLIPPER SANDALS</t>
  </si>
  <si>
    <t>MIRL02</t>
  </si>
  <si>
    <t>SLIPPER SANDALS MICKEY MIRL02:LIGHT DENIM:36:SOLID:SLIPPER SANDALS</t>
  </si>
  <si>
    <t>SLIPPER SANDALS MICKEY MIRL02:LIGHT DENIM:37:SOLID:SLIPPER SANDALS</t>
  </si>
  <si>
    <t>SLIPPER SANDALS MICKEY MIRL02:LIGHT DENIM:38:SOLID:SLIPPER SANDALS</t>
  </si>
  <si>
    <t>SLIPPER SANDALS MICKEY MIRL02:LIGHT DENIM:39:SOLID:SLIPPER SANDALS</t>
  </si>
  <si>
    <t>SLIPPER SANDALS MICKEY MIRL02:LIGHT DENIM:40:SOLID:SLIPPER SANDALS</t>
  </si>
  <si>
    <t>SLIPPER SANDALS WOMEN MKSOFT1:OFF WHITE:S:PRINT:SLIPPER SANDALS</t>
  </si>
  <si>
    <t>SLIPPER SANDALS WOMEN MKSOFT1:OFF WHITE:M:PRINT:SLIPPER SANDALS</t>
  </si>
  <si>
    <t>SLIPPER SANDALS WOMEN MKSOFT1:OFF WHITE:L:PRINT:SLIPPER SANDALS</t>
  </si>
  <si>
    <t>SLIPPER SANDALS WOMEN MKSOFT1:OFF WHITE:XL:PRINT:SLIPPER SANDALS</t>
  </si>
  <si>
    <t>ALSLD01</t>
  </si>
  <si>
    <t>SLIPPER SANDALS TOY STORY ALSLD01:WHITE:36:SOLID:SLIPPER SANDALS</t>
  </si>
  <si>
    <t>SLIPPER SANDALS TOY STORY ALSLD01:WHITE:37:SOLID:SLIPPER SANDALS</t>
  </si>
  <si>
    <t>SLIPPER SANDALS TOY STORY ALSLD01:WHITE:38:SOLID:SLIPPER SANDALS</t>
  </si>
  <si>
    <t>SLIPPER SANDALS TOY STORY ALSLD01:WHITE:39:SOLID:SLIPPER SANDALS</t>
  </si>
  <si>
    <t>SLIPPER SANDALS TOY STORY ALSLD01:WHITE:40:SOLID:SLIPPER SANDALS</t>
  </si>
  <si>
    <t>ALSLD02</t>
  </si>
  <si>
    <t>SLIPPER SANDALS TOY STORY ALSLD02:NEON GREEN:36:SOLID:SLIPPER SANDALS</t>
  </si>
  <si>
    <t>SLIPPER SANDALS TOY STORY ALSLD02:NEON GREEN:37:SOLID:SLIPPER SANDALS</t>
  </si>
  <si>
    <t>SLIPPER SANDALS TOY STORY ALSLD02:NEON GREEN:38:SOLID:SLIPPER SANDALS</t>
  </si>
  <si>
    <t>SLIPPER SANDALS TOY STORY ALSLD02:NEON GREEN:39:SOLID:SLIPPER SANDALS</t>
  </si>
  <si>
    <t>SLIPPER SANDALS TOY STORY ALSLD02:NEON GREEN:40:SOLID:SLIPPER SANDALS</t>
  </si>
  <si>
    <t>SBAS02</t>
  </si>
  <si>
    <t>SLIPPER SANDALS MICKEY SBAS02:BLACK:36:SOLID:SLIPPER SANDALS</t>
  </si>
  <si>
    <t>SLIPPER SANDALS MICKEY SBAS02:BLACK:37:SOLID:SLIPPER SANDALS</t>
  </si>
  <si>
    <t>SLIPPER SANDALS MICKEY SBAS02:BLACK:38:SOLID:SLIPPER SANDALS</t>
  </si>
  <si>
    <t>SLIPPER SANDALS MICKEY SBAS02:BLACK:39:SOLID:SLIPPER SANDALS</t>
  </si>
  <si>
    <t>SLIPPER SANDALS MICKEY SBAS02:BLACK:40:SOLID:SLIPPER SANDALS</t>
  </si>
  <si>
    <t>SLIPPER SANDALS MICKEY SBAS02:WHITE:36:SOLID:SLIPPER SANDALS</t>
  </si>
  <si>
    <t>SLIPPER SANDALS MICKEY SBAS02:WHITE:37:SOLID:SLIPPER SANDALS</t>
  </si>
  <si>
    <t>SLIPPER SANDALS MICKEY SBAS02:WHITE:38:SOLID:SLIPPER SANDALS</t>
  </si>
  <si>
    <t>SLIPPER SANDALS MICKEY SBAS02:WHITE:39:SOLID:SLIPPER SANDALS</t>
  </si>
  <si>
    <t>SLIPPER SANDALS MICKEY SBAS02:WHITE:40:SOLID:SLIPPER SANDALS</t>
  </si>
  <si>
    <t>SLIPPER SANDALS WOMEN MST12:BLACK:40:SOLID:SLIPPER SANDALS</t>
  </si>
  <si>
    <t>SLIPPER SANDALS WOMEN MST12:BLACK:39:SOLID:SLIPPER SANDALS</t>
  </si>
  <si>
    <t>SLIPPER SANDALS WOMEN MST12:BLACK:37:SOLID:SLIPPER SANDALS</t>
  </si>
  <si>
    <t>SLIPPER SANDALS WOMEN MST12:BLACK:36:SOLID:SLIPPER SANDALS</t>
  </si>
  <si>
    <t>SLIPPER SANDALS WOMEN MST12:BLACK:38:SOLID:SLIPPER SANDALS</t>
  </si>
  <si>
    <t>MI03</t>
  </si>
  <si>
    <t>FLIP FLOPS MONSTERS INC MI03:BLACK:36:PRINT:FLIP FLOPS</t>
  </si>
  <si>
    <t>FLIP FLOPS MONSTERS INC MI03:BLACK:37:PRINT:FLIP FLOPS</t>
  </si>
  <si>
    <t>FLIP FLOPS MONSTERS INC MI03:BLACK:38:PRINT:FLIP FLOPS</t>
  </si>
  <si>
    <t>FLIP FLOPS MONSTERS INC MI03:BLACK:39:PRINT:FLIP FLOPS</t>
  </si>
  <si>
    <t>FLIP FLOPS MONSTERS INC MI03:BLACK:40:PRINT:FLIP FLOPS</t>
  </si>
  <si>
    <t>LO04</t>
  </si>
  <si>
    <t>SLINGBACK SANDALS WOMEN LO04:BLACK:36:SOLID:SLINGBACK SANDALS</t>
  </si>
  <si>
    <t>SLINGBACK SANDALS WOMEN LO04:BLACK:37:SOLID:SLINGBACK SANDALS</t>
  </si>
  <si>
    <t>SLINGBACK SANDALS WOMEN LO04:BLACK:38:SOLID:SLINGBACK SANDALS</t>
  </si>
  <si>
    <t>SLINGBACK SANDALS WOMEN LO04:BLACK:39:SOLID:SLINGBACK SANDALS</t>
  </si>
  <si>
    <t>SLINGBACK SANDALS WOMEN LO04:BLACK:40:SOLID:SLINGBACK SANDALS</t>
  </si>
  <si>
    <t>LO05</t>
  </si>
  <si>
    <t>SLIPPER SANDALS WOMEN LO05:BLACK:36:SOLID:SLIPPER SANDALS</t>
  </si>
  <si>
    <t>SLIPPER SANDALS WOMEN LO05:BLACK:37:SOLID:SLIPPER SANDALS</t>
  </si>
  <si>
    <t>SLIPPER SANDALS WOMEN LO05:BLACK:38:SOLID:SLIPPER SANDALS</t>
  </si>
  <si>
    <t>SLIPPER SANDALS WOMEN LO05:BLACK:39:SOLID:SLIPPER SANDALS</t>
  </si>
  <si>
    <t>SLIPPER SANDALS WOMEN LO05:BLACK:40:SOLID:SLIPPER SANDALS</t>
  </si>
  <si>
    <t>BXGY</t>
  </si>
  <si>
    <t>TSL34</t>
  </si>
  <si>
    <t>SLIPPER SANDALS TOY STORY TSL34:BLACK:38:SOLID:SLIPPER SANDALS</t>
  </si>
  <si>
    <t>SLIPPER SANDALS TOY STORY TSL34:BLACK:37:SOLID:SLIPPER SANDALS</t>
  </si>
  <si>
    <t>SLIPPER SANDALS TOY STORY TSL34:BLACK:36:SOLID:SLIPPER SANDALS</t>
  </si>
  <si>
    <t>SLIPPER SANDALS TOY STORY TSL34:BLACK:40:SOLID:SLIPPER SANDALS</t>
  </si>
  <si>
    <t>SLIPPER SANDALS TOY STORY TSL34:BLACK:39:SOLID:SLIPPER SANDALS</t>
  </si>
  <si>
    <t>FLIP FLOPS MICKEY MKHJQ4221:BUBBLEGUM PINK:S:SOLID:FLIP FLOPS</t>
  </si>
  <si>
    <t>FLIP FLOPS MICKEY MKHJQ4221:BUBBLEGUM PINK:M:SOLID:FLIP FLOPS</t>
  </si>
  <si>
    <t>FLIP FLOPS MICKEY MKHJQ4221:BUBBLEGUM PINK:L:SOLID:FLIP FLOPS</t>
  </si>
  <si>
    <t>FLIP FLOPS MICKEY MKHJQ4221:BUBBLEGUM PINK:XL:SOLID:FLIP FLOPS</t>
  </si>
  <si>
    <t>MMCTS3</t>
  </si>
  <si>
    <t>SLINGBACK SANDALS MICKEY MMCTS3:KHAKI:36:SOLID:SLINGBACK SANDALS</t>
  </si>
  <si>
    <t>SLINGBACK SANDALS MICKEY MMCTS3:KHAKI:37:SOLID:SLINGBACK SANDALS</t>
  </si>
  <si>
    <t>SLINGBACK SANDALS MICKEY MMCTS3:KHAKI:38:SOLID:SLINGBACK SANDALS</t>
  </si>
  <si>
    <t>SLINGBACK SANDALS MICKEY MMCTS3:KHAKI:39:SOLID:SLINGBACK SANDALS</t>
  </si>
  <si>
    <t>SLINGBACK SANDALS MICKEY MMCTS3:KHAKI:40:SOLID:SLINGBACK SANDALS</t>
  </si>
  <si>
    <t>SLINGBACK SANDALS MICKEY MMCTS3:BLACK:36:SOLID:SLINGBACK SANDALS</t>
  </si>
  <si>
    <t>SLINGBACK SANDALS MICKEY MMCTS3:BLACK:37:SOLID:SLINGBACK SANDALS</t>
  </si>
  <si>
    <t>SLINGBACK SANDALS MICKEY MMCTS3:BLACK:38:SOLID:SLINGBACK SANDALS</t>
  </si>
  <si>
    <t>SLINGBACK SANDALS MICKEY MMCTS3:BLACK:39:SOLID:SLINGBACK SANDALS</t>
  </si>
  <si>
    <t>SLINGBACK SANDALS MICKEY MMCTS3:BLACK:40:SOLID:SLINGBACK SANDALS</t>
  </si>
  <si>
    <t>MCTS4</t>
  </si>
  <si>
    <t>SLIPPER SANDALS MICKEY MCTS4:OFF WHITE:36:SOLID:SLIPPER SANDALS</t>
  </si>
  <si>
    <t>SLIPPER SANDALS MICKEY MCTS4:OFF WHITE:37:SOLID:SLIPPER SANDALS</t>
  </si>
  <si>
    <t>SLIPPER SANDALS MICKEY MCTS4:OFF WHITE:38:SOLID:SLIPPER SANDALS</t>
  </si>
  <si>
    <t>SLIPPER SANDALS MICKEY MCTS4:OFF WHITE:39:SOLID:SLIPPER SANDALS</t>
  </si>
  <si>
    <t>SLIPPER SANDALS MICKEY MCTS4:OFF WHITE:40:SOLID:SLIPPER SANDALS</t>
  </si>
  <si>
    <t>SLIPPER SANDALS MICKEY MCTS4:BLACK:36:SOLID:SLIPPER SANDALS</t>
  </si>
  <si>
    <t>SLIPPER SANDALS MICKEY MCTS4:BLACK:37:SOLID:SLIPPER SANDALS</t>
  </si>
  <si>
    <t>SLIPPER SANDALS MICKEY MCTS4:BLACK:38:SOLID:SLIPPER SANDALS</t>
  </si>
  <si>
    <t>SLIPPER SANDALS MICKEY MCTS4:BLACK:39:SOLID:SLIPPER SANDALS</t>
  </si>
  <si>
    <t>SLIPPER SANDALS MICKEY MCTS4:BLACK:40:SOLID:SLIPPER SANDALS</t>
  </si>
  <si>
    <t>SLIPPER SANDALS MICKEY MCTS4:WOOD BROWN:36:SOLID:SLIPPER SANDALS</t>
  </si>
  <si>
    <t>SLIPPER SANDALS MICKEY MCTS4:WOOD BROWN:37:SOLID:SLIPPER SANDALS</t>
  </si>
  <si>
    <t>SLIPPER SANDALS MICKEY MCTS4:WOOD BROWN:38:SOLID:SLIPPER SANDALS</t>
  </si>
  <si>
    <t>SLIPPER SANDALS MICKEY MCTS4:WOOD BROWN:39:SOLID:SLIPPER SANDALS</t>
  </si>
  <si>
    <t>SLIPPER SANDALS MICKEY MCTS4:WOOD BROWN:40:SOLID:SLIPPER SANDALS</t>
  </si>
  <si>
    <t>MMS1</t>
  </si>
  <si>
    <t>SNEAKERS MICKEY MMS1:WHITE:36:SOLID:SNEAKERS</t>
  </si>
  <si>
    <t>SNEAKERS MICKEY MMS1:WHITE:37:SOLID:SNEAKERS</t>
  </si>
  <si>
    <t>SNEAKERS MICKEY MMS1:WHITE:38:SOLID:SNEAKERS</t>
  </si>
  <si>
    <t>SNEAKERS MICKEY MMS1:WHITE:39:SOLID:SNEAKERS</t>
  </si>
  <si>
    <t>SNEAKERS MICKEY MMS1:WHITE:40:SOLID:SNEAKERS</t>
  </si>
  <si>
    <t>SDM3</t>
  </si>
  <si>
    <t>SNEAKERS MICKEY SDM3:WHITE:36:PRINT:SNEAKERS</t>
  </si>
  <si>
    <t>SNEAKERS MICKEY SDM3:WHITE:37:PRINT:SNEAKERS</t>
  </si>
  <si>
    <t>SNEAKERS MICKEY SDM3:WHITE:38:PRINT:SNEAKERS</t>
  </si>
  <si>
    <t>SNEAKERS MICKEY SDM3:WHITE:39:PRINT:SNEAKERS</t>
  </si>
  <si>
    <t>SNEAKERS MICKEY SDM3:WHITE:40:PRINT:SNEAKERS</t>
  </si>
  <si>
    <t>TSSB01</t>
  </si>
  <si>
    <t>SLIPPER SANDALS TOY STORY TSSB01:ASSORTIVE COLOR:36:PRINT:SLIPPER SANDALS</t>
  </si>
  <si>
    <t>SLIPPER SANDALS TOY STORY TSSB01:ASSORTIVE COLOR:37:PRINT:SLIPPER SANDALS</t>
  </si>
  <si>
    <t>SLIPPER SANDALS TOY STORY TSSB01:ASSORTIVE COLOR:38:PRINT:SLIPPER SANDALS</t>
  </si>
  <si>
    <t>SLIPPER SANDALS TOY STORY TSSB01:ASSORTIVE COLOR:39:PRINT:SLIPPER SANDALS</t>
  </si>
  <si>
    <t>SLIPPER SANDALS TOY STORY TSSB01:ASSORTIVE COLOR:40:PRINT:SLIPPER SANDALS</t>
  </si>
  <si>
    <t>SLIPPER SANDALS TOY STORY TSSB01:BLACK:36:PRINT:SLIPPER SANDALS</t>
  </si>
  <si>
    <t>SLIPPER SANDALS TOY STORY TSSB01:BLACK:37:PRINT:SLIPPER SANDALS</t>
  </si>
  <si>
    <t>SLIPPER SANDALS TOY STORY TSSB01:BLACK:38:PRINT:SLIPPER SANDALS</t>
  </si>
  <si>
    <t>SLIPPER SANDALS TOY STORY TSSB01:BLACK:39:PRINT:SLIPPER SANDALS</t>
  </si>
  <si>
    <t>SLIPPER SANDALS TOY STORY TSSB01:BLACK:40:PRINT:SLIPPER SANDALS</t>
  </si>
  <si>
    <t>TSB02</t>
  </si>
  <si>
    <t>SLIPPER SANDALS TOY STORY TSB02:OFF WHITE:36:SOLID:SLIPPER SANDALS</t>
  </si>
  <si>
    <t>SLIPPER SANDALS TOY STORY TSB02:OFF WHITE:37:SOLID:SLIPPER SANDALS</t>
  </si>
  <si>
    <t>SLIPPER SANDALS TOY STORY TSB02:OFF WHITE:38:SOLID:SLIPPER SANDALS</t>
  </si>
  <si>
    <t>SLIPPER SANDALS TOY STORY TSB02:OFF WHITE:39:SOLID:SLIPPER SANDALS</t>
  </si>
  <si>
    <t>SLIPPER SANDALS TOY STORY TSB02:OFF WHITE:40:SOLID:SLIPPER SANDALS</t>
  </si>
  <si>
    <t>ZTP03</t>
  </si>
  <si>
    <t>SLINGBACK SANDALS ZOOTOPIA ZTP03:KHAKI:36:SOLID:SLINGBACK SANDALS</t>
  </si>
  <si>
    <t>SLINGBACK SANDALS ZOOTOPIA ZTP03:KHAKI:37:SOLID:SLINGBACK SANDALS</t>
  </si>
  <si>
    <t>SLINGBACK SANDALS ZOOTOPIA ZTP03:KHAKI:38:SOLID:SLINGBACK SANDALS</t>
  </si>
  <si>
    <t>SLINGBACK SANDALS ZOOTOPIA ZTP03:KHAKI:39:SOLID:SLINGBACK SANDALS</t>
  </si>
  <si>
    <t>SLINGBACK SANDALS ZOOTOPIA ZTP03:KHAKI:40:SOLID:SLINGBACK SANDALS</t>
  </si>
  <si>
    <t>SLINGBACK SANDALS ZOOTOPIA ZTP03:OLIVE:36:SOLID:SLINGBACK SANDALS</t>
  </si>
  <si>
    <t>SLINGBACK SANDALS ZOOTOPIA ZTP03:OLIVE:37:SOLID:SLINGBACK SANDALS</t>
  </si>
  <si>
    <t>SLINGBACK SANDALS ZOOTOPIA ZTP03:OLIVE:38:SOLID:SLINGBACK SANDALS</t>
  </si>
  <si>
    <t>SLINGBACK SANDALS ZOOTOPIA ZTP03:OLIVE:39:SOLID:SLINGBACK SANDALS</t>
  </si>
  <si>
    <t>SLINGBACK SANDALS ZOOTOPIA ZTP03:OLIVE:40:SOLID:SLINGBACK SANDALS</t>
  </si>
  <si>
    <t>ZTP04</t>
  </si>
  <si>
    <t>SLIPPER SANDALS ZOOTOPIA ZTP04:OFF WHITE:36:SOLID:SLIPPER SANDALS</t>
  </si>
  <si>
    <t>SLIPPER SANDALS ZOOTOPIA ZTP04:OFF WHITE:37:SOLID:SLIPPER SANDALS</t>
  </si>
  <si>
    <t>SLIPPER SANDALS ZOOTOPIA ZTP04:OFF WHITE:38:SOLID:SLIPPER SANDALS</t>
  </si>
  <si>
    <t>SLIPPER SANDALS ZOOTOPIA ZTP04:OFF WHITE:39:SOLID:SLIPPER SANDALS</t>
  </si>
  <si>
    <t>SLIPPER SANDALS ZOOTOPIA ZTP04:OFF WHITE:40:SOLID:SLIPPER SANDALS</t>
  </si>
  <si>
    <t>SLIPPER SANDALS WOMEN MKBAS95:MAROON:36:SOLID:SLIPPER SANDALS</t>
  </si>
  <si>
    <t>SLIPPER SANDALS WOMEN MKBAS95:MAROON:37:SOLID:SLIPPER SANDALS</t>
  </si>
  <si>
    <t>SLIPPER SANDALS WOMEN MKBAS95:MAROON:38:SOLID:SLIPPER SANDALS</t>
  </si>
  <si>
    <t>SLIPPER SANDALS WOMEN MKBAS95:MAROON:39:SOLID:SLIPPER SANDALS</t>
  </si>
  <si>
    <t>SLIPPER SANDALS WOMEN MKBAS95:MAROON:40:SOLID:SLIPPER SANDALS</t>
  </si>
  <si>
    <t>TSN01</t>
  </si>
  <si>
    <t>SNEAKERS TOY STORY TSN01:FUSCHIA:36:SOLID:SNEAKERS</t>
  </si>
  <si>
    <t>SNEAKERS TOY STORY TSN01:FUSCHIA:37:SOLID:SNEAKERS</t>
  </si>
  <si>
    <t>SNEAKERS TOY STORY TSN01:FUSCHIA:38:SOLID:SNEAKERS</t>
  </si>
  <si>
    <t>SNEAKERS TOY STORY TSN01:FUSCHIA:39:SOLID:SNEAKERS</t>
  </si>
  <si>
    <t>SNEAKERS TOY STORY TSN01:FUSCHIA:40:SOLID:SNEAKERS</t>
  </si>
  <si>
    <t>SNEAKERS TOY STORY TSN01:WHITE:36:SOLID:SNEAKERS</t>
  </si>
  <si>
    <t>SNEAKERS TOY STORY TSN01:WHITE:37:SOLID:SNEAKERS</t>
  </si>
  <si>
    <t>SNEAKERS TOY STORY TSN01:WHITE:38:SOLID:SNEAKERS</t>
  </si>
  <si>
    <t>SNEAKERS TOY STORY TSN01:WHITE:39:SOLID:SNEAKERS</t>
  </si>
  <si>
    <t>SNEAKERS TOY STORY TSN01:WHITE:40:SOLID:SNEAKERS</t>
  </si>
  <si>
    <t>ZTP01</t>
  </si>
  <si>
    <t>SNEAKERS ZOOTOPIA ZTP01:FROST GREY:36:SOLID:SNEAKERS</t>
  </si>
  <si>
    <t>SNEAKERS ZOOTOPIA ZTP01:FROST GREY:37:SOLID:SNEAKERS</t>
  </si>
  <si>
    <t>SNEAKERS ZOOTOPIA ZTP01:FROST GREY:38:SOLID:SNEAKERS</t>
  </si>
  <si>
    <t>SNEAKERS ZOOTOPIA ZTP01:FROST GREY:39:SOLID:SNEAKERS</t>
  </si>
  <si>
    <t>SNEAKERS ZOOTOPIA ZTP01:FROST GREY:40:SOLID:SNEAKERS</t>
  </si>
  <si>
    <t>SNEAKERS ZOOTOPIA ZTP01:KHAKI:36:SOLID:SNEAKERS</t>
  </si>
  <si>
    <t>SNEAKERS ZOOTOPIA ZTP01:KHAKI:37:SOLID:SNEAKERS</t>
  </si>
  <si>
    <t>SNEAKERS ZOOTOPIA ZTP01:KHAKI:38:SOLID:SNEAKERS</t>
  </si>
  <si>
    <t>SNEAKERS ZOOTOPIA ZTP01:KHAKI:39:SOLID:SNEAKERS</t>
  </si>
  <si>
    <t>SNEAKERS ZOOTOPIA ZTP01:KHAKI:40:SOLID:SNEAKERS</t>
  </si>
  <si>
    <t>MCTSS1</t>
  </si>
  <si>
    <t>SNEAKERS MICKEY MCTSS1:WHITE:36:SOLID:SNEAKERS</t>
  </si>
  <si>
    <t>SNEAKERS MICKEY MCTSS1:WHITE:37:SOLID:SNEAKERS</t>
  </si>
  <si>
    <t>SNEAKERS MICKEY MCTSS1:WHITE:38:SOLID:SNEAKERS</t>
  </si>
  <si>
    <t>SNEAKERS MICKEY MCTSS1:WHITE:39:SOLID:SNEAKERS</t>
  </si>
  <si>
    <t>SNEAKERS MICKEY MCTSS1:WHITE:40:SOLID:SNEAKERS</t>
  </si>
  <si>
    <t>MI02</t>
  </si>
  <si>
    <t>SLIPPER SANDALS MONSTERS INC MI02:BLACK:36:SOLID:SLIPPER SANDALS</t>
  </si>
  <si>
    <t>SLIPPER SANDALS MONSTERS INC MI02:BLACK:37:SOLID:SLIPPER SANDALS</t>
  </si>
  <si>
    <t>SLIPPER SANDALS MONSTERS INC MI02:BLACK:38:SOLID:SLIPPER SANDALS</t>
  </si>
  <si>
    <t>SLIPPER SANDALS MONSTERS INC MI02:BLACK:39:SOLID:SLIPPER SANDALS</t>
  </si>
  <si>
    <t>SLIPPER SANDALS MONSTERS INC MI02:BLACK:40:SOLID:SLIPPER SANDALS</t>
  </si>
  <si>
    <t>SLIPPER SANDALS MONSTERS INC MI02:LIGHT BLUE:36:SOLID:SLIPPER SANDALS</t>
  </si>
  <si>
    <t>SLIPPER SANDALS MONSTERS INC MI02:LIGHT BLUE:37:SOLID:SLIPPER SANDALS</t>
  </si>
  <si>
    <t>SLIPPER SANDALS MONSTERS INC MI02:LIGHT BLUE:38:SOLID:SLIPPER SANDALS</t>
  </si>
  <si>
    <t>SLIPPER SANDALS MONSTERS INC MI02:LIGHT BLUE:39:SOLID:SLIPPER SANDALS</t>
  </si>
  <si>
    <t>SLIPPER SANDALS MONSTERS INC MI02:LIGHT BLUE:40:SOLID:SLIPPER SANDALS</t>
  </si>
  <si>
    <t>MI01</t>
  </si>
  <si>
    <t>SLIPPER SANDALS MONSTERS INC MI01:LIGHT BLUE:36:SOLID:SLIPPER SANDALS</t>
  </si>
  <si>
    <t>SLIPPER SANDALS MONSTERS INC MI01:LIGHT BLUE:37:SOLID:SLIPPER SANDALS</t>
  </si>
  <si>
    <t>SLIPPER SANDALS MONSTERS INC MI01:LIGHT BLUE:38:SOLID:SLIPPER SANDALS</t>
  </si>
  <si>
    <t>SLIPPER SANDALS MONSTERS INC MI01:LIGHT BLUE:39:SOLID:SLIPPER SANDALS</t>
  </si>
  <si>
    <t>SLIPPER SANDALS MONSTERS INC MI01:LIGHT BLUE:40:SOLID:SLIPPER SANDALS</t>
  </si>
  <si>
    <t>MI05</t>
  </si>
  <si>
    <t>SNEAKERS MONSTERS INC MI05:LIGHT BLUE:36:SOLID:SNEAKERS</t>
  </si>
  <si>
    <t>SNEAKERS MONSTERS INC MI05:LIGHT BLUE:37:SOLID:SNEAKERS</t>
  </si>
  <si>
    <t>SNEAKERS MONSTERS INC MI05:LIGHT BLUE:38:SOLID:SNEAKERS</t>
  </si>
  <si>
    <t>SNEAKERS MONSTERS INC MI05:LIGHT BLUE:39:SOLID:SNEAKERS</t>
  </si>
  <si>
    <t>SNEAKERS MONSTERS INC MI05:LIGHT BLUE:40:SOLID:SNEAKERS</t>
  </si>
  <si>
    <t>LOF01</t>
  </si>
  <si>
    <t>SLIPPER SANDALS TOY STORY LOF01:FUSCHIA:36:PRINT:SLIPPER SANDALS</t>
  </si>
  <si>
    <t>SLIPPER SANDALS TOY STORY LOF01:FUSCHIA:37:PRINT:SLIPPER SANDALS</t>
  </si>
  <si>
    <t>SLIPPER SANDALS TOY STORY LOF01:FUSCHIA:38:PRINT:SLIPPER SANDALS</t>
  </si>
  <si>
    <t>SLIPPER SANDALS TOY STORY LOF01:FUSCHIA:39:PRINT:SLIPPER SANDALS</t>
  </si>
  <si>
    <t>SLIPPER SANDALS TOY STORY LOF01:FUSCHIA:40:PRINT:SLIPPER SANDALS</t>
  </si>
  <si>
    <t>MCSB1</t>
  </si>
  <si>
    <t>SLIPPER SANDALS MICKEY MOUSE MCSB1:WHITE:36:PRINT:SLIPPER SANDALS</t>
  </si>
  <si>
    <t>SLIPPER SANDALS MICKEY MOUSE MCSB1:WHITE:37:PRINT:SLIPPER SANDALS</t>
  </si>
  <si>
    <t>SLIPPER SANDALS MICKEY MOUSE MCSB1:WHITE:38:PRINT:SLIPPER SANDALS</t>
  </si>
  <si>
    <t>SLIPPER SANDALS MICKEY MOUSE MCSB1:WHITE:39:PRINT:SLIPPER SANDALS</t>
  </si>
  <si>
    <t>SLIPPER SANDALS MICKEY MOUSE MCSB1:WHITE:40:PRINT:SLIPPER SANDALS</t>
  </si>
  <si>
    <t>SLIPPER SANDALS MICKEY MOUSE MCSB1:BLACK:36:PRINT:SLIPPER SANDALS</t>
  </si>
  <si>
    <t>SLIPPER SANDALS MICKEY MOUSE MCSB1:BLACK:37:PRINT:SLIPPER SANDALS</t>
  </si>
  <si>
    <t>SLIPPER SANDALS MICKEY MOUSE MCSB1:BLACK:38:PRINT:SLIPPER SANDALS</t>
  </si>
  <si>
    <t>SLIPPER SANDALS MICKEY MOUSE MCSB1:BLACK:39:PRINT:SLIPPER SANDALS</t>
  </si>
  <si>
    <t>SLIPPER SANDALS MICKEY MOUSE MCSB1:BLACK:40:PRINT:SLIPPER SANDALS</t>
  </si>
  <si>
    <t>MINSB1</t>
  </si>
  <si>
    <t>SLIPPER SANDALS MINNIE MOUSE MINSB1:WHITE:36:SOLID:SLIPPER SANDALS</t>
  </si>
  <si>
    <t>SLIPPER SANDALS MINNIE MOUSE MINSB1:WHITE:37:SOLID:SLIPPER SANDALS</t>
  </si>
  <si>
    <t>SLIPPER SANDALS MINNIE MOUSE MINSB1:WHITE:38:SOLID:SLIPPER SANDALS</t>
  </si>
  <si>
    <t>SLIPPER SANDALS MINNIE MOUSE MINSB1:WHITE:39:SOLID:SLIPPER SANDALS</t>
  </si>
  <si>
    <t>SLIPPER SANDALS MINNIE MOUSE MINSB1:WHITE:40:SOLID:SLIPPER SANDALS</t>
  </si>
  <si>
    <t>SLIPPER SANDALS MINNIE MOUSE MINSB1:MAROON:36:SOLID:SLIPPER SANDALS</t>
  </si>
  <si>
    <t>SLIPPER SANDALS MINNIE MOUSE MINSB1:MAROON:37:SOLID:SLIPPER SANDALS</t>
  </si>
  <si>
    <t>SLIPPER SANDALS MINNIE MOUSE MINSB1:MAROON:38:SOLID:SLIPPER SANDALS</t>
  </si>
  <si>
    <t>SLIPPER SANDALS MINNIE MOUSE MINSB1:MAROON:39:SOLID:SLIPPER SANDALS</t>
  </si>
  <si>
    <t>SLIPPER SANDALS MINNIE MOUSE MINSB1:MAROON:40:SOLID:SLIPPER SANDALS</t>
  </si>
  <si>
    <t>WTP01</t>
  </si>
  <si>
    <t>SLIPPER SANDALS WINNIE THE POOH WTP01:KHAKI:36:SOLID:SLIPPER SANDALS</t>
  </si>
  <si>
    <t>SLIPPER SANDALS WINNIE THE POOH WTP01:KHAKI:37:SOLID:SLIPPER SANDALS</t>
  </si>
  <si>
    <t>SLIPPER SANDALS WINNIE THE POOH WTP01:KHAKI:38:SOLID:SLIPPER SANDALS</t>
  </si>
  <si>
    <t>SLIPPER SANDALS WINNIE THE POOH WTP01:KHAKI:39:SOLID:SLIPPER SANDALS</t>
  </si>
  <si>
    <t>SLIPPER SANDALS WINNIE THE POOH WTP01:KHAKI:40:SOLID:SLIPPER SANDALS</t>
  </si>
  <si>
    <t>SLIPPER SANDALS WINNIE THE POOH WTP01:BLACK:36:SOLID:SLIPPER SANDALS</t>
  </si>
  <si>
    <t>SLIPPER SANDALS WINNIE THE POOH WTP01:BLACK:37:SOLID:SLIPPER SANDALS</t>
  </si>
  <si>
    <t>SLIPPER SANDALS WINNIE THE POOH WTP01:BLACK:38:SOLID:SLIPPER SANDALS</t>
  </si>
  <si>
    <t>SLIPPER SANDALS WINNIE THE POOH WTP01:BLACK:39:SOLID:SLIPPER SANDALS</t>
  </si>
  <si>
    <t>SLIPPER SANDALS WINNIE THE POOH WTP01:BLACK:40:SOLID:SLIPPER SANDALS</t>
  </si>
  <si>
    <t>WTP02</t>
  </si>
  <si>
    <t>SLINGBACK SANDALS WINNIE THE POOH WTP02:OFF WHITE:36:SOLID:SLINGBACK SANDALS</t>
  </si>
  <si>
    <t>SLINGBACK SANDALS WINNIE THE POOH WTP02:OFF WHITE:37:SOLID:SLINGBACK SANDALS</t>
  </si>
  <si>
    <t>SLINGBACK SANDALS WINNIE THE POOH WTP02:OFF WHITE:38:SOLID:SLINGBACK SANDALS</t>
  </si>
  <si>
    <t>SLINGBACK SANDALS WINNIE THE POOH WTP02:OFF WHITE:39:SOLID:SLINGBACK SANDALS</t>
  </si>
  <si>
    <t>SLINGBACK SANDALS WINNIE THE POOH WTP02:OFF WHITE:40:SOLID:SLINGBACK SANDALS</t>
  </si>
  <si>
    <t>SLINGBACK SANDALS WINNIE THE POOH WTP02:BLACK:36:SOLID:SLINGBACK SANDALS</t>
  </si>
  <si>
    <t>SLINGBACK SANDALS WINNIE THE POOH WTP02:BLACK:37:SOLID:SLINGBACK SANDALS</t>
  </si>
  <si>
    <t>SLINGBACK SANDALS WINNIE THE POOH WTP02:BLACK:38:SOLID:SLINGBACK SANDALS</t>
  </si>
  <si>
    <t>SLINGBACK SANDALS WINNIE THE POOH WTP02:BLACK:39:SOLID:SLINGBACK SANDALS</t>
  </si>
  <si>
    <t>SLINGBACK SANDALS WINNIE THE POOH WTP02:BLACK:40:SOLID:SLINGBACK SANDALS</t>
  </si>
  <si>
    <t>WTP05</t>
  </si>
  <si>
    <t>FLIP FLOPS WINNIE THE POOH WTP05:OFF WHITE:36:SOLID:FLIP FLOPS</t>
  </si>
  <si>
    <t>FLIP FLOPS WINNIE THE POOH WTP05:OFF WHITE:37:SOLID:FLIP FLOPS</t>
  </si>
  <si>
    <t>FLIP FLOPS WINNIE THE POOH WTP05:OFF WHITE:38:SOLID:FLIP FLOPS</t>
  </si>
  <si>
    <t>FLIP FLOPS WINNIE THE POOH WTP05:OFF WHITE:39:SOLID:FLIP FLOPS</t>
  </si>
  <si>
    <t>FLIP FLOPS WINNIE THE POOH WTP05:OFF WHITE:40:SOLID:FLIP FLOPS</t>
  </si>
  <si>
    <t>FLIP FLOPS WINNIE THE POOH WTP05:BROWN SUGAR:36:SOLID:FLIP FLOPS</t>
  </si>
  <si>
    <t>FLIP FLOPS WINNIE THE POOH WTP05:BROWN SUGAR:37:SOLID:FLIP FLOPS</t>
  </si>
  <si>
    <t>FLIP FLOPS WINNIE THE POOH WTP05:BROWN SUGAR:38:SOLID:FLIP FLOPS</t>
  </si>
  <si>
    <t>FLIP FLOPS WINNIE THE POOH WTP05:BROWN SUGAR:39:SOLID:FLIP FLOPS</t>
  </si>
  <si>
    <t>FLIP FLOPS WINNIE THE POOH WTP05:BROWN SUGAR:40:SOLID:FLIP FLOPS</t>
  </si>
  <si>
    <t>WTP06</t>
  </si>
  <si>
    <t>SLIPPER SANDALS WINNIE THE POOH WTP06:OFF WHITE:36:SOLID:SLIPPER SANDALS</t>
  </si>
  <si>
    <t>SLIPPER SANDALS WINNIE THE POOH WTP06:OFF WHITE:37:SOLID:SLIPPER SANDALS</t>
  </si>
  <si>
    <t>SLIPPER SANDALS WINNIE THE POOH WTP06:OFF WHITE:38:SOLID:SLIPPER SANDALS</t>
  </si>
  <si>
    <t>SLIPPER SANDALS WINNIE THE POOH WTP06:OFF WHITE:39:SOLID:SLIPPER SANDALS</t>
  </si>
  <si>
    <t>SLIPPER SANDALS WINNIE THE POOH WTP06:OFF WHITE:40:SOLID:SLIPPER SANDALS</t>
  </si>
  <si>
    <t>SLIPPER SANDALS WINNIE THE POOH WTP06:BLACK:36:SOLID:SLIPPER SANDALS</t>
  </si>
  <si>
    <t>SLIPPER SANDALS WINNIE THE POOH WTP06:BLACK:37:SOLID:SLIPPER SANDALS</t>
  </si>
  <si>
    <t>SLIPPER SANDALS WINNIE THE POOH WTP06:BLACK:38:SOLID:SLIPPER SANDALS</t>
  </si>
  <si>
    <t>SLIPPER SANDALS WINNIE THE POOH WTP06:BLACK:39:SOLID:SLIPPER SANDALS</t>
  </si>
  <si>
    <t>SLIPPER SANDALS WINNIE THE POOH WTP06:BLACK:40:SOLID:SLIPPER SANDALS</t>
  </si>
  <si>
    <t>STP01</t>
  </si>
  <si>
    <t>SLIPPER SANDALS STITCH STP01:WHITE:S:SOLID:SLIPPER SANDALS</t>
  </si>
  <si>
    <t>SLIPPER SANDALS STITCH STP01:WHITE:M:SOLID:SLIPPER SANDALS</t>
  </si>
  <si>
    <t>SLIPPER SANDALS STITCH STP01:WHITE:L:SOLID:SLIPPER SANDALS</t>
  </si>
  <si>
    <t>SLIPPER SANDALS STITCH STP01:NAVY BLUE:S:SOLID:SLIPPER SANDALS</t>
  </si>
  <si>
    <t>SLIPPER SANDALS STITCH STP01:NAVY BLUE:M:SOLID:SLIPPER SANDALS</t>
  </si>
  <si>
    <t>SLIPPER SANDALS STITCH STP01:NAVY BLUE:L:SOLID:SLIPPER SANDALS</t>
  </si>
  <si>
    <t>MMCTS2</t>
  </si>
  <si>
    <t>SLIPPER SANDALS MINNIE MOUSE MMCTS2:BLACK:36:SOLID:SLIPPER SANDALS</t>
  </si>
  <si>
    <t>SLIPPER SANDALS MINNIE MOUSE MMCTS2:BLACK:37:SOLID:SLIPPER SANDALS</t>
  </si>
  <si>
    <t>SLIPPER SANDALS MINNIE MOUSE MMCTS2:BLACK:38:SOLID:SLIPPER SANDALS</t>
  </si>
  <si>
    <t>SLIPPER SANDALS MINNIE MOUSE MMCTS2:BLACK:39:SOLID:SLIPPER SANDALS</t>
  </si>
  <si>
    <t>SLIPPER SANDALS MINNIE MOUSE MMCTS2:BLACK:40:SOLID:SLIPPER SANDALS</t>
  </si>
  <si>
    <t>SLIPPER SANDALS MINNIE MOUSE MMCTS2:WHITE:36:SOLID:SLIPPER SANDALS</t>
  </si>
  <si>
    <t>SLIPPER SANDALS MINNIE MOUSE MMCTS2:WHITE:37:SOLID:SLIPPER SANDALS</t>
  </si>
  <si>
    <t>SLIPPER SANDALS MINNIE MOUSE MMCTS2:WHITE:38:SOLID:SLIPPER SANDALS</t>
  </si>
  <si>
    <t>SLIPPER SANDALS MINNIE MOUSE MMCTS2:WHITE:39:SOLID:SLIPPER SANDALS</t>
  </si>
  <si>
    <t>SLIPPER SANDALS MINNIE MOUSE MMCTS2:WHITE:40:SOLID:SLIPPER SANDALS</t>
  </si>
  <si>
    <t>MMCTS5</t>
  </si>
  <si>
    <t>SLIPPER SANDALS MINNIE MOUSE MMCTS5:BLACK:36:SOLID:SLIPPER SANDALS</t>
  </si>
  <si>
    <t>SLIPPER SANDALS MINNIE MOUSE MMCTS5:BLACK:37:SOLID:SLIPPER SANDALS</t>
  </si>
  <si>
    <t>SLIPPER SANDALS MINNIE MOUSE MMCTS5:BLACK:38:SOLID:SLIPPER SANDALS</t>
  </si>
  <si>
    <t>SLIPPER SANDALS MINNIE MOUSE MMCTS5:BLACK:39:SOLID:SLIPPER SANDALS</t>
  </si>
  <si>
    <t>SLIPPER SANDALS MINNIE MOUSE MMCTS5:BLACK:40:SOLID:SLIPPER SANDALS</t>
  </si>
  <si>
    <t>SLIPPER SANDALS MINNIE MOUSE MMCTS5:WHITE:36:SOLID:SLIPPER SANDALS</t>
  </si>
  <si>
    <t>SLIPPER SANDALS MINNIE MOUSE MMCTS5:WHITE:37:SOLID:SLIPPER SANDALS</t>
  </si>
  <si>
    <t>SLIPPER SANDALS MINNIE MOUSE MMCTS5:WHITE:38:SOLID:SLIPPER SANDALS</t>
  </si>
  <si>
    <t>SLIPPER SANDALS MINNIE MOUSE MMCTS5:WHITE:39:SOLID:SLIPPER SANDALS</t>
  </si>
  <si>
    <t>SLIPPER SANDALS MINNIE MOUSE MMCTS5:WHITE:40:SOLID:SLIPPER SANDALS</t>
  </si>
  <si>
    <t>SLIPPER SANDALS MINNIE MOUSE MMCTS5:CLASSIC RED:36:SOLID:SLIPPER SANDALS</t>
  </si>
  <si>
    <t>SLIPPER SANDALS MINNIE MOUSE MMCTS5:CLASSIC RED:37:SOLID:SLIPPER SANDALS</t>
  </si>
  <si>
    <t>SLIPPER SANDALS MINNIE MOUSE MMCTS5:CLASSIC RED:38:SOLID:SLIPPER SANDALS</t>
  </si>
  <si>
    <t>SLIPPER SANDALS MINNIE MOUSE MMCTS5:CLASSIC RED:39:SOLID:SLIPPER SANDALS</t>
  </si>
  <si>
    <t>SLIPPER SANDALS MINNIE MOUSE MMCTS5:CLASSIC RED:40:SOLID:SLIPPER SANDALS</t>
  </si>
  <si>
    <t>STS01</t>
  </si>
  <si>
    <t>SLIPPER SANDALS STITCH STS01:WHITE:36:PRINT:SLIPPER SANDALS</t>
  </si>
  <si>
    <t>SLIPPER SANDALS STITCH STS01:WHITE:37:PRINT:SLIPPER SANDALS</t>
  </si>
  <si>
    <t>SLIPPER SANDALS STITCH STS01:WHITE:38:PRINT:SLIPPER SANDALS</t>
  </si>
  <si>
    <t>SLIPPER SANDALS STITCH STS01:WHITE:39:PRINT:SLIPPER SANDALS</t>
  </si>
  <si>
    <t>SLIPPER SANDALS STITCH STS01:WHITE:40:PRINT:SLIPPER SANDALS</t>
  </si>
  <si>
    <t>SLIPPER SANDALS STITCH STS01:LIGHT BLUE:36:PRINT:SLIPPER SANDALS</t>
  </si>
  <si>
    <t>SLIPPER SANDALS STITCH STS01:LIGHT BLUE:37:PRINT:SLIPPER SANDALS</t>
  </si>
  <si>
    <t>SLIPPER SANDALS STITCH STS01:LIGHT BLUE:38:PRINT:SLIPPER SANDALS</t>
  </si>
  <si>
    <t>SLIPPER SANDALS STITCH STS01:LIGHT BLUE:39:PRINT:SLIPPER SANDALS</t>
  </si>
  <si>
    <t>SLIPPER SANDALS STITCH STS01:LIGHT BLUE:40:PRINT:SLIPPER SANDALS</t>
  </si>
  <si>
    <t>STS02</t>
  </si>
  <si>
    <t>SLIPPER SANDALS STITCH STS02:NAVY BLUE:36:PRINT:SLIPPER SANDALS</t>
  </si>
  <si>
    <t>SLIPPER SANDALS STITCH STS02:NAVY BLUE:37:PRINT:SLIPPER SANDALS</t>
  </si>
  <si>
    <t>SLIPPER SANDALS STITCH STS02:NAVY BLUE:38:PRINT:SLIPPER SANDALS</t>
  </si>
  <si>
    <t>SLIPPER SANDALS STITCH STS02:NAVY BLUE:39:PRINT:SLIPPER SANDALS</t>
  </si>
  <si>
    <t>SLIPPER SANDALS STITCH STS02:NAVY BLUE:40:PRINT:SLIPPER SANDALS</t>
  </si>
  <si>
    <t>SLIPPER SANDALS STITCH STS02:PASTEL PURPLE:36:PRINT:SLIPPER SANDALS</t>
  </si>
  <si>
    <t>SLIPPER SANDALS STITCH STS02:PASTEL PURPLE:37:PRINT:SLIPPER SANDALS</t>
  </si>
  <si>
    <t>SLIPPER SANDALS STITCH STS02:PASTEL PURPLE:38:PRINT:SLIPPER SANDALS</t>
  </si>
  <si>
    <t>SLIPPER SANDALS STITCH STS02:PASTEL PURPLE:39:PRINT:SLIPPER SANDALS</t>
  </si>
  <si>
    <t>SLIPPER SANDALS STITCH STS02:PASTEL PURPLE:40:PRINT:SLIPPER SANDALS</t>
  </si>
  <si>
    <t>STS03</t>
  </si>
  <si>
    <t>SLIPPER SANDALS STITCH STS03:LIGHT BLUE:36:SOLID:SLIPPER SANDALS</t>
  </si>
  <si>
    <t>SLIPPER SANDALS STITCH STS03:LIGHT BLUE:37:SOLID:SLIPPER SANDALS</t>
  </si>
  <si>
    <t>SLIPPER SANDALS STITCH STS03:LIGHT BLUE:38:SOLID:SLIPPER SANDALS</t>
  </si>
  <si>
    <t>SLIPPER SANDALS STITCH STS03:LIGHT BLUE:39:SOLID:SLIPPER SANDALS</t>
  </si>
  <si>
    <t>SLIPPER SANDALS STITCH STS03:LIGHT BLUE:40:SOLID:SLIPPER SANDALS</t>
  </si>
  <si>
    <t>STN01</t>
  </si>
  <si>
    <t>SNEAKERS STITCH STN01:WHITE:36:SOLID:SNEAKERS</t>
  </si>
  <si>
    <t>SNEAKERS STITCH STN01:WHITE:37:SOLID:SNEAKERS</t>
  </si>
  <si>
    <t>SNEAKERS STITCH STN01:WHITE:38:SOLID:SNEAKERS</t>
  </si>
  <si>
    <t>SNEAKERS STITCH STN01:WHITE:39:SOLID:SNEAKERS</t>
  </si>
  <si>
    <t>SNEAKERS STITCH STN01:WHITE:40:SOLID:SNEAKERS</t>
  </si>
  <si>
    <t>STN02</t>
  </si>
  <si>
    <t>SNEAKERS STITCH STN02:WHITE:36:SOLID:SNEAKERS</t>
  </si>
  <si>
    <t>SNEAKERS STITCH STN02:WHITE:37:SOLID:SNEAKERS</t>
  </si>
  <si>
    <t>SNEAKERS STITCH STN02:WHITE:38:SOLID:SNEAKERS</t>
  </si>
  <si>
    <t>SNEAKERS STITCH STN02:WHITE:39:SOLID:SNEAKERS</t>
  </si>
  <si>
    <t>SNEAKERS STITCH STN02:WHITE:40:SOLID:SNEAKERS</t>
  </si>
  <si>
    <t>SWTP01</t>
  </si>
  <si>
    <t>SLIP ON WINNIE THE POOH SWTP01:OFF WHITE:36:PRINT:SLIP ON</t>
  </si>
  <si>
    <t>SLIP ON WINNIE THE POOH SWTP01:OFF WHITE:37:PRINT:SLIP ON</t>
  </si>
  <si>
    <t>SLIP ON WINNIE THE POOH SWTP01:OFF WHITE:38:PRINT:SLIP ON</t>
  </si>
  <si>
    <t>SLIP ON WINNIE THE POOH SWTP01:OFF WHITE:39:PRINT:SLIP ON</t>
  </si>
  <si>
    <t>SLIP ON WINNIE THE POOH SWTP01:OFF WHITE:40:PRINT:SLIP ON</t>
  </si>
  <si>
    <t>SWTP02</t>
  </si>
  <si>
    <t>BALLERINA WINNIE THE POOH SWTP02:GOLD:36:SOLID:BALLERINA</t>
  </si>
  <si>
    <t>BALLERINA WINNIE THE POOH SWTP02:GOLD:37:SOLID:BALLERINA</t>
  </si>
  <si>
    <t>BALLERINA WINNIE THE POOH SWTP02:GOLD:38:SOLID:BALLERINA</t>
  </si>
  <si>
    <t>BALLERINA WINNIE THE POOH SWTP02:GOLD:39:SOLID:BALLERINA</t>
  </si>
  <si>
    <t>BALLERINA WINNIE THE POOH SWTP02:GOLD:40:SOLID:BALLERINA</t>
  </si>
  <si>
    <t>SWTP03</t>
  </si>
  <si>
    <t>BALLERINA WINNIE THE POOH SWTP03:BLACK:36:SOLID:BALLERINA</t>
  </si>
  <si>
    <t>BALLERINA WINNIE THE POOH SWTP03:BLACK:37:SOLID:BALLERINA</t>
  </si>
  <si>
    <t>BALLERINA WINNIE THE POOH SWTP03:BLACK:38:SOLID:BALLERINA</t>
  </si>
  <si>
    <t>BALLERINA WINNIE THE POOH SWTP03:BLACK:39:SOLID:BALLERINA</t>
  </si>
  <si>
    <t>BALLERINA WINNIE THE POOH SWTP03:BLACK:40:SOLID:BALLERINA</t>
  </si>
  <si>
    <t>BALLERINA WINNIE THE POOH SWTP03:DUSTY PINK:36:SOLID:BALLERINA</t>
  </si>
  <si>
    <t>BALLERINA WINNIE THE POOH SWTP03:DUSTY PINK:37:SOLID:BALLERINA</t>
  </si>
  <si>
    <t>BALLERINA WINNIE THE POOH SWTP03:DUSTY PINK:38:SOLID:BALLERINA</t>
  </si>
  <si>
    <t>BALLERINA WINNIE THE POOH SWTP03:DUSTY PINK:39:SOLID:BALLERINA</t>
  </si>
  <si>
    <t>BALLERINA WINNIE THE POOH SWTP03:DUSTY PINK:40:SOLID:BALLERINA</t>
  </si>
  <si>
    <t>SWTP05</t>
  </si>
  <si>
    <t>BALLERINA WINNIE THE POOH SWTP05:OFF WHITE:36:SOLID:BALLERINA</t>
  </si>
  <si>
    <t>BALLERINA WINNIE THE POOH SWTP05:OFF WHITE:37:SOLID:BALLERINA</t>
  </si>
  <si>
    <t>BALLERINA WINNIE THE POOH SWTP05:OFF WHITE:38:SOLID:BALLERINA</t>
  </si>
  <si>
    <t>BALLERINA WINNIE THE POOH SWTP05:OFF WHITE:39:SOLID:BALLERINA</t>
  </si>
  <si>
    <t>BALLERINA WINNIE THE POOH SWTP05:OFF WHITE:40:SOLID:BALLERINA</t>
  </si>
  <si>
    <t>MCJ02</t>
  </si>
  <si>
    <t>MARY JANE SHOES MICKEY MOUSE MCJ02:BLACK:36:SOLID:MARY JANE SHOES</t>
  </si>
  <si>
    <t>MARY JANE SHOES MICKEY MOUSE MCJ02:BLACK:37:SOLID:MARY JANE SHOES</t>
  </si>
  <si>
    <t>MARY JANE SHOES MICKEY MOUSE MCJ02:BLACK:38:SOLID:MARY JANE SHOES</t>
  </si>
  <si>
    <t>MARY JANE SHOES MICKEY MOUSE MCJ02:BLACK:39:SOLID:MARY JANE SHOES</t>
  </si>
  <si>
    <t>MARY JANE SHOES MICKEY MOUSE MCJ02:BLACK:40:SOLID:MARY JANE SHOES</t>
  </si>
  <si>
    <t>MARY JANE SHOES MICKEY MOUSE MCJ02:MAROON:36:SOLID:MARY JANE SHOES</t>
  </si>
  <si>
    <t>MARY JANE SHOES MICKEY MOUSE MCJ02:MAROON:37:SOLID:MARY JANE SHOES</t>
  </si>
  <si>
    <t>MARY JANE SHOES MICKEY MOUSE MCJ02:MAROON:38:SOLID:MARY JANE SHOES</t>
  </si>
  <si>
    <t>MARY JANE SHOES MICKEY MOUSE MCJ02:MAROON:39:SOLID:MARY JANE SHOES</t>
  </si>
  <si>
    <t>MARY JANE SHOES MICKEY MOUSE MCJ02:MAROON:40:SOLID:MARY JANE SHOES</t>
  </si>
  <si>
    <t>MCJ01</t>
  </si>
  <si>
    <t>BALLERINA MICKEY MOUSE MCJ01:WHITE:36:PRINT:BALLERINA</t>
  </si>
  <si>
    <t>BALLERINA MICKEY MOUSE MCJ01:WHITE:37:PRINT:BALLERINA</t>
  </si>
  <si>
    <t>BALLERINA MICKEY MOUSE MCJ01:WHITE:38:PRINT:BALLERINA</t>
  </si>
  <si>
    <t>BALLERINA MICKEY MOUSE MCJ01:WHITE:39:PRINT:BALLERINA</t>
  </si>
  <si>
    <t>BALLERINA MICKEY MOUSE MCJ01:WHITE:40:PRINT:BALLERINA</t>
  </si>
  <si>
    <t>SWTP08</t>
  </si>
  <si>
    <t>SNEAKERS WINNIE THE POOH SWTP08:KHAKI:36:PRINT:SNEAKERS</t>
  </si>
  <si>
    <t>SNEAKERS WINNIE THE POOH SWTP08:KHAKI:37:PRINT:SNEAKERS</t>
  </si>
  <si>
    <t>SNEAKERS WINNIE THE POOH SWTP08:KHAKI:38:PRINT:SNEAKERS</t>
  </si>
  <si>
    <t>SNEAKERS WINNIE THE POOH SWTP08:KHAKI:39:PRINT:SNEAKERS</t>
  </si>
  <si>
    <t>SNEAKERS WINNIE THE POOH SWTP08:KHAKI:40:PRINT:SNEAKERS</t>
  </si>
  <si>
    <t>SLIPPER SANDALS MICKEY MKBAS98:BRONZE:36:SOLID:SLIPPER SANDALS</t>
  </si>
  <si>
    <t>SLIPPER SANDALS MICKEY MKBAS98:BRONZE:37:SOLID:SLIPPER SANDALS</t>
  </si>
  <si>
    <t>SLIPPER SANDALS MICKEY MKBAS98:BRONZE:38:SOLID:SLIPPER SANDALS</t>
  </si>
  <si>
    <t>SLIPPER SANDALS MICKEY MKBAS98:BRONZE:39:SOLID:SLIPPER SANDALS</t>
  </si>
  <si>
    <t>SLIPPER SANDALS MICKEY MKBAS98:BRONZE:40:SOLID:SLIPPER SANDALS</t>
  </si>
  <si>
    <t>SLIPPER SANDALS WOMEN MKBAS83:WHITE:36:SOLID:SLIPPER SANDALS</t>
  </si>
  <si>
    <t>SLIPPER SANDALS WOMEN MKBAS83:WHITE:37:SOLID:SLIPPER SANDALS</t>
  </si>
  <si>
    <t>SLIPPER SANDALS WOMEN MKBAS83:WHITE:38:SOLID:SLIPPER SANDALS</t>
  </si>
  <si>
    <t>SLIPPER SANDALS WOMEN MKBAS83:WHITE:39:SOLID:SLIPPER SANDALS</t>
  </si>
  <si>
    <t>SLIPPER SANDALS MICKEY MKBAS83:WHITE:40:SOLID:SLIPPER SANDALS</t>
  </si>
  <si>
    <t>SST03</t>
  </si>
  <si>
    <t>SLIPPER SANDALS STITCH SST03:NAVY BLUE:36:SOLID:SLIPPER SANDALS</t>
  </si>
  <si>
    <t>SLIPPER SANDALS STITCH SST03:NAVY BLUE:37:SOLID:SLIPPER SANDALS</t>
  </si>
  <si>
    <t>SLIPPER SANDALS STITCH SST03:NAVY BLUE:38:SOLID:SLIPPER SANDALS</t>
  </si>
  <si>
    <t>SLIPPER SANDALS STITCH SST03:NAVY BLUE:39:SOLID:SLIPPER SANDALS</t>
  </si>
  <si>
    <t>SLIPPER SANDALS STITCH SST03:NAVY BLUE:40:SOLID:SLIPPER SANDALS</t>
  </si>
  <si>
    <t>STIS1</t>
  </si>
  <si>
    <t>FLIP FLOPS STITCH STIS1:LIGHT BLUE:S:PRINT:FLIP FLOPS</t>
  </si>
  <si>
    <t>FLIP FLOPS STITCH STIS1:LIGHT BLUE:M:PRINT:FLIP FLOPS</t>
  </si>
  <si>
    <t>FLIP FLOPS STITCH STIS1:LIGHT BLUE:L:PRINT:FLIP FLOPS</t>
  </si>
  <si>
    <t>FLIP FLOPS STITCH STIS1:LIGHT BLUE:XL:PRINT:FLIP FLOPS</t>
  </si>
  <si>
    <t>FLIP FLOPS WOMEN MK2206:CLASSIC RED:S:PRINT:FLIP FLOPS</t>
  </si>
  <si>
    <t>FLIP FLOPS WOMEN MK2206:CLASSIC RED:M:PRINT:FLIP FLOPS</t>
  </si>
  <si>
    <t>FLIP FLOPS WOMEN MK2206:CLASSIC RED:L:PRINT:FLIP FLOPS</t>
  </si>
  <si>
    <t>FLIP FLOPS WOMEN MK2206:CLASSIC RED:XL:PRINT:FLIP FLOPS</t>
  </si>
  <si>
    <t>SLIPPER SANDALS WOMEN DPH01:LIGHT BLUE:36:SOLID:SLIPPER SANDALS</t>
  </si>
  <si>
    <t>SLIPPER SANDALS WOMEN DPH01:LIGHT BLUE:37:SOLID:SLIPPER SANDALS</t>
  </si>
  <si>
    <t>SLIPPER SANDALS WOMEN DPH01:LIGHT BLUE:38:SOLID:SLIPPER SANDALS</t>
  </si>
  <si>
    <t>SLIPPER SANDALS WOMEN DPH01:LIGHT BLUE:39:SOLID:SLIPPER SANDALS</t>
  </si>
  <si>
    <t>SLIPPER SANDALS WOMEN DPH01:LIGHT BLUE:40:SOLID:SLIPPER SANDALS</t>
  </si>
  <si>
    <t>MST14</t>
  </si>
  <si>
    <t>SLIPPER SANDALS MICKEY MOUSE MST14:OFF WHITE:36:SOLID:SLIPPER SANDALS</t>
  </si>
  <si>
    <t>SLIPPER SANDALS MICKEY MOUSE MST14:OFF WHITE:37:SOLID:SLIPPER SANDALS</t>
  </si>
  <si>
    <t>SLIPPER SANDALS MICKEY MOUSE MST14:OFF WHITE:38:SOLID:SLIPPER SANDALS</t>
  </si>
  <si>
    <t>SLIPPER SANDALS MICKEY MOUSE MST14:OFF WHITE:39:SOLID:SLIPPER SANDALS</t>
  </si>
  <si>
    <t>SLIPPER SANDALS MICKEY MOUSE MST14:OFF WHITE:40:SOLID:SLIPPER SANDALS</t>
  </si>
  <si>
    <t>POOH1</t>
  </si>
  <si>
    <t>FLIP FLOPS WINNIE THE POOH POOH1:BROWN SUGAR:36:PRINT:FLIP FLOPS</t>
  </si>
  <si>
    <t>FLIP FLOPS WINNIE THE POOH POOH1:BROWN SUGAR:37:PRINT:FLIP FLOPS</t>
  </si>
  <si>
    <t>FLIP FLOPS WINNIE THE POOH POOH1:BROWN SUGAR:38:PRINT:FLIP FLOPS</t>
  </si>
  <si>
    <t>FLIP FLOPS WINNIE THE POOH POOH1:BROWN SUGAR:39:PRINT:FLIP FLOPS</t>
  </si>
  <si>
    <t>FLIP FLOPS WINNIE THE POOH POOH1:BROWN SUGAR:40:PRINT:FLIP FLOPS</t>
  </si>
  <si>
    <t>POOH2</t>
  </si>
  <si>
    <t>FLIP FLOPS WINNIE THE POOH POOH2:BLACK:S:PRINT:FLIP FLOPS</t>
  </si>
  <si>
    <t>FLIP FLOPS WINNIE THE POOH POOH2:BLACK:M:PRINT:FLIP FLOPS</t>
  </si>
  <si>
    <t>FLIP FLOPS WINNIE THE POOH POOH2:BLACK:L:PRINT:FLIP FLOPS</t>
  </si>
  <si>
    <t>FLIP FLOPS WINNIE THE POOH POOH2:BLACK:XL:PRINT:FLIP FLOPS</t>
  </si>
  <si>
    <t>2025 H1 B1 NORMAL, B2 150K</t>
  </si>
  <si>
    <t>B1 NORMAL, B2 150.000</t>
  </si>
  <si>
    <t>2023 D90</t>
  </si>
  <si>
    <t>2022 D90</t>
  </si>
  <si>
    <t>2021 D90</t>
  </si>
  <si>
    <t>2020 D90</t>
  </si>
  <si>
    <t>2025 HANGING B1 NORMAL, B2 150K</t>
  </si>
  <si>
    <t>2025 Q3 SP 199K</t>
  </si>
  <si>
    <t>2024 HANGING B1 NORMAL, B2 100K</t>
  </si>
  <si>
    <t>B1 NORMAL, B2 100.000</t>
  </si>
  <si>
    <t>2024 B1 NORMAL, B2 100K</t>
  </si>
  <si>
    <t>2026 Q1 BUY 3 D10</t>
  </si>
  <si>
    <t>BUY 3 DISC 10%</t>
  </si>
  <si>
    <t>2026 HANGING BUY 3 D10</t>
  </si>
  <si>
    <t>2025 Q4 BUY 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</si>
</sst>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Tahoma"/>
      <family val="2"/>
    </font>
    <font>
      <sz val="12"/>
      <name val="Tahoma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horizontal="center" vertical="center"/>
    </xf>
    <xf numFmtId="0" fontId="9" fillId="0" borderId="0" xfId="5" applyFont="1"/>
    <xf numFmtId="0" fontId="10" fillId="0" borderId="0" xfId="5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5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10" fillId="0" borderId="0" xfId="2" applyFont="1" applyBorder="1" applyAlignment="1">
      <alignment horizontal="center"/>
    </xf>
    <xf numFmtId="0" fontId="11" fillId="0" borderId="0" xfId="5" applyFont="1"/>
    <xf numFmtId="0" fontId="12" fillId="0" borderId="0" xfId="5" applyFont="1" applyAlignment="1">
      <alignment horizontal="left"/>
    </xf>
    <xf numFmtId="0" fontId="13" fillId="0" borderId="0" xfId="5" applyFont="1"/>
    <xf numFmtId="0" fontId="12" fillId="0" borderId="0" xfId="5" applyFont="1" applyAlignment="1">
      <alignment horizontal="center"/>
    </xf>
    <xf numFmtId="0" fontId="9" fillId="0" borderId="0" xfId="5" applyFont="1" applyAlignment="1">
      <alignment vertic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2" borderId="0" xfId="0" applyFont="1" applyFill="1" applyAlignment="1">
      <alignment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1" fontId="3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2" fillId="0" borderId="0" xfId="5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3" fillId="0" borderId="0" xfId="6" applyNumberFormat="1" applyFont="1" applyBorder="1" applyAlignment="1">
      <alignment horizontal="center"/>
    </xf>
    <xf numFmtId="3" fontId="12" fillId="0" borderId="0" xfId="6" applyNumberFormat="1" applyFont="1" applyBorder="1" applyAlignment="1">
      <alignment horizontal="center"/>
    </xf>
    <xf numFmtId="9" fontId="3" fillId="0" borderId="0" xfId="5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5" applyFont="1" applyAlignment="1">
      <alignment horizontal="center"/>
    </xf>
    <xf numFmtId="1" fontId="10" fillId="0" borderId="0" xfId="5" applyNumberFormat="1" applyFont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10" fillId="0" borderId="0" xfId="1" applyNumberFormat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center"/>
    </xf>
    <xf numFmtId="0" fontId="15" fillId="0" borderId="0" xfId="5" applyFont="1"/>
    <xf numFmtId="0" fontId="3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Border="1"/>
    <xf numFmtId="166" fontId="3" fillId="0" borderId="0" xfId="5" applyNumberFormat="1" applyFont="1" applyAlignment="1">
      <alignment horizontal="center"/>
    </xf>
    <xf numFmtId="167" fontId="15" fillId="0" borderId="0" xfId="1" applyNumberFormat="1" applyFont="1" applyBorder="1"/>
    <xf numFmtId="166" fontId="3" fillId="0" borderId="0" xfId="6" applyNumberFormat="1" applyFont="1" applyBorder="1" applyAlignment="1">
      <alignment horizontal="center"/>
    </xf>
    <xf numFmtId="0" fontId="15" fillId="0" borderId="0" xfId="5" applyFont="1" applyAlignment="1">
      <alignment horizontal="center"/>
    </xf>
    <xf numFmtId="0" fontId="3" fillId="0" borderId="0" xfId="6" applyNumberFormat="1" applyFont="1" applyBorder="1" applyAlignment="1">
      <alignment horizontal="center"/>
    </xf>
    <xf numFmtId="9" fontId="15" fillId="0" borderId="0" xfId="2" applyFont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6" fontId="0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Comma" xfId="1" builtinId="3"/>
    <cellStyle name="Comma [0] 2 2" xfId="6" xr:uid="{00000000-0005-0000-0000-000001000000}"/>
    <cellStyle name="Comma [0] 2 2 2" xfId="3" xr:uid="{00000000-0005-0000-0000-000002000000}"/>
    <cellStyle name="Comma [0] 3" xfId="4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4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0F-E0D8-4E2C-AB87-C0BAFA7903C2}">
  <dimension ref="A1:P6"/>
  <sheetViews>
    <sheetView workbookViewId="0">
      <selection activeCell="G6" sqref="G6"/>
    </sheetView>
  </sheetViews>
  <sheetFormatPr defaultRowHeight="14.4" x14ac:dyDescent="0.3"/>
  <cols>
    <col min="1" max="1" width="25.33203125" style="28" customWidth="1"/>
    <col min="2" max="3" width="11.6640625" style="28" customWidth="1"/>
    <col min="4" max="7" width="8.6640625" style="28" customWidth="1"/>
    <col min="8" max="11" width="11.6640625" style="28" customWidth="1"/>
    <col min="12" max="12" width="35.6640625" customWidth="1"/>
    <col min="13" max="13" width="15.6640625" style="37" customWidth="1"/>
    <col min="14" max="14" width="8.6640625" customWidth="1"/>
    <col min="15" max="15" width="15.6640625" style="37" customWidth="1"/>
    <col min="16" max="16" width="15.66406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2679</v>
      </c>
      <c r="B2" s="26">
        <v>46093</v>
      </c>
      <c r="C2" s="26">
        <v>46098</v>
      </c>
      <c r="D2" s="28">
        <v>3319</v>
      </c>
      <c r="E2" s="28">
        <v>327</v>
      </c>
      <c r="F2" s="28">
        <v>2</v>
      </c>
      <c r="G2" s="28">
        <v>1</v>
      </c>
      <c r="H2" s="28">
        <v>81778</v>
      </c>
      <c r="I2" s="28" t="s">
        <v>17</v>
      </c>
      <c r="J2" s="28">
        <v>15806121</v>
      </c>
      <c r="K2" s="28" t="s">
        <v>2130</v>
      </c>
      <c r="L2" t="s">
        <v>2131</v>
      </c>
      <c r="M2" s="37">
        <v>199900</v>
      </c>
      <c r="N2" s="29" t="s">
        <v>2603</v>
      </c>
      <c r="O2" s="36">
        <v>20000</v>
      </c>
      <c r="P2" s="28" t="s">
        <v>2604</v>
      </c>
    </row>
    <row r="3" spans="1:16" x14ac:dyDescent="0.3">
      <c r="A3" s="25" t="s">
        <v>2679</v>
      </c>
      <c r="B3" s="26">
        <v>46093</v>
      </c>
      <c r="C3" s="26">
        <v>46098</v>
      </c>
      <c r="D3" s="28">
        <v>3319</v>
      </c>
      <c r="E3" s="28">
        <v>327</v>
      </c>
      <c r="F3" s="28">
        <v>2</v>
      </c>
      <c r="G3" s="28">
        <v>1</v>
      </c>
      <c r="H3" s="28">
        <v>81778</v>
      </c>
      <c r="I3" s="28" t="s">
        <v>17</v>
      </c>
      <c r="J3" s="28">
        <v>15806130</v>
      </c>
      <c r="K3" s="28" t="s">
        <v>2130</v>
      </c>
      <c r="L3" t="s">
        <v>2132</v>
      </c>
      <c r="M3" s="37">
        <v>199900</v>
      </c>
      <c r="N3" s="29" t="str">
        <f>N2</f>
        <v>SP</v>
      </c>
      <c r="O3" s="36">
        <v>20000</v>
      </c>
      <c r="P3" s="28" t="str">
        <f>P2</f>
        <v>SPECIAL PRICE</v>
      </c>
    </row>
    <row r="4" spans="1:16" x14ac:dyDescent="0.3">
      <c r="A4" s="25" t="s">
        <v>2679</v>
      </c>
      <c r="B4" s="26">
        <v>46093</v>
      </c>
      <c r="C4" s="26">
        <v>46098</v>
      </c>
      <c r="D4" s="28">
        <v>3319</v>
      </c>
      <c r="E4" s="28">
        <v>327</v>
      </c>
      <c r="F4" s="28">
        <v>2</v>
      </c>
      <c r="G4" s="28">
        <v>1</v>
      </c>
      <c r="H4" s="28">
        <v>81778</v>
      </c>
      <c r="I4" s="28" t="s">
        <v>17</v>
      </c>
      <c r="J4" s="28">
        <v>15806149</v>
      </c>
      <c r="K4" s="28" t="s">
        <v>2130</v>
      </c>
      <c r="L4" t="s">
        <v>2133</v>
      </c>
      <c r="M4" s="37">
        <v>199900</v>
      </c>
      <c r="N4" s="29" t="str">
        <f>N3</f>
        <v>SP</v>
      </c>
      <c r="O4" s="36">
        <v>20000</v>
      </c>
      <c r="P4" s="28" t="str">
        <f>P3</f>
        <v>SPECIAL PRICE</v>
      </c>
    </row>
    <row r="5" spans="1:16" x14ac:dyDescent="0.3">
      <c r="A5" s="25" t="s">
        <v>2679</v>
      </c>
      <c r="B5" s="26">
        <v>46093</v>
      </c>
      <c r="C5" s="26">
        <v>46098</v>
      </c>
      <c r="D5" s="28">
        <v>3319</v>
      </c>
      <c r="E5" s="28">
        <v>327</v>
      </c>
      <c r="F5" s="28">
        <v>2</v>
      </c>
      <c r="G5" s="28">
        <v>1</v>
      </c>
      <c r="H5" s="28">
        <v>81778</v>
      </c>
      <c r="I5" s="28" t="s">
        <v>17</v>
      </c>
      <c r="J5" s="28">
        <v>15806158</v>
      </c>
      <c r="K5" s="28" t="s">
        <v>2130</v>
      </c>
      <c r="L5" t="s">
        <v>2134</v>
      </c>
      <c r="M5" s="37">
        <v>199900</v>
      </c>
      <c r="N5" s="29" t="str">
        <f>N4</f>
        <v>SP</v>
      </c>
      <c r="O5" s="36">
        <v>20000</v>
      </c>
      <c r="P5" s="28" t="str">
        <f>P4</f>
        <v>SPECIAL PRICE</v>
      </c>
    </row>
    <row r="6" spans="1:16" x14ac:dyDescent="0.3">
      <c r="A6" s="25" t="s">
        <v>2679</v>
      </c>
      <c r="B6" s="26">
        <v>46093</v>
      </c>
      <c r="C6" s="26">
        <v>46098</v>
      </c>
      <c r="D6" s="28">
        <v>3319</v>
      </c>
      <c r="E6" s="2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15806112</v>
      </c>
      <c r="K6" s="28" t="s">
        <v>2130</v>
      </c>
      <c r="L6" t="s">
        <v>2136</v>
      </c>
      <c r="M6" s="37">
        <v>199900</v>
      </c>
      <c r="N6" s="29" t="str">
        <f>N5</f>
        <v>SP</v>
      </c>
      <c r="O6" s="36">
        <v>20000</v>
      </c>
      <c r="P6" s="28" t="str">
        <f>P5</f>
        <v>SPECIAL PRICE</v>
      </c>
    </row>
  </sheetData>
  <phoneticPr fontId="14" type="noConversion"/>
  <conditionalFormatting sqref="J1">
    <cfRule type="duplicateValues" dxfId="401" priority="1"/>
    <cfRule type="duplicateValues" dxfId="400" priority="2"/>
    <cfRule type="duplicateValues" dxfId="399" priority="3"/>
    <cfRule type="duplicateValues" dxfId="398" priority="4"/>
    <cfRule type="duplicateValues" dxfId="397" priority="5"/>
    <cfRule type="duplicateValues" dxfId="396" priority="6"/>
    <cfRule type="duplicateValues" dxfId="395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zoomScale="90" zoomScaleNormal="90" workbookViewId="0">
      <selection activeCell="K17" sqref="K17"/>
    </sheetView>
  </sheetViews>
  <sheetFormatPr defaultColWidth="19.44140625" defaultRowHeight="14.4" x14ac:dyDescent="0.3"/>
  <cols>
    <col min="1" max="1" width="20.6640625" style="46" customWidth="1"/>
    <col min="2" max="2" width="11.6640625" style="75" customWidth="1"/>
    <col min="3" max="3" width="11.6640625" style="73" customWidth="1"/>
    <col min="4" max="4" width="8.6640625" style="77" customWidth="1"/>
    <col min="5" max="7" width="8.6640625" style="76" customWidth="1"/>
    <col min="8" max="10" width="11.6640625" style="76" customWidth="1"/>
    <col min="11" max="11" width="11.6640625" style="70" customWidth="1"/>
    <col min="12" max="12" width="35.6640625" style="70" customWidth="1"/>
    <col min="13" max="13" width="15.6640625" style="74" customWidth="1"/>
    <col min="14" max="14" width="8.6640625" style="78" customWidth="1"/>
    <col min="15" max="15" width="15.6640625" style="74" customWidth="1"/>
    <col min="16" max="16" width="15.6640625" style="70" customWidth="1"/>
    <col min="17" max="16384" width="19.44140625" style="70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46" t="s">
        <v>2143</v>
      </c>
      <c r="B2" s="26">
        <v>46093</v>
      </c>
      <c r="C2" s="26">
        <v>46098</v>
      </c>
      <c r="D2" s="71">
        <v>3319</v>
      </c>
      <c r="E2" s="25">
        <v>327</v>
      </c>
      <c r="F2" s="46">
        <v>2</v>
      </c>
      <c r="G2" s="46">
        <v>1</v>
      </c>
      <c r="H2" s="46">
        <v>80700</v>
      </c>
      <c r="I2" s="46" t="s">
        <v>17</v>
      </c>
      <c r="J2" s="46">
        <v>20896202</v>
      </c>
      <c r="K2" s="44" t="s">
        <v>32</v>
      </c>
      <c r="L2" s="44" t="s">
        <v>33</v>
      </c>
      <c r="M2" s="72">
        <v>119900</v>
      </c>
      <c r="N2" s="64">
        <v>0.95</v>
      </c>
      <c r="O2" s="72">
        <f>M2*5%</f>
        <v>5995</v>
      </c>
      <c r="P2" s="44" t="s">
        <v>0</v>
      </c>
    </row>
    <row r="3" spans="1:16" x14ac:dyDescent="0.3">
      <c r="A3" s="46" t="s">
        <v>2143</v>
      </c>
      <c r="B3" s="26">
        <v>46093</v>
      </c>
      <c r="C3" s="26">
        <v>46098</v>
      </c>
      <c r="D3" s="71">
        <v>3319</v>
      </c>
      <c r="E3" s="25">
        <v>327</v>
      </c>
      <c r="F3" s="46">
        <v>2</v>
      </c>
      <c r="G3" s="46">
        <v>1</v>
      </c>
      <c r="H3" s="46">
        <v>80700</v>
      </c>
      <c r="I3" s="46" t="s">
        <v>17</v>
      </c>
      <c r="J3" s="46">
        <v>20963737</v>
      </c>
      <c r="K3" s="44" t="s">
        <v>34</v>
      </c>
      <c r="L3" s="44" t="s">
        <v>35</v>
      </c>
      <c r="M3" s="72">
        <v>149900</v>
      </c>
      <c r="N3" s="64">
        <v>0.95</v>
      </c>
      <c r="O3" s="72">
        <f t="shared" ref="O3:O66" si="0">M3*5%</f>
        <v>7495</v>
      </c>
      <c r="P3" s="44" t="s">
        <v>0</v>
      </c>
    </row>
    <row r="4" spans="1:16" x14ac:dyDescent="0.3">
      <c r="A4" s="46" t="s">
        <v>2143</v>
      </c>
      <c r="B4" s="26">
        <v>46093</v>
      </c>
      <c r="C4" s="26">
        <v>46098</v>
      </c>
      <c r="D4" s="71">
        <v>3319</v>
      </c>
      <c r="E4" s="25">
        <v>327</v>
      </c>
      <c r="F4" s="46">
        <v>2</v>
      </c>
      <c r="G4" s="46">
        <v>1</v>
      </c>
      <c r="H4" s="46">
        <v>80700</v>
      </c>
      <c r="I4" s="46" t="s">
        <v>17</v>
      </c>
      <c r="J4" s="46">
        <v>20963817</v>
      </c>
      <c r="K4" s="44" t="s">
        <v>36</v>
      </c>
      <c r="L4" s="44" t="s">
        <v>37</v>
      </c>
      <c r="M4" s="72">
        <v>149900</v>
      </c>
      <c r="N4" s="64">
        <v>0.95</v>
      </c>
      <c r="O4" s="72">
        <f t="shared" si="0"/>
        <v>7495</v>
      </c>
      <c r="P4" s="44" t="s">
        <v>0</v>
      </c>
    </row>
    <row r="5" spans="1:16" x14ac:dyDescent="0.3">
      <c r="A5" s="46" t="s">
        <v>2143</v>
      </c>
      <c r="B5" s="26">
        <v>46093</v>
      </c>
      <c r="C5" s="26">
        <v>46098</v>
      </c>
      <c r="D5" s="71">
        <v>3319</v>
      </c>
      <c r="E5" s="25">
        <v>327</v>
      </c>
      <c r="F5" s="46">
        <v>2</v>
      </c>
      <c r="G5" s="46">
        <v>1</v>
      </c>
      <c r="H5" s="46">
        <v>80700</v>
      </c>
      <c r="I5" s="46" t="s">
        <v>17</v>
      </c>
      <c r="J5" s="46">
        <v>21087558</v>
      </c>
      <c r="K5" s="44" t="s">
        <v>38</v>
      </c>
      <c r="L5" s="44" t="s">
        <v>39</v>
      </c>
      <c r="M5" s="72">
        <v>119900</v>
      </c>
      <c r="N5" s="64">
        <v>0.95</v>
      </c>
      <c r="O5" s="72">
        <f t="shared" si="0"/>
        <v>5995</v>
      </c>
      <c r="P5" s="44" t="s">
        <v>0</v>
      </c>
    </row>
    <row r="6" spans="1:16" x14ac:dyDescent="0.3">
      <c r="A6" s="46" t="s">
        <v>2143</v>
      </c>
      <c r="B6" s="26">
        <v>46093</v>
      </c>
      <c r="C6" s="26">
        <v>46098</v>
      </c>
      <c r="D6" s="71">
        <v>3319</v>
      </c>
      <c r="E6" s="25">
        <v>327</v>
      </c>
      <c r="F6" s="46">
        <v>2</v>
      </c>
      <c r="G6" s="46">
        <v>1</v>
      </c>
      <c r="H6" s="46">
        <v>80700</v>
      </c>
      <c r="I6" s="46" t="s">
        <v>17</v>
      </c>
      <c r="J6" s="46">
        <v>21429474</v>
      </c>
      <c r="K6" s="44" t="s">
        <v>40</v>
      </c>
      <c r="L6" s="44" t="s">
        <v>41</v>
      </c>
      <c r="M6" s="72">
        <v>129900</v>
      </c>
      <c r="N6" s="64">
        <v>0.95</v>
      </c>
      <c r="O6" s="72">
        <f t="shared" si="0"/>
        <v>6495</v>
      </c>
      <c r="P6" s="44" t="s">
        <v>0</v>
      </c>
    </row>
    <row r="7" spans="1:16" x14ac:dyDescent="0.3">
      <c r="A7" s="46" t="s">
        <v>2143</v>
      </c>
      <c r="B7" s="26">
        <v>46093</v>
      </c>
      <c r="C7" s="26">
        <v>46098</v>
      </c>
      <c r="D7" s="71">
        <v>3319</v>
      </c>
      <c r="E7" s="25">
        <v>327</v>
      </c>
      <c r="F7" s="46">
        <v>2</v>
      </c>
      <c r="G7" s="46">
        <v>1</v>
      </c>
      <c r="H7" s="46">
        <v>80700</v>
      </c>
      <c r="I7" s="46" t="s">
        <v>17</v>
      </c>
      <c r="J7" s="46">
        <v>21429492</v>
      </c>
      <c r="K7" s="44" t="s">
        <v>40</v>
      </c>
      <c r="L7" s="44" t="s">
        <v>42</v>
      </c>
      <c r="M7" s="72">
        <v>129900</v>
      </c>
      <c r="N7" s="64">
        <v>0.95</v>
      </c>
      <c r="O7" s="72">
        <f t="shared" si="0"/>
        <v>6495</v>
      </c>
      <c r="P7" s="44" t="s">
        <v>0</v>
      </c>
    </row>
    <row r="8" spans="1:16" x14ac:dyDescent="0.3">
      <c r="A8" s="46" t="s">
        <v>2143</v>
      </c>
      <c r="B8" s="26">
        <v>46093</v>
      </c>
      <c r="C8" s="26">
        <v>46098</v>
      </c>
      <c r="D8" s="71">
        <v>3319</v>
      </c>
      <c r="E8" s="25">
        <v>327</v>
      </c>
      <c r="F8" s="46">
        <v>2</v>
      </c>
      <c r="G8" s="46">
        <v>1</v>
      </c>
      <c r="H8" s="46">
        <v>80700</v>
      </c>
      <c r="I8" s="46" t="s">
        <v>17</v>
      </c>
      <c r="J8" s="46">
        <v>22439667</v>
      </c>
      <c r="K8" s="44" t="s">
        <v>43</v>
      </c>
      <c r="L8" s="44" t="s">
        <v>44</v>
      </c>
      <c r="M8" s="72">
        <v>139900</v>
      </c>
      <c r="N8" s="64">
        <v>0.95</v>
      </c>
      <c r="O8" s="72">
        <f t="shared" si="0"/>
        <v>6995</v>
      </c>
      <c r="P8" s="44" t="s">
        <v>0</v>
      </c>
    </row>
    <row r="9" spans="1:16" x14ac:dyDescent="0.3">
      <c r="A9" s="46" t="s">
        <v>2143</v>
      </c>
      <c r="B9" s="26">
        <v>46093</v>
      </c>
      <c r="C9" s="26">
        <v>46098</v>
      </c>
      <c r="D9" s="71">
        <v>3319</v>
      </c>
      <c r="E9" s="25">
        <v>327</v>
      </c>
      <c r="F9" s="46">
        <v>2</v>
      </c>
      <c r="G9" s="46">
        <v>1</v>
      </c>
      <c r="H9" s="46">
        <v>80700</v>
      </c>
      <c r="I9" s="46" t="s">
        <v>17</v>
      </c>
      <c r="J9" s="46">
        <v>22439676</v>
      </c>
      <c r="K9" s="44" t="s">
        <v>43</v>
      </c>
      <c r="L9" s="44" t="s">
        <v>45</v>
      </c>
      <c r="M9" s="72">
        <v>139900</v>
      </c>
      <c r="N9" s="64">
        <v>0.95</v>
      </c>
      <c r="O9" s="72">
        <f t="shared" si="0"/>
        <v>6995</v>
      </c>
      <c r="P9" s="44" t="s">
        <v>0</v>
      </c>
    </row>
    <row r="10" spans="1:16" x14ac:dyDescent="0.3">
      <c r="A10" s="46" t="s">
        <v>2143</v>
      </c>
      <c r="B10" s="26">
        <v>46093</v>
      </c>
      <c r="C10" s="26">
        <v>46098</v>
      </c>
      <c r="D10" s="71">
        <v>3319</v>
      </c>
      <c r="E10" s="25">
        <v>327</v>
      </c>
      <c r="F10" s="46">
        <v>2</v>
      </c>
      <c r="G10" s="46">
        <v>1</v>
      </c>
      <c r="H10" s="46">
        <v>80700</v>
      </c>
      <c r="I10" s="46" t="s">
        <v>17</v>
      </c>
      <c r="J10" s="46">
        <v>22439818</v>
      </c>
      <c r="K10" s="44" t="s">
        <v>46</v>
      </c>
      <c r="L10" s="44" t="s">
        <v>47</v>
      </c>
      <c r="M10" s="72">
        <v>139900</v>
      </c>
      <c r="N10" s="64">
        <v>0.95</v>
      </c>
      <c r="O10" s="72">
        <f t="shared" si="0"/>
        <v>6995</v>
      </c>
      <c r="P10" s="44" t="s">
        <v>0</v>
      </c>
    </row>
    <row r="11" spans="1:16" x14ac:dyDescent="0.3">
      <c r="A11" s="46" t="s">
        <v>2143</v>
      </c>
      <c r="B11" s="26">
        <v>46093</v>
      </c>
      <c r="C11" s="26">
        <v>46098</v>
      </c>
      <c r="D11" s="71">
        <v>3319</v>
      </c>
      <c r="E11" s="25">
        <v>327</v>
      </c>
      <c r="F11" s="46">
        <v>2</v>
      </c>
      <c r="G11" s="46">
        <v>1</v>
      </c>
      <c r="H11" s="46">
        <v>80700</v>
      </c>
      <c r="I11" s="46" t="s">
        <v>17</v>
      </c>
      <c r="J11" s="46">
        <v>23791462</v>
      </c>
      <c r="K11" s="44" t="s">
        <v>48</v>
      </c>
      <c r="L11" s="44" t="s">
        <v>49</v>
      </c>
      <c r="M11" s="72">
        <v>149900</v>
      </c>
      <c r="N11" s="64">
        <v>0.95</v>
      </c>
      <c r="O11" s="72">
        <f t="shared" si="0"/>
        <v>7495</v>
      </c>
      <c r="P11" s="44" t="s">
        <v>0</v>
      </c>
    </row>
    <row r="12" spans="1:16" x14ac:dyDescent="0.3">
      <c r="A12" s="46" t="s">
        <v>2143</v>
      </c>
      <c r="B12" s="26">
        <v>46093</v>
      </c>
      <c r="C12" s="26">
        <v>46098</v>
      </c>
      <c r="D12" s="71">
        <v>3319</v>
      </c>
      <c r="E12" s="25">
        <v>327</v>
      </c>
      <c r="F12" s="46">
        <v>2</v>
      </c>
      <c r="G12" s="46">
        <v>1</v>
      </c>
      <c r="H12" s="46">
        <v>80700</v>
      </c>
      <c r="I12" s="46" t="s">
        <v>17</v>
      </c>
      <c r="J12" s="46">
        <v>23791499</v>
      </c>
      <c r="K12" s="44" t="s">
        <v>50</v>
      </c>
      <c r="L12" s="44" t="s">
        <v>51</v>
      </c>
      <c r="M12" s="72">
        <v>149900</v>
      </c>
      <c r="N12" s="64">
        <v>0.95</v>
      </c>
      <c r="O12" s="72">
        <f t="shared" si="0"/>
        <v>7495</v>
      </c>
      <c r="P12" s="44" t="s">
        <v>0</v>
      </c>
    </row>
    <row r="13" spans="1:16" x14ac:dyDescent="0.3">
      <c r="A13" s="46" t="s">
        <v>2143</v>
      </c>
      <c r="B13" s="26">
        <v>46093</v>
      </c>
      <c r="C13" s="26">
        <v>46098</v>
      </c>
      <c r="D13" s="71">
        <v>3319</v>
      </c>
      <c r="E13" s="25">
        <v>327</v>
      </c>
      <c r="F13" s="46">
        <v>2</v>
      </c>
      <c r="G13" s="46">
        <v>1</v>
      </c>
      <c r="H13" s="46">
        <v>80700</v>
      </c>
      <c r="I13" s="46" t="s">
        <v>17</v>
      </c>
      <c r="J13" s="46">
        <v>23791506</v>
      </c>
      <c r="K13" s="44" t="s">
        <v>50</v>
      </c>
      <c r="L13" s="44" t="s">
        <v>52</v>
      </c>
      <c r="M13" s="72">
        <v>149900</v>
      </c>
      <c r="N13" s="64">
        <v>0.95</v>
      </c>
      <c r="O13" s="72">
        <f t="shared" si="0"/>
        <v>7495</v>
      </c>
      <c r="P13" s="44" t="s">
        <v>0</v>
      </c>
    </row>
    <row r="14" spans="1:16" x14ac:dyDescent="0.3">
      <c r="A14" s="46" t="s">
        <v>2143</v>
      </c>
      <c r="B14" s="26">
        <v>46093</v>
      </c>
      <c r="C14" s="26">
        <v>46098</v>
      </c>
      <c r="D14" s="71">
        <v>3319</v>
      </c>
      <c r="E14" s="25">
        <v>327</v>
      </c>
      <c r="F14" s="46">
        <v>2</v>
      </c>
      <c r="G14" s="46">
        <v>1</v>
      </c>
      <c r="H14" s="46">
        <v>80700</v>
      </c>
      <c r="I14" s="46" t="s">
        <v>17</v>
      </c>
      <c r="J14" s="46">
        <v>23791515</v>
      </c>
      <c r="K14" s="44" t="s">
        <v>50</v>
      </c>
      <c r="L14" s="44" t="s">
        <v>53</v>
      </c>
      <c r="M14" s="72">
        <v>149900</v>
      </c>
      <c r="N14" s="64">
        <v>0.95</v>
      </c>
      <c r="O14" s="72">
        <f t="shared" si="0"/>
        <v>7495</v>
      </c>
      <c r="P14" s="44" t="s">
        <v>0</v>
      </c>
    </row>
    <row r="15" spans="1:16" x14ac:dyDescent="0.3">
      <c r="A15" s="46" t="s">
        <v>2143</v>
      </c>
      <c r="B15" s="26">
        <v>46093</v>
      </c>
      <c r="C15" s="26">
        <v>46098</v>
      </c>
      <c r="D15" s="71">
        <v>3319</v>
      </c>
      <c r="E15" s="25">
        <v>327</v>
      </c>
      <c r="F15" s="46">
        <v>2</v>
      </c>
      <c r="G15" s="46">
        <v>1</v>
      </c>
      <c r="H15" s="46">
        <v>80700</v>
      </c>
      <c r="I15" s="46" t="s">
        <v>17</v>
      </c>
      <c r="J15" s="46">
        <v>23791533</v>
      </c>
      <c r="K15" s="44" t="s">
        <v>54</v>
      </c>
      <c r="L15" s="44" t="s">
        <v>55</v>
      </c>
      <c r="M15" s="72">
        <v>149900</v>
      </c>
      <c r="N15" s="64">
        <v>0.95</v>
      </c>
      <c r="O15" s="72">
        <f t="shared" si="0"/>
        <v>7495</v>
      </c>
      <c r="P15" s="44" t="s">
        <v>0</v>
      </c>
    </row>
    <row r="16" spans="1:16" x14ac:dyDescent="0.3">
      <c r="A16" s="46" t="s">
        <v>2143</v>
      </c>
      <c r="B16" s="26">
        <v>46093</v>
      </c>
      <c r="C16" s="26">
        <v>46098</v>
      </c>
      <c r="D16" s="71">
        <v>3319</v>
      </c>
      <c r="E16" s="25">
        <v>327</v>
      </c>
      <c r="F16" s="46">
        <v>2</v>
      </c>
      <c r="G16" s="46">
        <v>1</v>
      </c>
      <c r="H16" s="46">
        <v>80700</v>
      </c>
      <c r="I16" s="46" t="s">
        <v>17</v>
      </c>
      <c r="J16" s="46">
        <v>23791542</v>
      </c>
      <c r="K16" s="44" t="s">
        <v>54</v>
      </c>
      <c r="L16" s="44" t="s">
        <v>56</v>
      </c>
      <c r="M16" s="72">
        <v>149900</v>
      </c>
      <c r="N16" s="64">
        <v>0.95</v>
      </c>
      <c r="O16" s="72">
        <f t="shared" si="0"/>
        <v>7495</v>
      </c>
      <c r="P16" s="44" t="s">
        <v>0</v>
      </c>
    </row>
    <row r="17" spans="1:16" x14ac:dyDescent="0.3">
      <c r="A17" s="46" t="s">
        <v>2143</v>
      </c>
      <c r="B17" s="26">
        <v>46093</v>
      </c>
      <c r="C17" s="26">
        <v>46098</v>
      </c>
      <c r="D17" s="71">
        <v>3319</v>
      </c>
      <c r="E17" s="25">
        <v>327</v>
      </c>
      <c r="F17" s="46">
        <v>2</v>
      </c>
      <c r="G17" s="46">
        <v>1</v>
      </c>
      <c r="H17" s="46">
        <v>80700</v>
      </c>
      <c r="I17" s="46" t="s">
        <v>17</v>
      </c>
      <c r="J17" s="46">
        <v>23791551</v>
      </c>
      <c r="K17" s="44" t="s">
        <v>54</v>
      </c>
      <c r="L17" s="44" t="s">
        <v>57</v>
      </c>
      <c r="M17" s="72">
        <v>149900</v>
      </c>
      <c r="N17" s="64">
        <v>0.95</v>
      </c>
      <c r="O17" s="72">
        <f t="shared" si="0"/>
        <v>7495</v>
      </c>
      <c r="P17" s="44" t="s">
        <v>0</v>
      </c>
    </row>
    <row r="18" spans="1:16" x14ac:dyDescent="0.3">
      <c r="A18" s="46" t="s">
        <v>2143</v>
      </c>
      <c r="B18" s="26">
        <v>46093</v>
      </c>
      <c r="C18" s="26">
        <v>46098</v>
      </c>
      <c r="D18" s="71">
        <v>3319</v>
      </c>
      <c r="E18" s="25">
        <v>327</v>
      </c>
      <c r="F18" s="46">
        <v>2</v>
      </c>
      <c r="G18" s="46">
        <v>1</v>
      </c>
      <c r="H18" s="46">
        <v>80700</v>
      </c>
      <c r="I18" s="46" t="s">
        <v>17</v>
      </c>
      <c r="J18" s="46">
        <v>23791560</v>
      </c>
      <c r="K18" s="44" t="s">
        <v>54</v>
      </c>
      <c r="L18" s="44" t="s">
        <v>58</v>
      </c>
      <c r="M18" s="72">
        <v>149900</v>
      </c>
      <c r="N18" s="64">
        <v>0.95</v>
      </c>
      <c r="O18" s="72">
        <f t="shared" si="0"/>
        <v>7495</v>
      </c>
      <c r="P18" s="44" t="s">
        <v>0</v>
      </c>
    </row>
    <row r="19" spans="1:16" x14ac:dyDescent="0.3">
      <c r="A19" s="46" t="s">
        <v>2143</v>
      </c>
      <c r="B19" s="26">
        <v>46093</v>
      </c>
      <c r="C19" s="26">
        <v>46098</v>
      </c>
      <c r="D19" s="71">
        <v>3319</v>
      </c>
      <c r="E19" s="25">
        <v>327</v>
      </c>
      <c r="F19" s="46">
        <v>2</v>
      </c>
      <c r="G19" s="46">
        <v>1</v>
      </c>
      <c r="H19" s="46">
        <v>80700</v>
      </c>
      <c r="I19" s="46" t="s">
        <v>17</v>
      </c>
      <c r="J19" s="46">
        <v>24252873</v>
      </c>
      <c r="K19" s="44" t="s">
        <v>59</v>
      </c>
      <c r="L19" s="44" t="s">
        <v>60</v>
      </c>
      <c r="M19" s="72">
        <v>129900</v>
      </c>
      <c r="N19" s="64">
        <v>0.95</v>
      </c>
      <c r="O19" s="72">
        <f t="shared" si="0"/>
        <v>6495</v>
      </c>
      <c r="P19" s="44" t="s">
        <v>0</v>
      </c>
    </row>
    <row r="20" spans="1:16" x14ac:dyDescent="0.3">
      <c r="A20" s="46" t="s">
        <v>2143</v>
      </c>
      <c r="B20" s="26">
        <v>46093</v>
      </c>
      <c r="C20" s="26">
        <v>46098</v>
      </c>
      <c r="D20" s="71">
        <v>3319</v>
      </c>
      <c r="E20" s="25">
        <v>327</v>
      </c>
      <c r="F20" s="46">
        <v>2</v>
      </c>
      <c r="G20" s="46">
        <v>1</v>
      </c>
      <c r="H20" s="46">
        <v>80700</v>
      </c>
      <c r="I20" s="46" t="s">
        <v>17</v>
      </c>
      <c r="J20" s="46">
        <v>24252908</v>
      </c>
      <c r="K20" s="44" t="s">
        <v>59</v>
      </c>
      <c r="L20" s="44" t="s">
        <v>61</v>
      </c>
      <c r="M20" s="72">
        <v>129900</v>
      </c>
      <c r="N20" s="64">
        <v>0.95</v>
      </c>
      <c r="O20" s="72">
        <f t="shared" si="0"/>
        <v>6495</v>
      </c>
      <c r="P20" s="44" t="s">
        <v>0</v>
      </c>
    </row>
    <row r="21" spans="1:16" x14ac:dyDescent="0.3">
      <c r="A21" s="46" t="s">
        <v>2143</v>
      </c>
      <c r="B21" s="26">
        <v>46093</v>
      </c>
      <c r="C21" s="26">
        <v>46098</v>
      </c>
      <c r="D21" s="71">
        <v>3319</v>
      </c>
      <c r="E21" s="25">
        <v>327</v>
      </c>
      <c r="F21" s="46">
        <v>2</v>
      </c>
      <c r="G21" s="46">
        <v>1</v>
      </c>
      <c r="H21" s="46">
        <v>80700</v>
      </c>
      <c r="I21" s="46" t="s">
        <v>17</v>
      </c>
      <c r="J21" s="46">
        <v>24252917</v>
      </c>
      <c r="K21" s="44" t="s">
        <v>62</v>
      </c>
      <c r="L21" s="44" t="s">
        <v>63</v>
      </c>
      <c r="M21" s="72">
        <v>129900</v>
      </c>
      <c r="N21" s="64">
        <v>0.95</v>
      </c>
      <c r="O21" s="72">
        <f t="shared" si="0"/>
        <v>6495</v>
      </c>
      <c r="P21" s="44" t="s">
        <v>0</v>
      </c>
    </row>
    <row r="22" spans="1:16" x14ac:dyDescent="0.3">
      <c r="A22" s="46" t="s">
        <v>2143</v>
      </c>
      <c r="B22" s="26">
        <v>46093</v>
      </c>
      <c r="C22" s="26">
        <v>46098</v>
      </c>
      <c r="D22" s="71">
        <v>3319</v>
      </c>
      <c r="E22" s="25">
        <v>327</v>
      </c>
      <c r="F22" s="46">
        <v>2</v>
      </c>
      <c r="G22" s="46">
        <v>1</v>
      </c>
      <c r="H22" s="46">
        <v>80700</v>
      </c>
      <c r="I22" s="46" t="s">
        <v>17</v>
      </c>
      <c r="J22" s="46">
        <v>24252926</v>
      </c>
      <c r="K22" s="44" t="s">
        <v>62</v>
      </c>
      <c r="L22" s="44" t="s">
        <v>64</v>
      </c>
      <c r="M22" s="72">
        <v>129900</v>
      </c>
      <c r="N22" s="64">
        <v>0.95</v>
      </c>
      <c r="O22" s="72">
        <f t="shared" si="0"/>
        <v>6495</v>
      </c>
      <c r="P22" s="44" t="s">
        <v>0</v>
      </c>
    </row>
    <row r="23" spans="1:16" x14ac:dyDescent="0.3">
      <c r="A23" s="46" t="s">
        <v>2143</v>
      </c>
      <c r="B23" s="26">
        <v>46093</v>
      </c>
      <c r="C23" s="26">
        <v>46098</v>
      </c>
      <c r="D23" s="71">
        <v>3319</v>
      </c>
      <c r="E23" s="25">
        <v>327</v>
      </c>
      <c r="F23" s="46">
        <v>2</v>
      </c>
      <c r="G23" s="46">
        <v>1</v>
      </c>
      <c r="H23" s="46">
        <v>80700</v>
      </c>
      <c r="I23" s="46" t="s">
        <v>17</v>
      </c>
      <c r="J23" s="46">
        <v>24252935</v>
      </c>
      <c r="K23" s="44" t="s">
        <v>62</v>
      </c>
      <c r="L23" s="44" t="s">
        <v>65</v>
      </c>
      <c r="M23" s="72">
        <v>129900</v>
      </c>
      <c r="N23" s="64">
        <v>0.95</v>
      </c>
      <c r="O23" s="72">
        <f t="shared" si="0"/>
        <v>6495</v>
      </c>
      <c r="P23" s="44" t="s">
        <v>0</v>
      </c>
    </row>
    <row r="24" spans="1:16" x14ac:dyDescent="0.3">
      <c r="A24" s="46" t="s">
        <v>2143</v>
      </c>
      <c r="B24" s="26">
        <v>46093</v>
      </c>
      <c r="C24" s="26">
        <v>46098</v>
      </c>
      <c r="D24" s="71">
        <v>3319</v>
      </c>
      <c r="E24" s="25">
        <v>327</v>
      </c>
      <c r="F24" s="46">
        <v>2</v>
      </c>
      <c r="G24" s="46">
        <v>1</v>
      </c>
      <c r="H24" s="46">
        <v>80700</v>
      </c>
      <c r="I24" s="46" t="s">
        <v>17</v>
      </c>
      <c r="J24" s="46">
        <v>24252944</v>
      </c>
      <c r="K24" s="44" t="s">
        <v>62</v>
      </c>
      <c r="L24" s="44" t="s">
        <v>66</v>
      </c>
      <c r="M24" s="72">
        <v>129900</v>
      </c>
      <c r="N24" s="64">
        <v>0.95</v>
      </c>
      <c r="O24" s="72">
        <f t="shared" si="0"/>
        <v>6495</v>
      </c>
      <c r="P24" s="44" t="s">
        <v>0</v>
      </c>
    </row>
    <row r="25" spans="1:16" x14ac:dyDescent="0.3">
      <c r="A25" s="46" t="s">
        <v>2143</v>
      </c>
      <c r="B25" s="26">
        <v>46093</v>
      </c>
      <c r="C25" s="26">
        <v>46098</v>
      </c>
      <c r="D25" s="71">
        <v>3319</v>
      </c>
      <c r="E25" s="25">
        <v>327</v>
      </c>
      <c r="F25" s="46">
        <v>2</v>
      </c>
      <c r="G25" s="46">
        <v>1</v>
      </c>
      <c r="H25" s="46">
        <v>80700</v>
      </c>
      <c r="I25" s="46" t="s">
        <v>17</v>
      </c>
      <c r="J25" s="46">
        <v>24435069</v>
      </c>
      <c r="K25" s="44" t="s">
        <v>67</v>
      </c>
      <c r="L25" s="44" t="s">
        <v>68</v>
      </c>
      <c r="M25" s="72">
        <v>139900</v>
      </c>
      <c r="N25" s="64">
        <v>0.95</v>
      </c>
      <c r="O25" s="72">
        <f t="shared" si="0"/>
        <v>6995</v>
      </c>
      <c r="P25" s="44" t="s">
        <v>0</v>
      </c>
    </row>
    <row r="26" spans="1:16" x14ac:dyDescent="0.3">
      <c r="A26" s="46" t="s">
        <v>2143</v>
      </c>
      <c r="B26" s="26">
        <v>46093</v>
      </c>
      <c r="C26" s="26">
        <v>46098</v>
      </c>
      <c r="D26" s="71">
        <v>3319</v>
      </c>
      <c r="E26" s="25">
        <v>327</v>
      </c>
      <c r="F26" s="46">
        <v>2</v>
      </c>
      <c r="G26" s="46">
        <v>1</v>
      </c>
      <c r="H26" s="46">
        <v>80700</v>
      </c>
      <c r="I26" s="46" t="s">
        <v>17</v>
      </c>
      <c r="J26" s="46">
        <v>24435103</v>
      </c>
      <c r="K26" s="44" t="s">
        <v>69</v>
      </c>
      <c r="L26" s="44" t="s">
        <v>70</v>
      </c>
      <c r="M26" s="72">
        <v>139900</v>
      </c>
      <c r="N26" s="64">
        <v>0.95</v>
      </c>
      <c r="O26" s="72">
        <f t="shared" si="0"/>
        <v>6995</v>
      </c>
      <c r="P26" s="44" t="s">
        <v>0</v>
      </c>
    </row>
    <row r="27" spans="1:16" x14ac:dyDescent="0.3">
      <c r="A27" s="46" t="s">
        <v>2143</v>
      </c>
      <c r="B27" s="26">
        <v>46093</v>
      </c>
      <c r="C27" s="26">
        <v>46098</v>
      </c>
      <c r="D27" s="71">
        <v>3319</v>
      </c>
      <c r="E27" s="25">
        <v>327</v>
      </c>
      <c r="F27" s="46">
        <v>2</v>
      </c>
      <c r="G27" s="46">
        <v>1</v>
      </c>
      <c r="H27" s="46">
        <v>80700</v>
      </c>
      <c r="I27" s="46" t="s">
        <v>17</v>
      </c>
      <c r="J27" s="46">
        <v>24435112</v>
      </c>
      <c r="K27" s="44" t="s">
        <v>69</v>
      </c>
      <c r="L27" s="44" t="s">
        <v>71</v>
      </c>
      <c r="M27" s="72">
        <v>139900</v>
      </c>
      <c r="N27" s="64">
        <v>0.95</v>
      </c>
      <c r="O27" s="72">
        <f t="shared" si="0"/>
        <v>6995</v>
      </c>
      <c r="P27" s="44" t="s">
        <v>0</v>
      </c>
    </row>
    <row r="28" spans="1:16" x14ac:dyDescent="0.3">
      <c r="A28" s="46" t="s">
        <v>2143</v>
      </c>
      <c r="B28" s="26">
        <v>46093</v>
      </c>
      <c r="C28" s="26">
        <v>46098</v>
      </c>
      <c r="D28" s="71">
        <v>3319</v>
      </c>
      <c r="E28" s="25">
        <v>327</v>
      </c>
      <c r="F28" s="46">
        <v>2</v>
      </c>
      <c r="G28" s="46">
        <v>1</v>
      </c>
      <c r="H28" s="46">
        <v>80700</v>
      </c>
      <c r="I28" s="46" t="s">
        <v>17</v>
      </c>
      <c r="J28" s="46">
        <v>24435130</v>
      </c>
      <c r="K28" s="44" t="s">
        <v>69</v>
      </c>
      <c r="L28" s="44" t="s">
        <v>72</v>
      </c>
      <c r="M28" s="72">
        <v>139900</v>
      </c>
      <c r="N28" s="64">
        <v>0.95</v>
      </c>
      <c r="O28" s="72">
        <f t="shared" si="0"/>
        <v>6995</v>
      </c>
      <c r="P28" s="44" t="s">
        <v>0</v>
      </c>
    </row>
    <row r="29" spans="1:16" x14ac:dyDescent="0.3">
      <c r="A29" s="46" t="s">
        <v>2143</v>
      </c>
      <c r="B29" s="26">
        <v>46093</v>
      </c>
      <c r="C29" s="26">
        <v>46098</v>
      </c>
      <c r="D29" s="71">
        <v>3319</v>
      </c>
      <c r="E29" s="25">
        <v>327</v>
      </c>
      <c r="F29" s="46">
        <v>2</v>
      </c>
      <c r="G29" s="46">
        <v>1</v>
      </c>
      <c r="H29" s="46">
        <v>80700</v>
      </c>
      <c r="I29" s="46" t="s">
        <v>17</v>
      </c>
      <c r="J29" s="46">
        <v>24435149</v>
      </c>
      <c r="K29" s="44" t="s">
        <v>73</v>
      </c>
      <c r="L29" s="44" t="s">
        <v>74</v>
      </c>
      <c r="M29" s="72">
        <v>139900</v>
      </c>
      <c r="N29" s="64">
        <v>0.95</v>
      </c>
      <c r="O29" s="72">
        <f t="shared" si="0"/>
        <v>6995</v>
      </c>
      <c r="P29" s="44" t="s">
        <v>0</v>
      </c>
    </row>
    <row r="30" spans="1:16" x14ac:dyDescent="0.3">
      <c r="A30" s="46" t="s">
        <v>2143</v>
      </c>
      <c r="B30" s="26">
        <v>46093</v>
      </c>
      <c r="C30" s="26">
        <v>46098</v>
      </c>
      <c r="D30" s="71">
        <v>3319</v>
      </c>
      <c r="E30" s="25">
        <v>327</v>
      </c>
      <c r="F30" s="46">
        <v>2</v>
      </c>
      <c r="G30" s="46">
        <v>1</v>
      </c>
      <c r="H30" s="46">
        <v>80700</v>
      </c>
      <c r="I30" s="46" t="s">
        <v>17</v>
      </c>
      <c r="J30" s="46">
        <v>24435158</v>
      </c>
      <c r="K30" s="44" t="s">
        <v>73</v>
      </c>
      <c r="L30" s="44" t="s">
        <v>75</v>
      </c>
      <c r="M30" s="72">
        <v>139900</v>
      </c>
      <c r="N30" s="64">
        <v>0.95</v>
      </c>
      <c r="O30" s="72">
        <f t="shared" si="0"/>
        <v>6995</v>
      </c>
      <c r="P30" s="44" t="s">
        <v>0</v>
      </c>
    </row>
    <row r="31" spans="1:16" x14ac:dyDescent="0.3">
      <c r="A31" s="46" t="s">
        <v>2143</v>
      </c>
      <c r="B31" s="26">
        <v>46093</v>
      </c>
      <c r="C31" s="26">
        <v>46098</v>
      </c>
      <c r="D31" s="71">
        <v>3319</v>
      </c>
      <c r="E31" s="25">
        <v>327</v>
      </c>
      <c r="F31" s="46">
        <v>2</v>
      </c>
      <c r="G31" s="46">
        <v>1</v>
      </c>
      <c r="H31" s="46">
        <v>80700</v>
      </c>
      <c r="I31" s="46" t="s">
        <v>17</v>
      </c>
      <c r="J31" s="46">
        <v>24435167</v>
      </c>
      <c r="K31" s="44" t="s">
        <v>73</v>
      </c>
      <c r="L31" s="44" t="s">
        <v>76</v>
      </c>
      <c r="M31" s="72">
        <v>139900</v>
      </c>
      <c r="N31" s="64">
        <v>0.95</v>
      </c>
      <c r="O31" s="72">
        <f t="shared" si="0"/>
        <v>6995</v>
      </c>
      <c r="P31" s="44" t="s">
        <v>0</v>
      </c>
    </row>
    <row r="32" spans="1:16" x14ac:dyDescent="0.3">
      <c r="A32" s="46" t="s">
        <v>2143</v>
      </c>
      <c r="B32" s="26">
        <v>46093</v>
      </c>
      <c r="C32" s="26">
        <v>46098</v>
      </c>
      <c r="D32" s="71">
        <v>3319</v>
      </c>
      <c r="E32" s="25">
        <v>327</v>
      </c>
      <c r="F32" s="46">
        <v>2</v>
      </c>
      <c r="G32" s="46">
        <v>1</v>
      </c>
      <c r="H32" s="46">
        <v>80700</v>
      </c>
      <c r="I32" s="46" t="s">
        <v>17</v>
      </c>
      <c r="J32" s="46">
        <v>24435176</v>
      </c>
      <c r="K32" s="44" t="s">
        <v>73</v>
      </c>
      <c r="L32" s="44" t="s">
        <v>77</v>
      </c>
      <c r="M32" s="72">
        <v>139900</v>
      </c>
      <c r="N32" s="64">
        <v>0.95</v>
      </c>
      <c r="O32" s="72">
        <f t="shared" si="0"/>
        <v>6995</v>
      </c>
      <c r="P32" s="44" t="s">
        <v>0</v>
      </c>
    </row>
    <row r="33" spans="1:16" x14ac:dyDescent="0.3">
      <c r="A33" s="46" t="s">
        <v>2143</v>
      </c>
      <c r="B33" s="26">
        <v>46093</v>
      </c>
      <c r="C33" s="26">
        <v>46098</v>
      </c>
      <c r="D33" s="71">
        <v>3319</v>
      </c>
      <c r="E33" s="25">
        <v>327</v>
      </c>
      <c r="F33" s="46">
        <v>2</v>
      </c>
      <c r="G33" s="46">
        <v>1</v>
      </c>
      <c r="H33" s="46">
        <v>80700</v>
      </c>
      <c r="I33" s="46" t="s">
        <v>17</v>
      </c>
      <c r="J33" s="46">
        <v>24489083</v>
      </c>
      <c r="K33" s="44" t="s">
        <v>78</v>
      </c>
      <c r="L33" s="44" t="s">
        <v>79</v>
      </c>
      <c r="M33" s="72">
        <v>129900</v>
      </c>
      <c r="N33" s="64">
        <v>0.95</v>
      </c>
      <c r="O33" s="72">
        <f t="shared" si="0"/>
        <v>6495</v>
      </c>
      <c r="P33" s="44" t="s">
        <v>0</v>
      </c>
    </row>
    <row r="34" spans="1:16" x14ac:dyDescent="0.3">
      <c r="A34" s="46" t="s">
        <v>2143</v>
      </c>
      <c r="B34" s="26">
        <v>46093</v>
      </c>
      <c r="C34" s="26">
        <v>46098</v>
      </c>
      <c r="D34" s="71">
        <v>3319</v>
      </c>
      <c r="E34" s="25">
        <v>327</v>
      </c>
      <c r="F34" s="46">
        <v>2</v>
      </c>
      <c r="G34" s="46">
        <v>1</v>
      </c>
      <c r="H34" s="46">
        <v>80700</v>
      </c>
      <c r="I34" s="46" t="s">
        <v>17</v>
      </c>
      <c r="J34" s="46">
        <v>24489109</v>
      </c>
      <c r="K34" s="44" t="s">
        <v>78</v>
      </c>
      <c r="L34" s="44" t="s">
        <v>80</v>
      </c>
      <c r="M34" s="72">
        <v>129900</v>
      </c>
      <c r="N34" s="64">
        <v>0.95</v>
      </c>
      <c r="O34" s="72">
        <f t="shared" si="0"/>
        <v>6495</v>
      </c>
      <c r="P34" s="44" t="s">
        <v>0</v>
      </c>
    </row>
    <row r="35" spans="1:16" x14ac:dyDescent="0.3">
      <c r="A35" s="46" t="s">
        <v>2143</v>
      </c>
      <c r="B35" s="26">
        <v>46093</v>
      </c>
      <c r="C35" s="26">
        <v>46098</v>
      </c>
      <c r="D35" s="71">
        <v>3319</v>
      </c>
      <c r="E35" s="25">
        <v>327</v>
      </c>
      <c r="F35" s="46">
        <v>2</v>
      </c>
      <c r="G35" s="46">
        <v>1</v>
      </c>
      <c r="H35" s="46">
        <v>80700</v>
      </c>
      <c r="I35" s="46" t="s">
        <v>17</v>
      </c>
      <c r="J35" s="46">
        <v>24489118</v>
      </c>
      <c r="K35" s="44" t="s">
        <v>81</v>
      </c>
      <c r="L35" s="44" t="s">
        <v>82</v>
      </c>
      <c r="M35" s="72">
        <v>129900</v>
      </c>
      <c r="N35" s="64">
        <v>0.95</v>
      </c>
      <c r="O35" s="72">
        <f t="shared" si="0"/>
        <v>6495</v>
      </c>
      <c r="P35" s="44" t="s">
        <v>0</v>
      </c>
    </row>
    <row r="36" spans="1:16" x14ac:dyDescent="0.3">
      <c r="A36" s="46" t="s">
        <v>2143</v>
      </c>
      <c r="B36" s="26">
        <v>46093</v>
      </c>
      <c r="C36" s="26">
        <v>46098</v>
      </c>
      <c r="D36" s="71">
        <v>3319</v>
      </c>
      <c r="E36" s="25">
        <v>327</v>
      </c>
      <c r="F36" s="46">
        <v>2</v>
      </c>
      <c r="G36" s="46">
        <v>1</v>
      </c>
      <c r="H36" s="46">
        <v>80700</v>
      </c>
      <c r="I36" s="46" t="s">
        <v>17</v>
      </c>
      <c r="J36" s="46">
        <v>24489127</v>
      </c>
      <c r="K36" s="44" t="s">
        <v>81</v>
      </c>
      <c r="L36" s="44" t="s">
        <v>83</v>
      </c>
      <c r="M36" s="72">
        <v>129900</v>
      </c>
      <c r="N36" s="64">
        <v>0.95</v>
      </c>
      <c r="O36" s="72">
        <f t="shared" si="0"/>
        <v>6495</v>
      </c>
      <c r="P36" s="44" t="s">
        <v>0</v>
      </c>
    </row>
    <row r="37" spans="1:16" x14ac:dyDescent="0.3">
      <c r="A37" s="46" t="s">
        <v>2143</v>
      </c>
      <c r="B37" s="26">
        <v>46093</v>
      </c>
      <c r="C37" s="26">
        <v>46098</v>
      </c>
      <c r="D37" s="71">
        <v>3319</v>
      </c>
      <c r="E37" s="25">
        <v>327</v>
      </c>
      <c r="F37" s="46">
        <v>2</v>
      </c>
      <c r="G37" s="46">
        <v>1</v>
      </c>
      <c r="H37" s="46">
        <v>80700</v>
      </c>
      <c r="I37" s="46" t="s">
        <v>17</v>
      </c>
      <c r="J37" s="46">
        <v>24489145</v>
      </c>
      <c r="K37" s="44" t="s">
        <v>81</v>
      </c>
      <c r="L37" s="44" t="s">
        <v>84</v>
      </c>
      <c r="M37" s="72">
        <v>129900</v>
      </c>
      <c r="N37" s="64">
        <v>0.95</v>
      </c>
      <c r="O37" s="72">
        <f t="shared" si="0"/>
        <v>6495</v>
      </c>
      <c r="P37" s="44" t="s">
        <v>0</v>
      </c>
    </row>
    <row r="38" spans="1:16" x14ac:dyDescent="0.3">
      <c r="A38" s="46" t="s">
        <v>2143</v>
      </c>
      <c r="B38" s="26">
        <v>46093</v>
      </c>
      <c r="C38" s="26">
        <v>46098</v>
      </c>
      <c r="D38" s="71">
        <v>3319</v>
      </c>
      <c r="E38" s="25">
        <v>327</v>
      </c>
      <c r="F38" s="46">
        <v>2</v>
      </c>
      <c r="G38" s="46">
        <v>1</v>
      </c>
      <c r="H38" s="46">
        <v>80700</v>
      </c>
      <c r="I38" s="46" t="s">
        <v>17</v>
      </c>
      <c r="J38" s="46">
        <v>24489154</v>
      </c>
      <c r="K38" s="44" t="s">
        <v>85</v>
      </c>
      <c r="L38" s="44" t="s">
        <v>86</v>
      </c>
      <c r="M38" s="72">
        <v>129900</v>
      </c>
      <c r="N38" s="64">
        <v>0.95</v>
      </c>
      <c r="O38" s="72">
        <f t="shared" si="0"/>
        <v>6495</v>
      </c>
      <c r="P38" s="44" t="s">
        <v>0</v>
      </c>
    </row>
    <row r="39" spans="1:16" x14ac:dyDescent="0.3">
      <c r="A39" s="46" t="s">
        <v>2143</v>
      </c>
      <c r="B39" s="26">
        <v>46093</v>
      </c>
      <c r="C39" s="26">
        <v>46098</v>
      </c>
      <c r="D39" s="71">
        <v>3319</v>
      </c>
      <c r="E39" s="25">
        <v>327</v>
      </c>
      <c r="F39" s="46">
        <v>2</v>
      </c>
      <c r="G39" s="46">
        <v>1</v>
      </c>
      <c r="H39" s="46">
        <v>80700</v>
      </c>
      <c r="I39" s="46" t="s">
        <v>17</v>
      </c>
      <c r="J39" s="46">
        <v>24489181</v>
      </c>
      <c r="K39" s="44" t="s">
        <v>85</v>
      </c>
      <c r="L39" s="44" t="s">
        <v>87</v>
      </c>
      <c r="M39" s="72">
        <v>129900</v>
      </c>
      <c r="N39" s="64">
        <v>0.95</v>
      </c>
      <c r="O39" s="72">
        <f t="shared" si="0"/>
        <v>6495</v>
      </c>
      <c r="P39" s="44" t="s">
        <v>0</v>
      </c>
    </row>
    <row r="40" spans="1:16" x14ac:dyDescent="0.3">
      <c r="A40" s="46" t="s">
        <v>2143</v>
      </c>
      <c r="B40" s="26">
        <v>46093</v>
      </c>
      <c r="C40" s="26">
        <v>46098</v>
      </c>
      <c r="D40" s="71">
        <v>3319</v>
      </c>
      <c r="E40" s="25">
        <v>327</v>
      </c>
      <c r="F40" s="46">
        <v>2</v>
      </c>
      <c r="G40" s="46">
        <v>1</v>
      </c>
      <c r="H40" s="46">
        <v>80700</v>
      </c>
      <c r="I40" s="46" t="s">
        <v>17</v>
      </c>
      <c r="J40" s="46">
        <v>24538752</v>
      </c>
      <c r="K40" s="44" t="s">
        <v>88</v>
      </c>
      <c r="L40" s="44" t="s">
        <v>89</v>
      </c>
      <c r="M40" s="72">
        <v>129900</v>
      </c>
      <c r="N40" s="64">
        <v>0.95</v>
      </c>
      <c r="O40" s="72">
        <f t="shared" si="0"/>
        <v>6495</v>
      </c>
      <c r="P40" s="44" t="s">
        <v>0</v>
      </c>
    </row>
    <row r="41" spans="1:16" x14ac:dyDescent="0.3">
      <c r="A41" s="46" t="s">
        <v>2143</v>
      </c>
      <c r="B41" s="26">
        <v>46093</v>
      </c>
      <c r="C41" s="26">
        <v>46098</v>
      </c>
      <c r="D41" s="71">
        <v>3319</v>
      </c>
      <c r="E41" s="25">
        <v>327</v>
      </c>
      <c r="F41" s="46">
        <v>2</v>
      </c>
      <c r="G41" s="46">
        <v>1</v>
      </c>
      <c r="H41" s="46">
        <v>80700</v>
      </c>
      <c r="I41" s="46" t="s">
        <v>17</v>
      </c>
      <c r="J41" s="46">
        <v>24538761</v>
      </c>
      <c r="K41" s="44" t="s">
        <v>88</v>
      </c>
      <c r="L41" s="44" t="s">
        <v>90</v>
      </c>
      <c r="M41" s="72">
        <v>129900</v>
      </c>
      <c r="N41" s="64">
        <v>0.95</v>
      </c>
      <c r="O41" s="72">
        <f t="shared" si="0"/>
        <v>6495</v>
      </c>
      <c r="P41" s="44" t="s">
        <v>0</v>
      </c>
    </row>
    <row r="42" spans="1:16" x14ac:dyDescent="0.3">
      <c r="A42" s="46" t="s">
        <v>2143</v>
      </c>
      <c r="B42" s="26">
        <v>46093</v>
      </c>
      <c r="C42" s="26">
        <v>46098</v>
      </c>
      <c r="D42" s="71">
        <v>3319</v>
      </c>
      <c r="E42" s="25">
        <v>327</v>
      </c>
      <c r="F42" s="46">
        <v>2</v>
      </c>
      <c r="G42" s="46">
        <v>1</v>
      </c>
      <c r="H42" s="46">
        <v>80700</v>
      </c>
      <c r="I42" s="46" t="s">
        <v>17</v>
      </c>
      <c r="J42" s="46">
        <v>24538770</v>
      </c>
      <c r="K42" s="44" t="s">
        <v>88</v>
      </c>
      <c r="L42" s="44" t="s">
        <v>91</v>
      </c>
      <c r="M42" s="72">
        <v>129900</v>
      </c>
      <c r="N42" s="64">
        <v>0.95</v>
      </c>
      <c r="O42" s="72">
        <f t="shared" si="0"/>
        <v>6495</v>
      </c>
      <c r="P42" s="44" t="s">
        <v>0</v>
      </c>
    </row>
    <row r="43" spans="1:16" x14ac:dyDescent="0.3">
      <c r="A43" s="46" t="s">
        <v>2143</v>
      </c>
      <c r="B43" s="26">
        <v>46093</v>
      </c>
      <c r="C43" s="26">
        <v>46098</v>
      </c>
      <c r="D43" s="71">
        <v>3319</v>
      </c>
      <c r="E43" s="25">
        <v>327</v>
      </c>
      <c r="F43" s="46">
        <v>2</v>
      </c>
      <c r="G43" s="46">
        <v>1</v>
      </c>
      <c r="H43" s="46">
        <v>80700</v>
      </c>
      <c r="I43" s="46" t="s">
        <v>17</v>
      </c>
      <c r="J43" s="46">
        <v>24538789</v>
      </c>
      <c r="K43" s="44" t="s">
        <v>88</v>
      </c>
      <c r="L43" s="44" t="s">
        <v>92</v>
      </c>
      <c r="M43" s="72">
        <v>129900</v>
      </c>
      <c r="N43" s="64">
        <v>0.95</v>
      </c>
      <c r="O43" s="72">
        <f t="shared" si="0"/>
        <v>6495</v>
      </c>
      <c r="P43" s="44" t="s">
        <v>0</v>
      </c>
    </row>
    <row r="44" spans="1:16" x14ac:dyDescent="0.3">
      <c r="A44" s="46" t="s">
        <v>2143</v>
      </c>
      <c r="B44" s="26">
        <v>46093</v>
      </c>
      <c r="C44" s="26">
        <v>46098</v>
      </c>
      <c r="D44" s="71">
        <v>3319</v>
      </c>
      <c r="E44" s="25">
        <v>327</v>
      </c>
      <c r="F44" s="46">
        <v>2</v>
      </c>
      <c r="G44" s="46">
        <v>1</v>
      </c>
      <c r="H44" s="46">
        <v>80700</v>
      </c>
      <c r="I44" s="46" t="s">
        <v>17</v>
      </c>
      <c r="J44" s="46">
        <v>24538832</v>
      </c>
      <c r="K44" s="44" t="s">
        <v>93</v>
      </c>
      <c r="L44" s="44" t="s">
        <v>94</v>
      </c>
      <c r="M44" s="72">
        <v>129900</v>
      </c>
      <c r="N44" s="64">
        <v>0.95</v>
      </c>
      <c r="O44" s="72">
        <f t="shared" si="0"/>
        <v>6495</v>
      </c>
      <c r="P44" s="44" t="s">
        <v>0</v>
      </c>
    </row>
    <row r="45" spans="1:16" x14ac:dyDescent="0.3">
      <c r="A45" s="46" t="s">
        <v>2143</v>
      </c>
      <c r="B45" s="26">
        <v>46093</v>
      </c>
      <c r="C45" s="26">
        <v>46098</v>
      </c>
      <c r="D45" s="71">
        <v>3319</v>
      </c>
      <c r="E45" s="25">
        <v>327</v>
      </c>
      <c r="F45" s="46">
        <v>2</v>
      </c>
      <c r="G45" s="46">
        <v>1</v>
      </c>
      <c r="H45" s="46">
        <v>80700</v>
      </c>
      <c r="I45" s="46" t="s">
        <v>17</v>
      </c>
      <c r="J45" s="46">
        <v>24538841</v>
      </c>
      <c r="K45" s="44" t="s">
        <v>93</v>
      </c>
      <c r="L45" s="44" t="s">
        <v>95</v>
      </c>
      <c r="M45" s="72">
        <v>129900</v>
      </c>
      <c r="N45" s="64">
        <v>0.95</v>
      </c>
      <c r="O45" s="72">
        <f t="shared" si="0"/>
        <v>6495</v>
      </c>
      <c r="P45" s="44" t="s">
        <v>0</v>
      </c>
    </row>
    <row r="46" spans="1:16" x14ac:dyDescent="0.3">
      <c r="A46" s="46" t="s">
        <v>2143</v>
      </c>
      <c r="B46" s="26">
        <v>46093</v>
      </c>
      <c r="C46" s="26">
        <v>46098</v>
      </c>
      <c r="D46" s="71">
        <v>3319</v>
      </c>
      <c r="E46" s="25">
        <v>327</v>
      </c>
      <c r="F46" s="46">
        <v>2</v>
      </c>
      <c r="G46" s="46">
        <v>1</v>
      </c>
      <c r="H46" s="46">
        <v>80700</v>
      </c>
      <c r="I46" s="46" t="s">
        <v>17</v>
      </c>
      <c r="J46" s="46">
        <v>24538850</v>
      </c>
      <c r="K46" s="44" t="s">
        <v>93</v>
      </c>
      <c r="L46" s="44" t="s">
        <v>96</v>
      </c>
      <c r="M46" s="72">
        <v>129900</v>
      </c>
      <c r="N46" s="64">
        <v>0.95</v>
      </c>
      <c r="O46" s="72">
        <f t="shared" si="0"/>
        <v>6495</v>
      </c>
      <c r="P46" s="44" t="s">
        <v>0</v>
      </c>
    </row>
    <row r="47" spans="1:16" x14ac:dyDescent="0.3">
      <c r="A47" s="46" t="s">
        <v>2143</v>
      </c>
      <c r="B47" s="26">
        <v>46093</v>
      </c>
      <c r="C47" s="26">
        <v>46098</v>
      </c>
      <c r="D47" s="71">
        <v>3319</v>
      </c>
      <c r="E47" s="25">
        <v>327</v>
      </c>
      <c r="F47" s="46">
        <v>2</v>
      </c>
      <c r="G47" s="46">
        <v>1</v>
      </c>
      <c r="H47" s="46">
        <v>80700</v>
      </c>
      <c r="I47" s="46" t="s">
        <v>17</v>
      </c>
      <c r="J47" s="46">
        <v>24538869</v>
      </c>
      <c r="K47" s="44" t="s">
        <v>93</v>
      </c>
      <c r="L47" s="44" t="s">
        <v>97</v>
      </c>
      <c r="M47" s="72">
        <v>129900</v>
      </c>
      <c r="N47" s="64">
        <v>0.95</v>
      </c>
      <c r="O47" s="72">
        <f t="shared" si="0"/>
        <v>6495</v>
      </c>
      <c r="P47" s="44" t="s">
        <v>0</v>
      </c>
    </row>
    <row r="48" spans="1:16" x14ac:dyDescent="0.3">
      <c r="A48" s="46" t="s">
        <v>2143</v>
      </c>
      <c r="B48" s="26">
        <v>46093</v>
      </c>
      <c r="C48" s="26">
        <v>46098</v>
      </c>
      <c r="D48" s="71">
        <v>3319</v>
      </c>
      <c r="E48" s="25">
        <v>327</v>
      </c>
      <c r="F48" s="46">
        <v>2</v>
      </c>
      <c r="G48" s="46">
        <v>1</v>
      </c>
      <c r="H48" s="46">
        <v>80700</v>
      </c>
      <c r="I48" s="46" t="s">
        <v>17</v>
      </c>
      <c r="J48" s="46">
        <v>24540445</v>
      </c>
      <c r="K48" s="44" t="s">
        <v>98</v>
      </c>
      <c r="L48" s="44" t="s">
        <v>99</v>
      </c>
      <c r="M48" s="72">
        <v>179900</v>
      </c>
      <c r="N48" s="64">
        <v>0.95</v>
      </c>
      <c r="O48" s="72">
        <f t="shared" si="0"/>
        <v>8995</v>
      </c>
      <c r="P48" s="44" t="s">
        <v>0</v>
      </c>
    </row>
    <row r="49" spans="1:16" x14ac:dyDescent="0.3">
      <c r="A49" s="46" t="s">
        <v>2143</v>
      </c>
      <c r="B49" s="26">
        <v>46093</v>
      </c>
      <c r="C49" s="26">
        <v>46098</v>
      </c>
      <c r="D49" s="71">
        <v>3319</v>
      </c>
      <c r="E49" s="25">
        <v>327</v>
      </c>
      <c r="F49" s="46">
        <v>2</v>
      </c>
      <c r="G49" s="46">
        <v>1</v>
      </c>
      <c r="H49" s="46">
        <v>80700</v>
      </c>
      <c r="I49" s="46" t="s">
        <v>17</v>
      </c>
      <c r="J49" s="46">
        <v>24540481</v>
      </c>
      <c r="K49" s="44" t="s">
        <v>100</v>
      </c>
      <c r="L49" s="44" t="s">
        <v>101</v>
      </c>
      <c r="M49" s="72">
        <v>179900</v>
      </c>
      <c r="N49" s="64">
        <v>0.95</v>
      </c>
      <c r="O49" s="72">
        <f t="shared" si="0"/>
        <v>8995</v>
      </c>
      <c r="P49" s="44" t="s">
        <v>0</v>
      </c>
    </row>
    <row r="50" spans="1:16" x14ac:dyDescent="0.3">
      <c r="A50" s="46" t="s">
        <v>2143</v>
      </c>
      <c r="B50" s="26">
        <v>46093</v>
      </c>
      <c r="C50" s="26">
        <v>46098</v>
      </c>
      <c r="D50" s="71">
        <v>3319</v>
      </c>
      <c r="E50" s="25">
        <v>327</v>
      </c>
      <c r="F50" s="46">
        <v>2</v>
      </c>
      <c r="G50" s="46">
        <v>1</v>
      </c>
      <c r="H50" s="46">
        <v>80700</v>
      </c>
      <c r="I50" s="46" t="s">
        <v>17</v>
      </c>
      <c r="J50" s="46">
        <v>24540490</v>
      </c>
      <c r="K50" s="44" t="s">
        <v>100</v>
      </c>
      <c r="L50" s="44" t="s">
        <v>102</v>
      </c>
      <c r="M50" s="72">
        <v>179900</v>
      </c>
      <c r="N50" s="64">
        <v>0.95</v>
      </c>
      <c r="O50" s="72">
        <f t="shared" si="0"/>
        <v>8995</v>
      </c>
      <c r="P50" s="44" t="s">
        <v>0</v>
      </c>
    </row>
    <row r="51" spans="1:16" x14ac:dyDescent="0.3">
      <c r="A51" s="46" t="s">
        <v>2143</v>
      </c>
      <c r="B51" s="26">
        <v>46093</v>
      </c>
      <c r="C51" s="26">
        <v>46098</v>
      </c>
      <c r="D51" s="71">
        <v>3319</v>
      </c>
      <c r="E51" s="25">
        <v>327</v>
      </c>
      <c r="F51" s="46">
        <v>2</v>
      </c>
      <c r="G51" s="46">
        <v>1</v>
      </c>
      <c r="H51" s="46">
        <v>80700</v>
      </c>
      <c r="I51" s="46" t="s">
        <v>17</v>
      </c>
      <c r="J51" s="46">
        <v>24599795</v>
      </c>
      <c r="K51" s="44" t="s">
        <v>103</v>
      </c>
      <c r="L51" s="44" t="s">
        <v>104</v>
      </c>
      <c r="M51" s="72">
        <v>129900</v>
      </c>
      <c r="N51" s="64">
        <v>0.95</v>
      </c>
      <c r="O51" s="72">
        <f t="shared" si="0"/>
        <v>6495</v>
      </c>
      <c r="P51" s="44" t="s">
        <v>0</v>
      </c>
    </row>
    <row r="52" spans="1:16" x14ac:dyDescent="0.3">
      <c r="A52" s="46" t="s">
        <v>2143</v>
      </c>
      <c r="B52" s="26">
        <v>46093</v>
      </c>
      <c r="C52" s="26">
        <v>46098</v>
      </c>
      <c r="D52" s="71">
        <v>3319</v>
      </c>
      <c r="E52" s="25">
        <v>327</v>
      </c>
      <c r="F52" s="46">
        <v>2</v>
      </c>
      <c r="G52" s="46">
        <v>1</v>
      </c>
      <c r="H52" s="46">
        <v>80700</v>
      </c>
      <c r="I52" s="46" t="s">
        <v>17</v>
      </c>
      <c r="J52" s="46">
        <v>24599820</v>
      </c>
      <c r="K52" s="44" t="s">
        <v>103</v>
      </c>
      <c r="L52" s="44" t="s">
        <v>105</v>
      </c>
      <c r="M52" s="72">
        <v>129900</v>
      </c>
      <c r="N52" s="64">
        <v>0.95</v>
      </c>
      <c r="O52" s="72">
        <f t="shared" si="0"/>
        <v>6495</v>
      </c>
      <c r="P52" s="44" t="s">
        <v>0</v>
      </c>
    </row>
    <row r="53" spans="1:16" x14ac:dyDescent="0.3">
      <c r="A53" s="46" t="s">
        <v>2143</v>
      </c>
      <c r="B53" s="26">
        <v>46093</v>
      </c>
      <c r="C53" s="26">
        <v>46098</v>
      </c>
      <c r="D53" s="71">
        <v>3319</v>
      </c>
      <c r="E53" s="25">
        <v>327</v>
      </c>
      <c r="F53" s="46">
        <v>2</v>
      </c>
      <c r="G53" s="46">
        <v>1</v>
      </c>
      <c r="H53" s="46">
        <v>80700</v>
      </c>
      <c r="I53" s="46" t="s">
        <v>17</v>
      </c>
      <c r="J53" s="46">
        <v>24810591</v>
      </c>
      <c r="K53" s="44" t="s">
        <v>106</v>
      </c>
      <c r="L53" s="44" t="s">
        <v>107</v>
      </c>
      <c r="M53" s="72">
        <v>129900</v>
      </c>
      <c r="N53" s="64">
        <v>0.95</v>
      </c>
      <c r="O53" s="72">
        <f t="shared" si="0"/>
        <v>6495</v>
      </c>
      <c r="P53" s="44" t="s">
        <v>0</v>
      </c>
    </row>
    <row r="54" spans="1:16" x14ac:dyDescent="0.3">
      <c r="A54" s="46" t="s">
        <v>2143</v>
      </c>
      <c r="B54" s="26">
        <v>46093</v>
      </c>
      <c r="C54" s="26">
        <v>46098</v>
      </c>
      <c r="D54" s="71">
        <v>3319</v>
      </c>
      <c r="E54" s="25">
        <v>327</v>
      </c>
      <c r="F54" s="46">
        <v>2</v>
      </c>
      <c r="G54" s="46">
        <v>1</v>
      </c>
      <c r="H54" s="46">
        <v>80700</v>
      </c>
      <c r="I54" s="46" t="s">
        <v>17</v>
      </c>
      <c r="J54" s="46">
        <v>24810608</v>
      </c>
      <c r="K54" s="44" t="s">
        <v>106</v>
      </c>
      <c r="L54" s="44" t="s">
        <v>108</v>
      </c>
      <c r="M54" s="72">
        <v>129900</v>
      </c>
      <c r="N54" s="64">
        <v>0.95</v>
      </c>
      <c r="O54" s="72">
        <f t="shared" si="0"/>
        <v>6495</v>
      </c>
      <c r="P54" s="44" t="s">
        <v>0</v>
      </c>
    </row>
    <row r="55" spans="1:16" x14ac:dyDescent="0.3">
      <c r="A55" s="46" t="s">
        <v>2143</v>
      </c>
      <c r="B55" s="26">
        <v>46093</v>
      </c>
      <c r="C55" s="26">
        <v>46098</v>
      </c>
      <c r="D55" s="71">
        <v>3319</v>
      </c>
      <c r="E55" s="25">
        <v>327</v>
      </c>
      <c r="F55" s="46">
        <v>2</v>
      </c>
      <c r="G55" s="46">
        <v>1</v>
      </c>
      <c r="H55" s="46">
        <v>80700</v>
      </c>
      <c r="I55" s="46" t="s">
        <v>17</v>
      </c>
      <c r="J55" s="46">
        <v>24810626</v>
      </c>
      <c r="K55" s="44" t="s">
        <v>106</v>
      </c>
      <c r="L55" s="44" t="s">
        <v>109</v>
      </c>
      <c r="M55" s="72">
        <v>129900</v>
      </c>
      <c r="N55" s="64">
        <v>0.95</v>
      </c>
      <c r="O55" s="72">
        <f t="shared" si="0"/>
        <v>6495</v>
      </c>
      <c r="P55" s="44" t="s">
        <v>0</v>
      </c>
    </row>
    <row r="56" spans="1:16" x14ac:dyDescent="0.3">
      <c r="A56" s="46" t="s">
        <v>2143</v>
      </c>
      <c r="B56" s="26">
        <v>46093</v>
      </c>
      <c r="C56" s="26">
        <v>46098</v>
      </c>
      <c r="D56" s="71">
        <v>3319</v>
      </c>
      <c r="E56" s="25">
        <v>327</v>
      </c>
      <c r="F56" s="46">
        <v>2</v>
      </c>
      <c r="G56" s="46">
        <v>1</v>
      </c>
      <c r="H56" s="46">
        <v>80700</v>
      </c>
      <c r="I56" s="46" t="s">
        <v>17</v>
      </c>
      <c r="J56" s="46">
        <v>24810635</v>
      </c>
      <c r="K56" s="44" t="s">
        <v>110</v>
      </c>
      <c r="L56" s="44" t="s">
        <v>111</v>
      </c>
      <c r="M56" s="72">
        <v>129900</v>
      </c>
      <c r="N56" s="64">
        <v>0.95</v>
      </c>
      <c r="O56" s="72">
        <f t="shared" si="0"/>
        <v>6495</v>
      </c>
      <c r="P56" s="44" t="s">
        <v>0</v>
      </c>
    </row>
    <row r="57" spans="1:16" x14ac:dyDescent="0.3">
      <c r="A57" s="46" t="s">
        <v>2143</v>
      </c>
      <c r="B57" s="26">
        <v>46093</v>
      </c>
      <c r="C57" s="26">
        <v>46098</v>
      </c>
      <c r="D57" s="71">
        <v>3319</v>
      </c>
      <c r="E57" s="25">
        <v>327</v>
      </c>
      <c r="F57" s="46">
        <v>2</v>
      </c>
      <c r="G57" s="46">
        <v>1</v>
      </c>
      <c r="H57" s="46">
        <v>80700</v>
      </c>
      <c r="I57" s="46" t="s">
        <v>17</v>
      </c>
      <c r="J57" s="46">
        <v>24810644</v>
      </c>
      <c r="K57" s="44" t="s">
        <v>110</v>
      </c>
      <c r="L57" s="44" t="s">
        <v>112</v>
      </c>
      <c r="M57" s="72">
        <v>129900</v>
      </c>
      <c r="N57" s="64">
        <v>0.95</v>
      </c>
      <c r="O57" s="72">
        <f t="shared" si="0"/>
        <v>6495</v>
      </c>
      <c r="P57" s="44" t="s">
        <v>0</v>
      </c>
    </row>
    <row r="58" spans="1:16" x14ac:dyDescent="0.3">
      <c r="A58" s="46" t="s">
        <v>2143</v>
      </c>
      <c r="B58" s="26">
        <v>46093</v>
      </c>
      <c r="C58" s="26">
        <v>46098</v>
      </c>
      <c r="D58" s="71">
        <v>3319</v>
      </c>
      <c r="E58" s="25">
        <v>327</v>
      </c>
      <c r="F58" s="46">
        <v>2</v>
      </c>
      <c r="G58" s="46">
        <v>1</v>
      </c>
      <c r="H58" s="46">
        <v>80700</v>
      </c>
      <c r="I58" s="46" t="s">
        <v>17</v>
      </c>
      <c r="J58" s="46">
        <v>24810653</v>
      </c>
      <c r="K58" s="44" t="s">
        <v>110</v>
      </c>
      <c r="L58" s="44" t="s">
        <v>113</v>
      </c>
      <c r="M58" s="72">
        <v>129900</v>
      </c>
      <c r="N58" s="64">
        <v>0.95</v>
      </c>
      <c r="O58" s="72">
        <f t="shared" si="0"/>
        <v>6495</v>
      </c>
      <c r="P58" s="44" t="s">
        <v>0</v>
      </c>
    </row>
    <row r="59" spans="1:16" x14ac:dyDescent="0.3">
      <c r="A59" s="46" t="s">
        <v>2143</v>
      </c>
      <c r="B59" s="26">
        <v>46093</v>
      </c>
      <c r="C59" s="26">
        <v>46098</v>
      </c>
      <c r="D59" s="71">
        <v>3319</v>
      </c>
      <c r="E59" s="25">
        <v>327</v>
      </c>
      <c r="F59" s="46">
        <v>2</v>
      </c>
      <c r="G59" s="46">
        <v>1</v>
      </c>
      <c r="H59" s="46">
        <v>80700</v>
      </c>
      <c r="I59" s="46" t="s">
        <v>17</v>
      </c>
      <c r="J59" s="46">
        <v>24810662</v>
      </c>
      <c r="K59" s="44" t="s">
        <v>110</v>
      </c>
      <c r="L59" s="44" t="s">
        <v>114</v>
      </c>
      <c r="M59" s="72">
        <v>129900</v>
      </c>
      <c r="N59" s="64">
        <v>0.95</v>
      </c>
      <c r="O59" s="72">
        <f t="shared" si="0"/>
        <v>6495</v>
      </c>
      <c r="P59" s="44" t="s">
        <v>0</v>
      </c>
    </row>
    <row r="60" spans="1:16" x14ac:dyDescent="0.3">
      <c r="A60" s="46" t="s">
        <v>2143</v>
      </c>
      <c r="B60" s="26">
        <v>46093</v>
      </c>
      <c r="C60" s="26">
        <v>46098</v>
      </c>
      <c r="D60" s="71">
        <v>3319</v>
      </c>
      <c r="E60" s="25">
        <v>327</v>
      </c>
      <c r="F60" s="46">
        <v>2</v>
      </c>
      <c r="G60" s="46">
        <v>1</v>
      </c>
      <c r="H60" s="46">
        <v>80700</v>
      </c>
      <c r="I60" s="46" t="s">
        <v>17</v>
      </c>
      <c r="J60" s="46">
        <v>24810671</v>
      </c>
      <c r="K60" s="44" t="s">
        <v>115</v>
      </c>
      <c r="L60" s="44" t="s">
        <v>116</v>
      </c>
      <c r="M60" s="72">
        <v>129900</v>
      </c>
      <c r="N60" s="64">
        <v>0.95</v>
      </c>
      <c r="O60" s="72">
        <f t="shared" si="0"/>
        <v>6495</v>
      </c>
      <c r="P60" s="44" t="s">
        <v>0</v>
      </c>
    </row>
    <row r="61" spans="1:16" x14ac:dyDescent="0.3">
      <c r="A61" s="46" t="s">
        <v>2143</v>
      </c>
      <c r="B61" s="26">
        <v>46093</v>
      </c>
      <c r="C61" s="26">
        <v>46098</v>
      </c>
      <c r="D61" s="71">
        <v>3319</v>
      </c>
      <c r="E61" s="25">
        <v>327</v>
      </c>
      <c r="F61" s="46">
        <v>2</v>
      </c>
      <c r="G61" s="46">
        <v>1</v>
      </c>
      <c r="H61" s="46">
        <v>80700</v>
      </c>
      <c r="I61" s="46" t="s">
        <v>17</v>
      </c>
      <c r="J61" s="46">
        <v>24810680</v>
      </c>
      <c r="K61" s="44" t="s">
        <v>115</v>
      </c>
      <c r="L61" s="44" t="s">
        <v>117</v>
      </c>
      <c r="M61" s="72">
        <v>129900</v>
      </c>
      <c r="N61" s="64">
        <v>0.95</v>
      </c>
      <c r="O61" s="72">
        <f t="shared" si="0"/>
        <v>6495</v>
      </c>
      <c r="P61" s="44" t="s">
        <v>0</v>
      </c>
    </row>
    <row r="62" spans="1:16" x14ac:dyDescent="0.3">
      <c r="A62" s="46" t="s">
        <v>2143</v>
      </c>
      <c r="B62" s="26">
        <v>46093</v>
      </c>
      <c r="C62" s="26">
        <v>46098</v>
      </c>
      <c r="D62" s="71">
        <v>3319</v>
      </c>
      <c r="E62" s="25">
        <v>327</v>
      </c>
      <c r="F62" s="46">
        <v>2</v>
      </c>
      <c r="G62" s="46">
        <v>1</v>
      </c>
      <c r="H62" s="46">
        <v>80700</v>
      </c>
      <c r="I62" s="46" t="s">
        <v>17</v>
      </c>
      <c r="J62" s="46">
        <v>24810699</v>
      </c>
      <c r="K62" s="44" t="s">
        <v>115</v>
      </c>
      <c r="L62" s="44" t="s">
        <v>118</v>
      </c>
      <c r="M62" s="72">
        <v>129900</v>
      </c>
      <c r="N62" s="64">
        <v>0.95</v>
      </c>
      <c r="O62" s="72">
        <f t="shared" si="0"/>
        <v>6495</v>
      </c>
      <c r="P62" s="44" t="s">
        <v>0</v>
      </c>
    </row>
    <row r="63" spans="1:16" x14ac:dyDescent="0.3">
      <c r="A63" s="46" t="s">
        <v>2143</v>
      </c>
      <c r="B63" s="26">
        <v>46093</v>
      </c>
      <c r="C63" s="26">
        <v>46098</v>
      </c>
      <c r="D63" s="71">
        <v>3319</v>
      </c>
      <c r="E63" s="25">
        <v>327</v>
      </c>
      <c r="F63" s="46">
        <v>2</v>
      </c>
      <c r="G63" s="46">
        <v>1</v>
      </c>
      <c r="H63" s="46">
        <v>80700</v>
      </c>
      <c r="I63" s="46" t="s">
        <v>17</v>
      </c>
      <c r="J63" s="46">
        <v>24810706</v>
      </c>
      <c r="K63" s="44" t="s">
        <v>115</v>
      </c>
      <c r="L63" s="44" t="s">
        <v>119</v>
      </c>
      <c r="M63" s="72">
        <v>129900</v>
      </c>
      <c r="N63" s="64">
        <v>0.95</v>
      </c>
      <c r="O63" s="72">
        <f t="shared" si="0"/>
        <v>6495</v>
      </c>
      <c r="P63" s="44" t="s">
        <v>0</v>
      </c>
    </row>
    <row r="64" spans="1:16" x14ac:dyDescent="0.3">
      <c r="A64" s="46" t="s">
        <v>2143</v>
      </c>
      <c r="B64" s="26">
        <v>46093</v>
      </c>
      <c r="C64" s="26">
        <v>46098</v>
      </c>
      <c r="D64" s="71">
        <v>3319</v>
      </c>
      <c r="E64" s="25">
        <v>327</v>
      </c>
      <c r="F64" s="46">
        <v>2</v>
      </c>
      <c r="G64" s="46">
        <v>1</v>
      </c>
      <c r="H64" s="46">
        <v>80700</v>
      </c>
      <c r="I64" s="46" t="s">
        <v>17</v>
      </c>
      <c r="J64" s="46">
        <v>24810724</v>
      </c>
      <c r="K64" s="44" t="s">
        <v>120</v>
      </c>
      <c r="L64" s="44" t="s">
        <v>121</v>
      </c>
      <c r="M64" s="72">
        <v>129900</v>
      </c>
      <c r="N64" s="64">
        <v>0.95</v>
      </c>
      <c r="O64" s="72">
        <f t="shared" si="0"/>
        <v>6495</v>
      </c>
      <c r="P64" s="44" t="s">
        <v>0</v>
      </c>
    </row>
    <row r="65" spans="1:16" x14ac:dyDescent="0.3">
      <c r="A65" s="46" t="s">
        <v>2143</v>
      </c>
      <c r="B65" s="26">
        <v>46093</v>
      </c>
      <c r="C65" s="26">
        <v>46098</v>
      </c>
      <c r="D65" s="71">
        <v>3319</v>
      </c>
      <c r="E65" s="25">
        <v>327</v>
      </c>
      <c r="F65" s="46">
        <v>2</v>
      </c>
      <c r="G65" s="46">
        <v>1</v>
      </c>
      <c r="H65" s="46">
        <v>80700</v>
      </c>
      <c r="I65" s="46" t="s">
        <v>17</v>
      </c>
      <c r="J65" s="46">
        <v>24810760</v>
      </c>
      <c r="K65" s="44" t="s">
        <v>122</v>
      </c>
      <c r="L65" s="44" t="s">
        <v>123</v>
      </c>
      <c r="M65" s="72">
        <v>129900</v>
      </c>
      <c r="N65" s="64">
        <v>0.95</v>
      </c>
      <c r="O65" s="72">
        <f t="shared" si="0"/>
        <v>6495</v>
      </c>
      <c r="P65" s="44" t="s">
        <v>0</v>
      </c>
    </row>
    <row r="66" spans="1:16" x14ac:dyDescent="0.3">
      <c r="A66" s="46" t="s">
        <v>2143</v>
      </c>
      <c r="B66" s="26">
        <v>46093</v>
      </c>
      <c r="C66" s="26">
        <v>46098</v>
      </c>
      <c r="D66" s="71">
        <v>3319</v>
      </c>
      <c r="E66" s="25">
        <v>327</v>
      </c>
      <c r="F66" s="46">
        <v>2</v>
      </c>
      <c r="G66" s="46">
        <v>1</v>
      </c>
      <c r="H66" s="46">
        <v>80700</v>
      </c>
      <c r="I66" s="46" t="s">
        <v>17</v>
      </c>
      <c r="J66" s="46">
        <v>24810840</v>
      </c>
      <c r="K66" s="44" t="s">
        <v>124</v>
      </c>
      <c r="L66" s="44" t="s">
        <v>125</v>
      </c>
      <c r="M66" s="72">
        <v>129900</v>
      </c>
      <c r="N66" s="64">
        <v>0.95</v>
      </c>
      <c r="O66" s="72">
        <f t="shared" si="0"/>
        <v>6495</v>
      </c>
      <c r="P66" s="44" t="s">
        <v>0</v>
      </c>
    </row>
    <row r="67" spans="1:16" x14ac:dyDescent="0.3">
      <c r="A67" s="46" t="s">
        <v>2143</v>
      </c>
      <c r="B67" s="26">
        <v>46093</v>
      </c>
      <c r="C67" s="26">
        <v>46098</v>
      </c>
      <c r="D67" s="71">
        <v>3319</v>
      </c>
      <c r="E67" s="25">
        <v>327</v>
      </c>
      <c r="F67" s="46">
        <v>2</v>
      </c>
      <c r="G67" s="46">
        <v>1</v>
      </c>
      <c r="H67" s="46">
        <v>80700</v>
      </c>
      <c r="I67" s="46" t="s">
        <v>17</v>
      </c>
      <c r="J67" s="46">
        <v>24810868</v>
      </c>
      <c r="K67" s="44" t="s">
        <v>124</v>
      </c>
      <c r="L67" s="44" t="s">
        <v>126</v>
      </c>
      <c r="M67" s="72">
        <v>129900</v>
      </c>
      <c r="N67" s="64">
        <v>0.95</v>
      </c>
      <c r="O67" s="72">
        <f t="shared" ref="O67:O130" si="1">M67*5%</f>
        <v>6495</v>
      </c>
      <c r="P67" s="44" t="s">
        <v>0</v>
      </c>
    </row>
    <row r="68" spans="1:16" x14ac:dyDescent="0.3">
      <c r="A68" s="46" t="s">
        <v>2143</v>
      </c>
      <c r="B68" s="26">
        <v>46093</v>
      </c>
      <c r="C68" s="26">
        <v>46098</v>
      </c>
      <c r="D68" s="71">
        <v>3319</v>
      </c>
      <c r="E68" s="25">
        <v>327</v>
      </c>
      <c r="F68" s="46">
        <v>2</v>
      </c>
      <c r="G68" s="46">
        <v>1</v>
      </c>
      <c r="H68" s="46">
        <v>80700</v>
      </c>
      <c r="I68" s="46" t="s">
        <v>17</v>
      </c>
      <c r="J68" s="46">
        <v>24811134</v>
      </c>
      <c r="K68" s="44" t="s">
        <v>127</v>
      </c>
      <c r="L68" s="44" t="s">
        <v>128</v>
      </c>
      <c r="M68" s="72">
        <v>129900</v>
      </c>
      <c r="N68" s="64">
        <v>0.95</v>
      </c>
      <c r="O68" s="72">
        <f t="shared" si="1"/>
        <v>6495</v>
      </c>
      <c r="P68" s="44" t="s">
        <v>0</v>
      </c>
    </row>
    <row r="69" spans="1:16" x14ac:dyDescent="0.3">
      <c r="A69" s="46" t="s">
        <v>2143</v>
      </c>
      <c r="B69" s="26">
        <v>46093</v>
      </c>
      <c r="C69" s="26">
        <v>46098</v>
      </c>
      <c r="D69" s="71">
        <v>3319</v>
      </c>
      <c r="E69" s="25">
        <v>327</v>
      </c>
      <c r="F69" s="46">
        <v>2</v>
      </c>
      <c r="G69" s="46">
        <v>1</v>
      </c>
      <c r="H69" s="46">
        <v>80700</v>
      </c>
      <c r="I69" s="46" t="s">
        <v>17</v>
      </c>
      <c r="J69" s="46">
        <v>24811143</v>
      </c>
      <c r="K69" s="44" t="s">
        <v>127</v>
      </c>
      <c r="L69" s="44" t="s">
        <v>129</v>
      </c>
      <c r="M69" s="72">
        <v>129900</v>
      </c>
      <c r="N69" s="64">
        <v>0.95</v>
      </c>
      <c r="O69" s="72">
        <f t="shared" si="1"/>
        <v>6495</v>
      </c>
      <c r="P69" s="44" t="s">
        <v>0</v>
      </c>
    </row>
    <row r="70" spans="1:16" x14ac:dyDescent="0.3">
      <c r="A70" s="46" t="s">
        <v>2143</v>
      </c>
      <c r="B70" s="26">
        <v>46093</v>
      </c>
      <c r="C70" s="26">
        <v>46098</v>
      </c>
      <c r="D70" s="71">
        <v>3319</v>
      </c>
      <c r="E70" s="25">
        <v>327</v>
      </c>
      <c r="F70" s="46">
        <v>2</v>
      </c>
      <c r="G70" s="46">
        <v>1</v>
      </c>
      <c r="H70" s="46">
        <v>80700</v>
      </c>
      <c r="I70" s="46" t="s">
        <v>17</v>
      </c>
      <c r="J70" s="46">
        <v>24811152</v>
      </c>
      <c r="K70" s="44" t="s">
        <v>127</v>
      </c>
      <c r="L70" s="44" t="s">
        <v>130</v>
      </c>
      <c r="M70" s="72">
        <v>129900</v>
      </c>
      <c r="N70" s="64">
        <v>0.95</v>
      </c>
      <c r="O70" s="72">
        <f t="shared" si="1"/>
        <v>6495</v>
      </c>
      <c r="P70" s="44" t="s">
        <v>0</v>
      </c>
    </row>
    <row r="71" spans="1:16" x14ac:dyDescent="0.3">
      <c r="A71" s="46" t="s">
        <v>2143</v>
      </c>
      <c r="B71" s="26">
        <v>46093</v>
      </c>
      <c r="C71" s="26">
        <v>46098</v>
      </c>
      <c r="D71" s="71">
        <v>3319</v>
      </c>
      <c r="E71" s="25">
        <v>327</v>
      </c>
      <c r="F71" s="46">
        <v>2</v>
      </c>
      <c r="G71" s="46">
        <v>1</v>
      </c>
      <c r="H71" s="46">
        <v>80700</v>
      </c>
      <c r="I71" s="46" t="s">
        <v>17</v>
      </c>
      <c r="J71" s="46">
        <v>24811161</v>
      </c>
      <c r="K71" s="44" t="s">
        <v>127</v>
      </c>
      <c r="L71" s="44" t="s">
        <v>131</v>
      </c>
      <c r="M71" s="72">
        <v>129900</v>
      </c>
      <c r="N71" s="64">
        <v>0.95</v>
      </c>
      <c r="O71" s="72">
        <f t="shared" si="1"/>
        <v>6495</v>
      </c>
      <c r="P71" s="44" t="s">
        <v>0</v>
      </c>
    </row>
    <row r="72" spans="1:16" x14ac:dyDescent="0.3">
      <c r="A72" s="46" t="s">
        <v>2143</v>
      </c>
      <c r="B72" s="26">
        <v>46093</v>
      </c>
      <c r="C72" s="26">
        <v>46098</v>
      </c>
      <c r="D72" s="71">
        <v>3319</v>
      </c>
      <c r="E72" s="25">
        <v>327</v>
      </c>
      <c r="F72" s="46">
        <v>2</v>
      </c>
      <c r="G72" s="46">
        <v>1</v>
      </c>
      <c r="H72" s="46">
        <v>80700</v>
      </c>
      <c r="I72" s="46" t="s">
        <v>17</v>
      </c>
      <c r="J72" s="46">
        <v>24811170</v>
      </c>
      <c r="K72" s="44" t="s">
        <v>132</v>
      </c>
      <c r="L72" s="44" t="s">
        <v>133</v>
      </c>
      <c r="M72" s="72">
        <v>129900</v>
      </c>
      <c r="N72" s="64">
        <v>0.95</v>
      </c>
      <c r="O72" s="72">
        <f t="shared" si="1"/>
        <v>6495</v>
      </c>
      <c r="P72" s="44" t="s">
        <v>0</v>
      </c>
    </row>
    <row r="73" spans="1:16" x14ac:dyDescent="0.3">
      <c r="A73" s="46" t="s">
        <v>2143</v>
      </c>
      <c r="B73" s="26">
        <v>46093</v>
      </c>
      <c r="C73" s="26">
        <v>46098</v>
      </c>
      <c r="D73" s="71">
        <v>3319</v>
      </c>
      <c r="E73" s="25">
        <v>327</v>
      </c>
      <c r="F73" s="46">
        <v>2</v>
      </c>
      <c r="G73" s="46">
        <v>1</v>
      </c>
      <c r="H73" s="46">
        <v>80700</v>
      </c>
      <c r="I73" s="46" t="s">
        <v>17</v>
      </c>
      <c r="J73" s="46">
        <v>24811189</v>
      </c>
      <c r="K73" s="44" t="s">
        <v>132</v>
      </c>
      <c r="L73" s="44" t="s">
        <v>134</v>
      </c>
      <c r="M73" s="72">
        <v>129900</v>
      </c>
      <c r="N73" s="64">
        <v>0.95</v>
      </c>
      <c r="O73" s="72">
        <f t="shared" si="1"/>
        <v>6495</v>
      </c>
      <c r="P73" s="44" t="s">
        <v>0</v>
      </c>
    </row>
    <row r="74" spans="1:16" x14ac:dyDescent="0.3">
      <c r="A74" s="46" t="s">
        <v>2143</v>
      </c>
      <c r="B74" s="26">
        <v>46093</v>
      </c>
      <c r="C74" s="26">
        <v>46098</v>
      </c>
      <c r="D74" s="71">
        <v>3319</v>
      </c>
      <c r="E74" s="25">
        <v>327</v>
      </c>
      <c r="F74" s="46">
        <v>2</v>
      </c>
      <c r="G74" s="46">
        <v>1</v>
      </c>
      <c r="H74" s="46">
        <v>80700</v>
      </c>
      <c r="I74" s="46" t="s">
        <v>17</v>
      </c>
      <c r="J74" s="46">
        <v>24811198</v>
      </c>
      <c r="K74" s="44" t="s">
        <v>132</v>
      </c>
      <c r="L74" s="44" t="s">
        <v>135</v>
      </c>
      <c r="M74" s="72">
        <v>129900</v>
      </c>
      <c r="N74" s="64">
        <v>0.95</v>
      </c>
      <c r="O74" s="72">
        <f t="shared" si="1"/>
        <v>6495</v>
      </c>
      <c r="P74" s="44" t="s">
        <v>0</v>
      </c>
    </row>
    <row r="75" spans="1:16" x14ac:dyDescent="0.3">
      <c r="A75" s="46" t="s">
        <v>2143</v>
      </c>
      <c r="B75" s="26">
        <v>46093</v>
      </c>
      <c r="C75" s="26">
        <v>46098</v>
      </c>
      <c r="D75" s="71">
        <v>3319</v>
      </c>
      <c r="E75" s="25">
        <v>327</v>
      </c>
      <c r="F75" s="46">
        <v>2</v>
      </c>
      <c r="G75" s="46">
        <v>1</v>
      </c>
      <c r="H75" s="46">
        <v>80700</v>
      </c>
      <c r="I75" s="46" t="s">
        <v>17</v>
      </c>
      <c r="J75" s="46">
        <v>24811205</v>
      </c>
      <c r="K75" s="44" t="s">
        <v>132</v>
      </c>
      <c r="L75" s="44" t="s">
        <v>136</v>
      </c>
      <c r="M75" s="72">
        <v>129900</v>
      </c>
      <c r="N75" s="64">
        <v>0.95</v>
      </c>
      <c r="O75" s="72">
        <f t="shared" si="1"/>
        <v>6495</v>
      </c>
      <c r="P75" s="44" t="s">
        <v>0</v>
      </c>
    </row>
    <row r="76" spans="1:16" x14ac:dyDescent="0.3">
      <c r="A76" s="46" t="s">
        <v>2143</v>
      </c>
      <c r="B76" s="26">
        <v>46093</v>
      </c>
      <c r="C76" s="26">
        <v>46098</v>
      </c>
      <c r="D76" s="71">
        <v>3319</v>
      </c>
      <c r="E76" s="25">
        <v>327</v>
      </c>
      <c r="F76" s="46">
        <v>2</v>
      </c>
      <c r="G76" s="46">
        <v>1</v>
      </c>
      <c r="H76" s="46">
        <v>80700</v>
      </c>
      <c r="I76" s="46" t="s">
        <v>17</v>
      </c>
      <c r="J76" s="46">
        <v>24811214</v>
      </c>
      <c r="K76" s="44" t="s">
        <v>137</v>
      </c>
      <c r="L76" s="44" t="s">
        <v>138</v>
      </c>
      <c r="M76" s="72">
        <v>129900</v>
      </c>
      <c r="N76" s="64">
        <v>0.95</v>
      </c>
      <c r="O76" s="72">
        <f t="shared" si="1"/>
        <v>6495</v>
      </c>
      <c r="P76" s="44" t="s">
        <v>0</v>
      </c>
    </row>
    <row r="77" spans="1:16" x14ac:dyDescent="0.3">
      <c r="A77" s="46" t="s">
        <v>2143</v>
      </c>
      <c r="B77" s="26">
        <v>46093</v>
      </c>
      <c r="C77" s="26">
        <v>46098</v>
      </c>
      <c r="D77" s="71">
        <v>3319</v>
      </c>
      <c r="E77" s="25">
        <v>327</v>
      </c>
      <c r="F77" s="46">
        <v>2</v>
      </c>
      <c r="G77" s="46">
        <v>1</v>
      </c>
      <c r="H77" s="46">
        <v>80700</v>
      </c>
      <c r="I77" s="46" t="s">
        <v>17</v>
      </c>
      <c r="J77" s="46">
        <v>24811223</v>
      </c>
      <c r="K77" s="44" t="s">
        <v>137</v>
      </c>
      <c r="L77" s="44" t="s">
        <v>139</v>
      </c>
      <c r="M77" s="72">
        <v>129900</v>
      </c>
      <c r="N77" s="64">
        <v>0.95</v>
      </c>
      <c r="O77" s="72">
        <f t="shared" si="1"/>
        <v>6495</v>
      </c>
      <c r="P77" s="44" t="s">
        <v>0</v>
      </c>
    </row>
    <row r="78" spans="1:16" x14ac:dyDescent="0.3">
      <c r="A78" s="46" t="s">
        <v>2143</v>
      </c>
      <c r="B78" s="26">
        <v>46093</v>
      </c>
      <c r="C78" s="26">
        <v>46098</v>
      </c>
      <c r="D78" s="71">
        <v>3319</v>
      </c>
      <c r="E78" s="25">
        <v>327</v>
      </c>
      <c r="F78" s="46">
        <v>2</v>
      </c>
      <c r="G78" s="46">
        <v>1</v>
      </c>
      <c r="H78" s="46">
        <v>80700</v>
      </c>
      <c r="I78" s="46" t="s">
        <v>17</v>
      </c>
      <c r="J78" s="46">
        <v>24811232</v>
      </c>
      <c r="K78" s="44" t="s">
        <v>137</v>
      </c>
      <c r="L78" s="44" t="s">
        <v>140</v>
      </c>
      <c r="M78" s="72">
        <v>129900</v>
      </c>
      <c r="N78" s="64">
        <v>0.95</v>
      </c>
      <c r="O78" s="72">
        <f t="shared" si="1"/>
        <v>6495</v>
      </c>
      <c r="P78" s="44" t="s">
        <v>0</v>
      </c>
    </row>
    <row r="79" spans="1:16" x14ac:dyDescent="0.3">
      <c r="A79" s="46" t="s">
        <v>2143</v>
      </c>
      <c r="B79" s="26">
        <v>46093</v>
      </c>
      <c r="C79" s="26">
        <v>46098</v>
      </c>
      <c r="D79" s="71">
        <v>3319</v>
      </c>
      <c r="E79" s="25">
        <v>327</v>
      </c>
      <c r="F79" s="46">
        <v>2</v>
      </c>
      <c r="G79" s="46">
        <v>1</v>
      </c>
      <c r="H79" s="46">
        <v>80700</v>
      </c>
      <c r="I79" s="46" t="s">
        <v>17</v>
      </c>
      <c r="J79" s="46">
        <v>24811241</v>
      </c>
      <c r="K79" s="44" t="s">
        <v>137</v>
      </c>
      <c r="L79" s="44" t="s">
        <v>141</v>
      </c>
      <c r="M79" s="72">
        <v>129900</v>
      </c>
      <c r="N79" s="64">
        <v>0.95</v>
      </c>
      <c r="O79" s="72">
        <f t="shared" si="1"/>
        <v>6495</v>
      </c>
      <c r="P79" s="44" t="s">
        <v>0</v>
      </c>
    </row>
    <row r="80" spans="1:16" x14ac:dyDescent="0.3">
      <c r="A80" s="46" t="s">
        <v>2143</v>
      </c>
      <c r="B80" s="26">
        <v>46093</v>
      </c>
      <c r="C80" s="26">
        <v>46098</v>
      </c>
      <c r="D80" s="71">
        <v>3319</v>
      </c>
      <c r="E80" s="25">
        <v>327</v>
      </c>
      <c r="F80" s="46">
        <v>2</v>
      </c>
      <c r="G80" s="46">
        <v>1</v>
      </c>
      <c r="H80" s="46">
        <v>80700</v>
      </c>
      <c r="I80" s="46" t="s">
        <v>17</v>
      </c>
      <c r="J80" s="46">
        <v>24811250</v>
      </c>
      <c r="K80" s="44" t="s">
        <v>142</v>
      </c>
      <c r="L80" s="44" t="s">
        <v>143</v>
      </c>
      <c r="M80" s="72">
        <v>129900</v>
      </c>
      <c r="N80" s="64">
        <v>0.95</v>
      </c>
      <c r="O80" s="72">
        <f t="shared" si="1"/>
        <v>6495</v>
      </c>
      <c r="P80" s="44" t="s">
        <v>0</v>
      </c>
    </row>
    <row r="81" spans="1:16" x14ac:dyDescent="0.3">
      <c r="A81" s="46" t="s">
        <v>2143</v>
      </c>
      <c r="B81" s="26">
        <v>46093</v>
      </c>
      <c r="C81" s="26">
        <v>46098</v>
      </c>
      <c r="D81" s="71">
        <v>3319</v>
      </c>
      <c r="E81" s="25">
        <v>327</v>
      </c>
      <c r="F81" s="46">
        <v>2</v>
      </c>
      <c r="G81" s="46">
        <v>1</v>
      </c>
      <c r="H81" s="46">
        <v>80700</v>
      </c>
      <c r="I81" s="46" t="s">
        <v>17</v>
      </c>
      <c r="J81" s="46">
        <v>24811269</v>
      </c>
      <c r="K81" s="44" t="s">
        <v>142</v>
      </c>
      <c r="L81" s="44" t="s">
        <v>144</v>
      </c>
      <c r="M81" s="72">
        <v>129900</v>
      </c>
      <c r="N81" s="64">
        <v>0.95</v>
      </c>
      <c r="O81" s="72">
        <f t="shared" si="1"/>
        <v>6495</v>
      </c>
      <c r="P81" s="44" t="s">
        <v>0</v>
      </c>
    </row>
    <row r="82" spans="1:16" x14ac:dyDescent="0.3">
      <c r="A82" s="46" t="s">
        <v>2143</v>
      </c>
      <c r="B82" s="26">
        <v>46093</v>
      </c>
      <c r="C82" s="26">
        <v>46098</v>
      </c>
      <c r="D82" s="71">
        <v>3319</v>
      </c>
      <c r="E82" s="25">
        <v>327</v>
      </c>
      <c r="F82" s="46">
        <v>2</v>
      </c>
      <c r="G82" s="46">
        <v>1</v>
      </c>
      <c r="H82" s="46">
        <v>80700</v>
      </c>
      <c r="I82" s="46" t="s">
        <v>17</v>
      </c>
      <c r="J82" s="46">
        <v>24811278</v>
      </c>
      <c r="K82" s="44" t="s">
        <v>142</v>
      </c>
      <c r="L82" s="44" t="s">
        <v>145</v>
      </c>
      <c r="M82" s="72">
        <v>129900</v>
      </c>
      <c r="N82" s="64">
        <v>0.95</v>
      </c>
      <c r="O82" s="72">
        <f t="shared" si="1"/>
        <v>6495</v>
      </c>
      <c r="P82" s="44" t="s">
        <v>0</v>
      </c>
    </row>
    <row r="83" spans="1:16" x14ac:dyDescent="0.3">
      <c r="A83" s="46" t="s">
        <v>2143</v>
      </c>
      <c r="B83" s="26">
        <v>46093</v>
      </c>
      <c r="C83" s="26">
        <v>46098</v>
      </c>
      <c r="D83" s="71">
        <v>3319</v>
      </c>
      <c r="E83" s="25">
        <v>327</v>
      </c>
      <c r="F83" s="46">
        <v>2</v>
      </c>
      <c r="G83" s="46">
        <v>1</v>
      </c>
      <c r="H83" s="46">
        <v>80700</v>
      </c>
      <c r="I83" s="46" t="s">
        <v>17</v>
      </c>
      <c r="J83" s="46">
        <v>24811287</v>
      </c>
      <c r="K83" s="44" t="s">
        <v>142</v>
      </c>
      <c r="L83" s="44" t="s">
        <v>146</v>
      </c>
      <c r="M83" s="72">
        <v>129900</v>
      </c>
      <c r="N83" s="64">
        <v>0.95</v>
      </c>
      <c r="O83" s="72">
        <f t="shared" si="1"/>
        <v>6495</v>
      </c>
      <c r="P83" s="44" t="s">
        <v>0</v>
      </c>
    </row>
    <row r="84" spans="1:16" x14ac:dyDescent="0.3">
      <c r="A84" s="46" t="s">
        <v>2143</v>
      </c>
      <c r="B84" s="26">
        <v>46093</v>
      </c>
      <c r="C84" s="26">
        <v>46098</v>
      </c>
      <c r="D84" s="71">
        <v>3319</v>
      </c>
      <c r="E84" s="25">
        <v>327</v>
      </c>
      <c r="F84" s="46">
        <v>2</v>
      </c>
      <c r="G84" s="46">
        <v>1</v>
      </c>
      <c r="H84" s="46">
        <v>80700</v>
      </c>
      <c r="I84" s="46" t="s">
        <v>17</v>
      </c>
      <c r="J84" s="46">
        <v>24811296</v>
      </c>
      <c r="K84" s="44" t="s">
        <v>147</v>
      </c>
      <c r="L84" s="44" t="s">
        <v>148</v>
      </c>
      <c r="M84" s="72">
        <v>129900</v>
      </c>
      <c r="N84" s="64">
        <v>0.95</v>
      </c>
      <c r="O84" s="72">
        <f t="shared" si="1"/>
        <v>6495</v>
      </c>
      <c r="P84" s="44" t="s">
        <v>0</v>
      </c>
    </row>
    <row r="85" spans="1:16" x14ac:dyDescent="0.3">
      <c r="A85" s="46" t="s">
        <v>2143</v>
      </c>
      <c r="B85" s="26">
        <v>46093</v>
      </c>
      <c r="C85" s="26">
        <v>46098</v>
      </c>
      <c r="D85" s="71">
        <v>3319</v>
      </c>
      <c r="E85" s="25">
        <v>327</v>
      </c>
      <c r="F85" s="46">
        <v>2</v>
      </c>
      <c r="G85" s="46">
        <v>1</v>
      </c>
      <c r="H85" s="46">
        <v>80700</v>
      </c>
      <c r="I85" s="46" t="s">
        <v>17</v>
      </c>
      <c r="J85" s="46">
        <v>24811303</v>
      </c>
      <c r="K85" s="44" t="s">
        <v>147</v>
      </c>
      <c r="L85" s="44" t="s">
        <v>149</v>
      </c>
      <c r="M85" s="72">
        <v>129900</v>
      </c>
      <c r="N85" s="64">
        <v>0.95</v>
      </c>
      <c r="O85" s="72">
        <f t="shared" si="1"/>
        <v>6495</v>
      </c>
      <c r="P85" s="44" t="s">
        <v>0</v>
      </c>
    </row>
    <row r="86" spans="1:16" x14ac:dyDescent="0.3">
      <c r="A86" s="46" t="s">
        <v>2143</v>
      </c>
      <c r="B86" s="26">
        <v>46093</v>
      </c>
      <c r="C86" s="26">
        <v>46098</v>
      </c>
      <c r="D86" s="71">
        <v>3319</v>
      </c>
      <c r="E86" s="25">
        <v>327</v>
      </c>
      <c r="F86" s="46">
        <v>2</v>
      </c>
      <c r="G86" s="46">
        <v>1</v>
      </c>
      <c r="H86" s="46">
        <v>80700</v>
      </c>
      <c r="I86" s="46" t="s">
        <v>17</v>
      </c>
      <c r="J86" s="46">
        <v>24811321</v>
      </c>
      <c r="K86" s="44" t="s">
        <v>147</v>
      </c>
      <c r="L86" s="44" t="s">
        <v>150</v>
      </c>
      <c r="M86" s="72">
        <v>129900</v>
      </c>
      <c r="N86" s="64">
        <v>0.95</v>
      </c>
      <c r="O86" s="72">
        <f t="shared" si="1"/>
        <v>6495</v>
      </c>
      <c r="P86" s="44" t="s">
        <v>0</v>
      </c>
    </row>
    <row r="87" spans="1:16" x14ac:dyDescent="0.3">
      <c r="A87" s="46" t="s">
        <v>2143</v>
      </c>
      <c r="B87" s="26">
        <v>46093</v>
      </c>
      <c r="C87" s="26">
        <v>46098</v>
      </c>
      <c r="D87" s="71">
        <v>3319</v>
      </c>
      <c r="E87" s="25">
        <v>327</v>
      </c>
      <c r="F87" s="46">
        <v>2</v>
      </c>
      <c r="G87" s="46">
        <v>1</v>
      </c>
      <c r="H87" s="46">
        <v>80700</v>
      </c>
      <c r="I87" s="46" t="s">
        <v>17</v>
      </c>
      <c r="J87" s="46">
        <v>24863436</v>
      </c>
      <c r="K87" s="44" t="s">
        <v>151</v>
      </c>
      <c r="L87" s="44" t="s">
        <v>152</v>
      </c>
      <c r="M87" s="72">
        <v>129900</v>
      </c>
      <c r="N87" s="64">
        <v>0.95</v>
      </c>
      <c r="O87" s="72">
        <f t="shared" si="1"/>
        <v>6495</v>
      </c>
      <c r="P87" s="44" t="s">
        <v>0</v>
      </c>
    </row>
    <row r="88" spans="1:16" x14ac:dyDescent="0.3">
      <c r="A88" s="46" t="s">
        <v>2143</v>
      </c>
      <c r="B88" s="26">
        <v>46093</v>
      </c>
      <c r="C88" s="26">
        <v>46098</v>
      </c>
      <c r="D88" s="71">
        <v>3319</v>
      </c>
      <c r="E88" s="25">
        <v>327</v>
      </c>
      <c r="F88" s="46">
        <v>2</v>
      </c>
      <c r="G88" s="46">
        <v>1</v>
      </c>
      <c r="H88" s="46">
        <v>80700</v>
      </c>
      <c r="I88" s="46" t="s">
        <v>17</v>
      </c>
      <c r="J88" s="46">
        <v>24863463</v>
      </c>
      <c r="K88" s="44" t="s">
        <v>151</v>
      </c>
      <c r="L88" s="44" t="s">
        <v>153</v>
      </c>
      <c r="M88" s="72">
        <v>129900</v>
      </c>
      <c r="N88" s="64">
        <v>0.95</v>
      </c>
      <c r="O88" s="72">
        <f t="shared" si="1"/>
        <v>6495</v>
      </c>
      <c r="P88" s="44" t="s">
        <v>0</v>
      </c>
    </row>
    <row r="89" spans="1:16" x14ac:dyDescent="0.3">
      <c r="A89" s="46" t="s">
        <v>2143</v>
      </c>
      <c r="B89" s="26">
        <v>46093</v>
      </c>
      <c r="C89" s="26">
        <v>46098</v>
      </c>
      <c r="D89" s="71">
        <v>3319</v>
      </c>
      <c r="E89" s="25">
        <v>327</v>
      </c>
      <c r="F89" s="46">
        <v>2</v>
      </c>
      <c r="G89" s="46">
        <v>1</v>
      </c>
      <c r="H89" s="46">
        <v>80700</v>
      </c>
      <c r="I89" s="46" t="s">
        <v>17</v>
      </c>
      <c r="J89" s="46">
        <v>22593893</v>
      </c>
      <c r="K89" s="44" t="s">
        <v>154</v>
      </c>
      <c r="L89" s="44" t="s">
        <v>155</v>
      </c>
      <c r="M89" s="72">
        <v>119900</v>
      </c>
      <c r="N89" s="64">
        <v>0.95</v>
      </c>
      <c r="O89" s="72">
        <f t="shared" si="1"/>
        <v>5995</v>
      </c>
      <c r="P89" s="44" t="s">
        <v>0</v>
      </c>
    </row>
    <row r="90" spans="1:16" x14ac:dyDescent="0.3">
      <c r="A90" s="46" t="s">
        <v>2143</v>
      </c>
      <c r="B90" s="26">
        <v>46093</v>
      </c>
      <c r="C90" s="26">
        <v>46098</v>
      </c>
      <c r="D90" s="71">
        <v>3319</v>
      </c>
      <c r="E90" s="25">
        <v>327</v>
      </c>
      <c r="F90" s="46">
        <v>2</v>
      </c>
      <c r="G90" s="46">
        <v>1</v>
      </c>
      <c r="H90" s="46">
        <v>80700</v>
      </c>
      <c r="I90" s="46" t="s">
        <v>17</v>
      </c>
      <c r="J90" s="46">
        <v>22593955</v>
      </c>
      <c r="K90" s="44" t="s">
        <v>156</v>
      </c>
      <c r="L90" s="44" t="s">
        <v>157</v>
      </c>
      <c r="M90" s="72">
        <v>119900</v>
      </c>
      <c r="N90" s="64">
        <v>0.95</v>
      </c>
      <c r="O90" s="72">
        <f t="shared" si="1"/>
        <v>5995</v>
      </c>
      <c r="P90" s="44" t="s">
        <v>0</v>
      </c>
    </row>
    <row r="91" spans="1:16" x14ac:dyDescent="0.3">
      <c r="A91" s="46" t="s">
        <v>2143</v>
      </c>
      <c r="B91" s="26">
        <v>46093</v>
      </c>
      <c r="C91" s="26">
        <v>46098</v>
      </c>
      <c r="D91" s="71">
        <v>3319</v>
      </c>
      <c r="E91" s="25">
        <v>327</v>
      </c>
      <c r="F91" s="46">
        <v>2</v>
      </c>
      <c r="G91" s="46">
        <v>1</v>
      </c>
      <c r="H91" s="46">
        <v>80700</v>
      </c>
      <c r="I91" s="46" t="s">
        <v>17</v>
      </c>
      <c r="J91" s="46">
        <v>22614137</v>
      </c>
      <c r="K91" s="44" t="s">
        <v>158</v>
      </c>
      <c r="L91" s="44" t="s">
        <v>159</v>
      </c>
      <c r="M91" s="72">
        <v>119900</v>
      </c>
      <c r="N91" s="64">
        <v>0.95</v>
      </c>
      <c r="O91" s="72">
        <f t="shared" si="1"/>
        <v>5995</v>
      </c>
      <c r="P91" s="44" t="s">
        <v>0</v>
      </c>
    </row>
    <row r="92" spans="1:16" x14ac:dyDescent="0.3">
      <c r="A92" s="46" t="s">
        <v>2143</v>
      </c>
      <c r="B92" s="26">
        <v>46093</v>
      </c>
      <c r="C92" s="26">
        <v>46098</v>
      </c>
      <c r="D92" s="71">
        <v>3319</v>
      </c>
      <c r="E92" s="25">
        <v>327</v>
      </c>
      <c r="F92" s="46">
        <v>2</v>
      </c>
      <c r="G92" s="46">
        <v>1</v>
      </c>
      <c r="H92" s="46">
        <v>80700</v>
      </c>
      <c r="I92" s="46" t="s">
        <v>17</v>
      </c>
      <c r="J92" s="46">
        <v>20957799</v>
      </c>
      <c r="K92" s="44" t="s">
        <v>160</v>
      </c>
      <c r="L92" s="44" t="s">
        <v>161</v>
      </c>
      <c r="M92" s="72">
        <v>129900</v>
      </c>
      <c r="N92" s="64">
        <v>0.95</v>
      </c>
      <c r="O92" s="72">
        <f t="shared" si="1"/>
        <v>6495</v>
      </c>
      <c r="P92" s="44" t="s">
        <v>0</v>
      </c>
    </row>
    <row r="93" spans="1:16" x14ac:dyDescent="0.3">
      <c r="A93" s="46" t="s">
        <v>2143</v>
      </c>
      <c r="B93" s="26">
        <v>46093</v>
      </c>
      <c r="C93" s="26">
        <v>46098</v>
      </c>
      <c r="D93" s="71">
        <v>3319</v>
      </c>
      <c r="E93" s="25">
        <v>327</v>
      </c>
      <c r="F93" s="46">
        <v>2</v>
      </c>
      <c r="G93" s="46">
        <v>1</v>
      </c>
      <c r="H93" s="46">
        <v>80700</v>
      </c>
      <c r="I93" s="46" t="s">
        <v>17</v>
      </c>
      <c r="J93" s="46">
        <v>20957806</v>
      </c>
      <c r="K93" s="44" t="s">
        <v>160</v>
      </c>
      <c r="L93" s="44" t="s">
        <v>162</v>
      </c>
      <c r="M93" s="72">
        <v>129900</v>
      </c>
      <c r="N93" s="64">
        <v>0.95</v>
      </c>
      <c r="O93" s="72">
        <f t="shared" si="1"/>
        <v>6495</v>
      </c>
      <c r="P93" s="44" t="s">
        <v>0</v>
      </c>
    </row>
    <row r="94" spans="1:16" x14ac:dyDescent="0.3">
      <c r="A94" s="46" t="s">
        <v>2143</v>
      </c>
      <c r="B94" s="26">
        <v>46093</v>
      </c>
      <c r="C94" s="26">
        <v>46098</v>
      </c>
      <c r="D94" s="71">
        <v>3319</v>
      </c>
      <c r="E94" s="25">
        <v>327</v>
      </c>
      <c r="F94" s="46">
        <v>2</v>
      </c>
      <c r="G94" s="46">
        <v>1</v>
      </c>
      <c r="H94" s="46">
        <v>80700</v>
      </c>
      <c r="I94" s="46" t="s">
        <v>17</v>
      </c>
      <c r="J94" s="46">
        <v>20957842</v>
      </c>
      <c r="K94" s="44" t="s">
        <v>163</v>
      </c>
      <c r="L94" s="44" t="s">
        <v>164</v>
      </c>
      <c r="M94" s="72">
        <v>129900</v>
      </c>
      <c r="N94" s="64">
        <v>0.95</v>
      </c>
      <c r="O94" s="72">
        <f t="shared" si="1"/>
        <v>6495</v>
      </c>
      <c r="P94" s="44" t="s">
        <v>0</v>
      </c>
    </row>
    <row r="95" spans="1:16" x14ac:dyDescent="0.3">
      <c r="A95" s="46" t="s">
        <v>2143</v>
      </c>
      <c r="B95" s="26">
        <v>46093</v>
      </c>
      <c r="C95" s="26">
        <v>46098</v>
      </c>
      <c r="D95" s="71">
        <v>3319</v>
      </c>
      <c r="E95" s="25">
        <v>327</v>
      </c>
      <c r="F95" s="46">
        <v>2</v>
      </c>
      <c r="G95" s="46">
        <v>1</v>
      </c>
      <c r="H95" s="46">
        <v>80700</v>
      </c>
      <c r="I95" s="46" t="s">
        <v>17</v>
      </c>
      <c r="J95" s="46">
        <v>20957851</v>
      </c>
      <c r="K95" s="44" t="s">
        <v>163</v>
      </c>
      <c r="L95" s="44" t="s">
        <v>165</v>
      </c>
      <c r="M95" s="72">
        <v>129900</v>
      </c>
      <c r="N95" s="64">
        <v>0.95</v>
      </c>
      <c r="O95" s="72">
        <f t="shared" si="1"/>
        <v>6495</v>
      </c>
      <c r="P95" s="44" t="s">
        <v>0</v>
      </c>
    </row>
    <row r="96" spans="1:16" x14ac:dyDescent="0.3">
      <c r="A96" s="46" t="s">
        <v>2143</v>
      </c>
      <c r="B96" s="26">
        <v>46093</v>
      </c>
      <c r="C96" s="26">
        <v>46098</v>
      </c>
      <c r="D96" s="71">
        <v>3319</v>
      </c>
      <c r="E96" s="25">
        <v>327</v>
      </c>
      <c r="F96" s="46">
        <v>2</v>
      </c>
      <c r="G96" s="46">
        <v>1</v>
      </c>
      <c r="H96" s="46">
        <v>80700</v>
      </c>
      <c r="I96" s="46" t="s">
        <v>17</v>
      </c>
      <c r="J96" s="46">
        <v>20957879</v>
      </c>
      <c r="K96" s="44" t="s">
        <v>166</v>
      </c>
      <c r="L96" s="44" t="s">
        <v>167</v>
      </c>
      <c r="M96" s="72">
        <v>129900</v>
      </c>
      <c r="N96" s="64">
        <v>0.95</v>
      </c>
      <c r="O96" s="72">
        <f t="shared" si="1"/>
        <v>6495</v>
      </c>
      <c r="P96" s="44" t="s">
        <v>0</v>
      </c>
    </row>
    <row r="97" spans="1:16" x14ac:dyDescent="0.3">
      <c r="A97" s="46" t="s">
        <v>2143</v>
      </c>
      <c r="B97" s="26">
        <v>46093</v>
      </c>
      <c r="C97" s="26">
        <v>46098</v>
      </c>
      <c r="D97" s="71">
        <v>3319</v>
      </c>
      <c r="E97" s="25">
        <v>327</v>
      </c>
      <c r="F97" s="46">
        <v>2</v>
      </c>
      <c r="G97" s="46">
        <v>1</v>
      </c>
      <c r="H97" s="46">
        <v>80700</v>
      </c>
      <c r="I97" s="46" t="s">
        <v>17</v>
      </c>
      <c r="J97" s="46">
        <v>20957888</v>
      </c>
      <c r="K97" s="44" t="s">
        <v>166</v>
      </c>
      <c r="L97" s="44" t="s">
        <v>168</v>
      </c>
      <c r="M97" s="72">
        <v>129900</v>
      </c>
      <c r="N97" s="64">
        <v>0.95</v>
      </c>
      <c r="O97" s="72">
        <f t="shared" si="1"/>
        <v>6495</v>
      </c>
      <c r="P97" s="44" t="s">
        <v>0</v>
      </c>
    </row>
    <row r="98" spans="1:16" x14ac:dyDescent="0.3">
      <c r="A98" s="46" t="s">
        <v>2143</v>
      </c>
      <c r="B98" s="26">
        <v>46093</v>
      </c>
      <c r="C98" s="26">
        <v>46098</v>
      </c>
      <c r="D98" s="71">
        <v>3319</v>
      </c>
      <c r="E98" s="25">
        <v>327</v>
      </c>
      <c r="F98" s="46">
        <v>2</v>
      </c>
      <c r="G98" s="46">
        <v>1</v>
      </c>
      <c r="H98" s="46">
        <v>80700</v>
      </c>
      <c r="I98" s="46" t="s">
        <v>17</v>
      </c>
      <c r="J98" s="46">
        <v>20957904</v>
      </c>
      <c r="K98" s="44" t="s">
        <v>166</v>
      </c>
      <c r="L98" s="44" t="s">
        <v>169</v>
      </c>
      <c r="M98" s="72">
        <v>129900</v>
      </c>
      <c r="N98" s="64">
        <v>0.95</v>
      </c>
      <c r="O98" s="72">
        <f t="shared" si="1"/>
        <v>6495</v>
      </c>
      <c r="P98" s="44" t="s">
        <v>0</v>
      </c>
    </row>
    <row r="99" spans="1:16" x14ac:dyDescent="0.3">
      <c r="A99" s="46" t="s">
        <v>2143</v>
      </c>
      <c r="B99" s="26">
        <v>46093</v>
      </c>
      <c r="C99" s="26">
        <v>46098</v>
      </c>
      <c r="D99" s="71">
        <v>3319</v>
      </c>
      <c r="E99" s="25">
        <v>327</v>
      </c>
      <c r="F99" s="46">
        <v>2</v>
      </c>
      <c r="G99" s="46">
        <v>1</v>
      </c>
      <c r="H99" s="46">
        <v>80700</v>
      </c>
      <c r="I99" s="46" t="s">
        <v>17</v>
      </c>
      <c r="J99" s="46">
        <v>20957913</v>
      </c>
      <c r="K99" s="44" t="s">
        <v>170</v>
      </c>
      <c r="L99" s="44" t="s">
        <v>171</v>
      </c>
      <c r="M99" s="72">
        <v>129900</v>
      </c>
      <c r="N99" s="64">
        <v>0.95</v>
      </c>
      <c r="O99" s="72">
        <f t="shared" si="1"/>
        <v>6495</v>
      </c>
      <c r="P99" s="44" t="s">
        <v>0</v>
      </c>
    </row>
    <row r="100" spans="1:16" x14ac:dyDescent="0.3">
      <c r="A100" s="46" t="s">
        <v>2143</v>
      </c>
      <c r="B100" s="26">
        <v>46093</v>
      </c>
      <c r="C100" s="26">
        <v>46098</v>
      </c>
      <c r="D100" s="71">
        <v>3319</v>
      </c>
      <c r="E100" s="25">
        <v>327</v>
      </c>
      <c r="F100" s="46">
        <v>2</v>
      </c>
      <c r="G100" s="46">
        <v>1</v>
      </c>
      <c r="H100" s="46">
        <v>80700</v>
      </c>
      <c r="I100" s="46" t="s">
        <v>17</v>
      </c>
      <c r="J100" s="46">
        <v>20957940</v>
      </c>
      <c r="K100" s="44" t="s">
        <v>170</v>
      </c>
      <c r="L100" s="44" t="s">
        <v>172</v>
      </c>
      <c r="M100" s="72">
        <v>129900</v>
      </c>
      <c r="N100" s="64">
        <v>0.95</v>
      </c>
      <c r="O100" s="72">
        <f t="shared" si="1"/>
        <v>6495</v>
      </c>
      <c r="P100" s="44" t="s">
        <v>0</v>
      </c>
    </row>
    <row r="101" spans="1:16" x14ac:dyDescent="0.3">
      <c r="A101" s="46" t="s">
        <v>2143</v>
      </c>
      <c r="B101" s="26">
        <v>46093</v>
      </c>
      <c r="C101" s="26">
        <v>46098</v>
      </c>
      <c r="D101" s="71">
        <v>3319</v>
      </c>
      <c r="E101" s="25">
        <v>327</v>
      </c>
      <c r="F101" s="46">
        <v>2</v>
      </c>
      <c r="G101" s="46">
        <v>1</v>
      </c>
      <c r="H101" s="46">
        <v>80700</v>
      </c>
      <c r="I101" s="46" t="s">
        <v>17</v>
      </c>
      <c r="J101" s="46">
        <v>23785746</v>
      </c>
      <c r="K101" s="44" t="s">
        <v>173</v>
      </c>
      <c r="L101" s="44" t="s">
        <v>174</v>
      </c>
      <c r="M101" s="72">
        <v>129900</v>
      </c>
      <c r="N101" s="64">
        <v>0.95</v>
      </c>
      <c r="O101" s="72">
        <f t="shared" si="1"/>
        <v>6495</v>
      </c>
      <c r="P101" s="44" t="s">
        <v>0</v>
      </c>
    </row>
    <row r="102" spans="1:16" x14ac:dyDescent="0.3">
      <c r="A102" s="46" t="s">
        <v>2143</v>
      </c>
      <c r="B102" s="26">
        <v>46093</v>
      </c>
      <c r="C102" s="26">
        <v>46098</v>
      </c>
      <c r="D102" s="71">
        <v>3319</v>
      </c>
      <c r="E102" s="25">
        <v>327</v>
      </c>
      <c r="F102" s="46">
        <v>2</v>
      </c>
      <c r="G102" s="46">
        <v>1</v>
      </c>
      <c r="H102" s="46">
        <v>81011</v>
      </c>
      <c r="I102" s="46" t="s">
        <v>17</v>
      </c>
      <c r="J102" s="46">
        <v>23707142</v>
      </c>
      <c r="K102" s="44" t="s">
        <v>175</v>
      </c>
      <c r="L102" s="44" t="s">
        <v>176</v>
      </c>
      <c r="M102" s="72">
        <v>129900</v>
      </c>
      <c r="N102" s="64">
        <v>0.95</v>
      </c>
      <c r="O102" s="72">
        <f t="shared" si="1"/>
        <v>6495</v>
      </c>
      <c r="P102" s="44" t="s">
        <v>0</v>
      </c>
    </row>
    <row r="103" spans="1:16" x14ac:dyDescent="0.3">
      <c r="A103" s="46" t="s">
        <v>2143</v>
      </c>
      <c r="B103" s="26">
        <v>46093</v>
      </c>
      <c r="C103" s="26">
        <v>46098</v>
      </c>
      <c r="D103" s="71">
        <v>3319</v>
      </c>
      <c r="E103" s="25">
        <v>327</v>
      </c>
      <c r="F103" s="46">
        <v>2</v>
      </c>
      <c r="G103" s="46">
        <v>1</v>
      </c>
      <c r="H103" s="46">
        <v>81011</v>
      </c>
      <c r="I103" s="46" t="s">
        <v>17</v>
      </c>
      <c r="J103" s="46">
        <v>23707151</v>
      </c>
      <c r="K103" s="44" t="s">
        <v>175</v>
      </c>
      <c r="L103" s="44" t="s">
        <v>177</v>
      </c>
      <c r="M103" s="72">
        <v>129900</v>
      </c>
      <c r="N103" s="64">
        <v>0.95</v>
      </c>
      <c r="O103" s="72">
        <f t="shared" si="1"/>
        <v>6495</v>
      </c>
      <c r="P103" s="44" t="s">
        <v>0</v>
      </c>
    </row>
    <row r="104" spans="1:16" x14ac:dyDescent="0.3">
      <c r="A104" s="46" t="s">
        <v>2143</v>
      </c>
      <c r="B104" s="26">
        <v>46093</v>
      </c>
      <c r="C104" s="26">
        <v>46098</v>
      </c>
      <c r="D104" s="71">
        <v>3319</v>
      </c>
      <c r="E104" s="25">
        <v>327</v>
      </c>
      <c r="F104" s="46">
        <v>2</v>
      </c>
      <c r="G104" s="46">
        <v>1</v>
      </c>
      <c r="H104" s="46">
        <v>81011</v>
      </c>
      <c r="I104" s="46" t="s">
        <v>17</v>
      </c>
      <c r="J104" s="46">
        <v>23707160</v>
      </c>
      <c r="K104" s="44" t="s">
        <v>178</v>
      </c>
      <c r="L104" s="44" t="s">
        <v>179</v>
      </c>
      <c r="M104" s="72">
        <v>129900</v>
      </c>
      <c r="N104" s="64">
        <v>0.95</v>
      </c>
      <c r="O104" s="72">
        <f t="shared" si="1"/>
        <v>6495</v>
      </c>
      <c r="P104" s="44" t="s">
        <v>0</v>
      </c>
    </row>
    <row r="105" spans="1:16" x14ac:dyDescent="0.3">
      <c r="A105" s="46" t="s">
        <v>2143</v>
      </c>
      <c r="B105" s="26">
        <v>46093</v>
      </c>
      <c r="C105" s="26">
        <v>46098</v>
      </c>
      <c r="D105" s="71">
        <v>3319</v>
      </c>
      <c r="E105" s="25">
        <v>327</v>
      </c>
      <c r="F105" s="46">
        <v>2</v>
      </c>
      <c r="G105" s="46">
        <v>1</v>
      </c>
      <c r="H105" s="46">
        <v>81011</v>
      </c>
      <c r="I105" s="46" t="s">
        <v>17</v>
      </c>
      <c r="J105" s="46">
        <v>23707179</v>
      </c>
      <c r="K105" s="44" t="s">
        <v>178</v>
      </c>
      <c r="L105" s="44" t="s">
        <v>180</v>
      </c>
      <c r="M105" s="72">
        <v>129900</v>
      </c>
      <c r="N105" s="64">
        <v>0.95</v>
      </c>
      <c r="O105" s="72">
        <f t="shared" si="1"/>
        <v>6495</v>
      </c>
      <c r="P105" s="44" t="s">
        <v>0</v>
      </c>
    </row>
    <row r="106" spans="1:16" x14ac:dyDescent="0.3">
      <c r="A106" s="46" t="s">
        <v>2143</v>
      </c>
      <c r="B106" s="26">
        <v>46093</v>
      </c>
      <c r="C106" s="26">
        <v>46098</v>
      </c>
      <c r="D106" s="71">
        <v>3319</v>
      </c>
      <c r="E106" s="25">
        <v>327</v>
      </c>
      <c r="F106" s="46">
        <v>2</v>
      </c>
      <c r="G106" s="46">
        <v>1</v>
      </c>
      <c r="H106" s="46">
        <v>81011</v>
      </c>
      <c r="I106" s="46" t="s">
        <v>17</v>
      </c>
      <c r="J106" s="46">
        <v>23707188</v>
      </c>
      <c r="K106" s="44" t="s">
        <v>178</v>
      </c>
      <c r="L106" s="44" t="s">
        <v>181</v>
      </c>
      <c r="M106" s="72">
        <v>129900</v>
      </c>
      <c r="N106" s="64">
        <v>0.95</v>
      </c>
      <c r="O106" s="72">
        <f t="shared" si="1"/>
        <v>6495</v>
      </c>
      <c r="P106" s="44" t="s">
        <v>0</v>
      </c>
    </row>
    <row r="107" spans="1:16" x14ac:dyDescent="0.3">
      <c r="A107" s="46" t="s">
        <v>2143</v>
      </c>
      <c r="B107" s="26">
        <v>46093</v>
      </c>
      <c r="C107" s="26">
        <v>46098</v>
      </c>
      <c r="D107" s="71">
        <v>3319</v>
      </c>
      <c r="E107" s="25">
        <v>327</v>
      </c>
      <c r="F107" s="46">
        <v>2</v>
      </c>
      <c r="G107" s="46">
        <v>1</v>
      </c>
      <c r="H107" s="46">
        <v>81011</v>
      </c>
      <c r="I107" s="46" t="s">
        <v>17</v>
      </c>
      <c r="J107" s="46">
        <v>23707204</v>
      </c>
      <c r="K107" s="44" t="s">
        <v>182</v>
      </c>
      <c r="L107" s="44" t="s">
        <v>183</v>
      </c>
      <c r="M107" s="72">
        <v>129900</v>
      </c>
      <c r="N107" s="64">
        <v>0.95</v>
      </c>
      <c r="O107" s="72">
        <f t="shared" si="1"/>
        <v>6495</v>
      </c>
      <c r="P107" s="44" t="s">
        <v>0</v>
      </c>
    </row>
    <row r="108" spans="1:16" x14ac:dyDescent="0.3">
      <c r="A108" s="46" t="s">
        <v>2143</v>
      </c>
      <c r="B108" s="26">
        <v>46093</v>
      </c>
      <c r="C108" s="26">
        <v>46098</v>
      </c>
      <c r="D108" s="71">
        <v>3319</v>
      </c>
      <c r="E108" s="25">
        <v>327</v>
      </c>
      <c r="F108" s="46">
        <v>2</v>
      </c>
      <c r="G108" s="46">
        <v>1</v>
      </c>
      <c r="H108" s="46">
        <v>81011</v>
      </c>
      <c r="I108" s="46" t="s">
        <v>17</v>
      </c>
      <c r="J108" s="46">
        <v>23707213</v>
      </c>
      <c r="K108" s="44" t="s">
        <v>182</v>
      </c>
      <c r="L108" s="44" t="s">
        <v>184</v>
      </c>
      <c r="M108" s="72">
        <v>129900</v>
      </c>
      <c r="N108" s="64">
        <v>0.95</v>
      </c>
      <c r="O108" s="72">
        <f t="shared" si="1"/>
        <v>6495</v>
      </c>
      <c r="P108" s="44" t="s">
        <v>0</v>
      </c>
    </row>
    <row r="109" spans="1:16" x14ac:dyDescent="0.3">
      <c r="A109" s="46" t="s">
        <v>2143</v>
      </c>
      <c r="B109" s="26">
        <v>46093</v>
      </c>
      <c r="C109" s="26">
        <v>46098</v>
      </c>
      <c r="D109" s="71">
        <v>3319</v>
      </c>
      <c r="E109" s="25">
        <v>327</v>
      </c>
      <c r="F109" s="46">
        <v>2</v>
      </c>
      <c r="G109" s="46">
        <v>1</v>
      </c>
      <c r="H109" s="46">
        <v>81011</v>
      </c>
      <c r="I109" s="46" t="s">
        <v>17</v>
      </c>
      <c r="J109" s="46">
        <v>23707222</v>
      </c>
      <c r="K109" s="44" t="s">
        <v>182</v>
      </c>
      <c r="L109" s="44" t="s">
        <v>185</v>
      </c>
      <c r="M109" s="72">
        <v>129900</v>
      </c>
      <c r="N109" s="64">
        <v>0.95</v>
      </c>
      <c r="O109" s="72">
        <f t="shared" si="1"/>
        <v>6495</v>
      </c>
      <c r="P109" s="44" t="s">
        <v>0</v>
      </c>
    </row>
    <row r="110" spans="1:16" x14ac:dyDescent="0.3">
      <c r="A110" s="46" t="s">
        <v>2143</v>
      </c>
      <c r="B110" s="26">
        <v>46093</v>
      </c>
      <c r="C110" s="26">
        <v>46098</v>
      </c>
      <c r="D110" s="71">
        <v>3319</v>
      </c>
      <c r="E110" s="25">
        <v>327</v>
      </c>
      <c r="F110" s="46">
        <v>2</v>
      </c>
      <c r="G110" s="46">
        <v>1</v>
      </c>
      <c r="H110" s="46">
        <v>81011</v>
      </c>
      <c r="I110" s="46" t="s">
        <v>17</v>
      </c>
      <c r="J110" s="46">
        <v>23707231</v>
      </c>
      <c r="K110" s="44" t="s">
        <v>182</v>
      </c>
      <c r="L110" s="44" t="s">
        <v>186</v>
      </c>
      <c r="M110" s="72">
        <v>129900</v>
      </c>
      <c r="N110" s="64">
        <v>0.95</v>
      </c>
      <c r="O110" s="72">
        <f t="shared" si="1"/>
        <v>6495</v>
      </c>
      <c r="P110" s="44" t="s">
        <v>0</v>
      </c>
    </row>
    <row r="111" spans="1:16" x14ac:dyDescent="0.3">
      <c r="A111" s="46" t="s">
        <v>2143</v>
      </c>
      <c r="B111" s="26">
        <v>46093</v>
      </c>
      <c r="C111" s="26">
        <v>46098</v>
      </c>
      <c r="D111" s="71">
        <v>3319</v>
      </c>
      <c r="E111" s="25">
        <v>327</v>
      </c>
      <c r="F111" s="46">
        <v>2</v>
      </c>
      <c r="G111" s="46">
        <v>1</v>
      </c>
      <c r="H111" s="46">
        <v>81011</v>
      </c>
      <c r="I111" s="46" t="s">
        <v>17</v>
      </c>
      <c r="J111" s="46">
        <v>24371566</v>
      </c>
      <c r="K111" s="44" t="s">
        <v>187</v>
      </c>
      <c r="L111" s="44" t="s">
        <v>188</v>
      </c>
      <c r="M111" s="72">
        <v>129900</v>
      </c>
      <c r="N111" s="64">
        <v>0.95</v>
      </c>
      <c r="O111" s="72">
        <f t="shared" si="1"/>
        <v>6495</v>
      </c>
      <c r="P111" s="44" t="s">
        <v>0</v>
      </c>
    </row>
    <row r="112" spans="1:16" x14ac:dyDescent="0.3">
      <c r="A112" s="46" t="s">
        <v>2143</v>
      </c>
      <c r="B112" s="26">
        <v>46093</v>
      </c>
      <c r="C112" s="26">
        <v>46098</v>
      </c>
      <c r="D112" s="71">
        <v>3319</v>
      </c>
      <c r="E112" s="25">
        <v>327</v>
      </c>
      <c r="F112" s="46">
        <v>2</v>
      </c>
      <c r="G112" s="46">
        <v>1</v>
      </c>
      <c r="H112" s="46">
        <v>81011</v>
      </c>
      <c r="I112" s="46" t="s">
        <v>17</v>
      </c>
      <c r="J112" s="46">
        <v>24371575</v>
      </c>
      <c r="K112" s="44" t="s">
        <v>187</v>
      </c>
      <c r="L112" s="44" t="s">
        <v>189</v>
      </c>
      <c r="M112" s="72">
        <v>129900</v>
      </c>
      <c r="N112" s="64">
        <v>0.95</v>
      </c>
      <c r="O112" s="72">
        <f t="shared" si="1"/>
        <v>6495</v>
      </c>
      <c r="P112" s="44" t="s">
        <v>0</v>
      </c>
    </row>
    <row r="113" spans="1:16" x14ac:dyDescent="0.3">
      <c r="A113" s="46" t="s">
        <v>2143</v>
      </c>
      <c r="B113" s="26">
        <v>46093</v>
      </c>
      <c r="C113" s="26">
        <v>46098</v>
      </c>
      <c r="D113" s="71">
        <v>3319</v>
      </c>
      <c r="E113" s="25">
        <v>327</v>
      </c>
      <c r="F113" s="46">
        <v>2</v>
      </c>
      <c r="G113" s="46">
        <v>1</v>
      </c>
      <c r="H113" s="46">
        <v>81011</v>
      </c>
      <c r="I113" s="46" t="s">
        <v>17</v>
      </c>
      <c r="J113" s="46">
        <v>24371584</v>
      </c>
      <c r="K113" s="44" t="s">
        <v>187</v>
      </c>
      <c r="L113" s="44" t="s">
        <v>190</v>
      </c>
      <c r="M113" s="72">
        <v>129900</v>
      </c>
      <c r="N113" s="64">
        <v>0.95</v>
      </c>
      <c r="O113" s="72">
        <f t="shared" si="1"/>
        <v>6495</v>
      </c>
      <c r="P113" s="44" t="s">
        <v>0</v>
      </c>
    </row>
    <row r="114" spans="1:16" x14ac:dyDescent="0.3">
      <c r="A114" s="46" t="s">
        <v>2143</v>
      </c>
      <c r="B114" s="26">
        <v>46093</v>
      </c>
      <c r="C114" s="26">
        <v>46098</v>
      </c>
      <c r="D114" s="71">
        <v>3319</v>
      </c>
      <c r="E114" s="25">
        <v>327</v>
      </c>
      <c r="F114" s="46">
        <v>2</v>
      </c>
      <c r="G114" s="46">
        <v>1</v>
      </c>
      <c r="H114" s="46">
        <v>81011</v>
      </c>
      <c r="I114" s="46" t="s">
        <v>17</v>
      </c>
      <c r="J114" s="46">
        <v>24371593</v>
      </c>
      <c r="K114" s="44" t="s">
        <v>187</v>
      </c>
      <c r="L114" s="44" t="s">
        <v>191</v>
      </c>
      <c r="M114" s="72">
        <v>129900</v>
      </c>
      <c r="N114" s="64">
        <v>0.95</v>
      </c>
      <c r="O114" s="72">
        <f t="shared" si="1"/>
        <v>6495</v>
      </c>
      <c r="P114" s="44" t="s">
        <v>0</v>
      </c>
    </row>
    <row r="115" spans="1:16" x14ac:dyDescent="0.3">
      <c r="A115" s="46" t="s">
        <v>2143</v>
      </c>
      <c r="B115" s="26">
        <v>46093</v>
      </c>
      <c r="C115" s="26">
        <v>46098</v>
      </c>
      <c r="D115" s="71">
        <v>3319</v>
      </c>
      <c r="E115" s="25">
        <v>327</v>
      </c>
      <c r="F115" s="46">
        <v>2</v>
      </c>
      <c r="G115" s="46">
        <v>1</v>
      </c>
      <c r="H115" s="46">
        <v>81011</v>
      </c>
      <c r="I115" s="46" t="s">
        <v>17</v>
      </c>
      <c r="J115" s="46">
        <v>24372234</v>
      </c>
      <c r="K115" s="44" t="s">
        <v>192</v>
      </c>
      <c r="L115" s="44" t="s">
        <v>193</v>
      </c>
      <c r="M115" s="72">
        <v>129900</v>
      </c>
      <c r="N115" s="64">
        <v>0.95</v>
      </c>
      <c r="O115" s="72">
        <f t="shared" si="1"/>
        <v>6495</v>
      </c>
      <c r="P115" s="44" t="s">
        <v>0</v>
      </c>
    </row>
    <row r="116" spans="1:16" x14ac:dyDescent="0.3">
      <c r="A116" s="46" t="s">
        <v>2143</v>
      </c>
      <c r="B116" s="26">
        <v>46093</v>
      </c>
      <c r="C116" s="26">
        <v>46098</v>
      </c>
      <c r="D116" s="71">
        <v>3319</v>
      </c>
      <c r="E116" s="25">
        <v>327</v>
      </c>
      <c r="F116" s="46">
        <v>2</v>
      </c>
      <c r="G116" s="46">
        <v>1</v>
      </c>
      <c r="H116" s="46">
        <v>81011</v>
      </c>
      <c r="I116" s="46" t="s">
        <v>17</v>
      </c>
      <c r="J116" s="46">
        <v>24372243</v>
      </c>
      <c r="K116" s="44" t="s">
        <v>192</v>
      </c>
      <c r="L116" s="44" t="s">
        <v>194</v>
      </c>
      <c r="M116" s="72">
        <v>129900</v>
      </c>
      <c r="N116" s="64">
        <v>0.95</v>
      </c>
      <c r="O116" s="72">
        <f t="shared" si="1"/>
        <v>6495</v>
      </c>
      <c r="P116" s="44" t="s">
        <v>0</v>
      </c>
    </row>
    <row r="117" spans="1:16" x14ac:dyDescent="0.3">
      <c r="A117" s="46" t="s">
        <v>2143</v>
      </c>
      <c r="B117" s="26">
        <v>46093</v>
      </c>
      <c r="C117" s="26">
        <v>46098</v>
      </c>
      <c r="D117" s="71">
        <v>3319</v>
      </c>
      <c r="E117" s="25">
        <v>327</v>
      </c>
      <c r="F117" s="46">
        <v>2</v>
      </c>
      <c r="G117" s="46">
        <v>1</v>
      </c>
      <c r="H117" s="46">
        <v>81011</v>
      </c>
      <c r="I117" s="46" t="s">
        <v>17</v>
      </c>
      <c r="J117" s="46">
        <v>24372305</v>
      </c>
      <c r="K117" s="44" t="s">
        <v>195</v>
      </c>
      <c r="L117" s="44" t="s">
        <v>196</v>
      </c>
      <c r="M117" s="72">
        <v>129900</v>
      </c>
      <c r="N117" s="64">
        <v>0.95</v>
      </c>
      <c r="O117" s="72">
        <f t="shared" si="1"/>
        <v>6495</v>
      </c>
      <c r="P117" s="44" t="s">
        <v>0</v>
      </c>
    </row>
    <row r="118" spans="1:16" x14ac:dyDescent="0.3">
      <c r="A118" s="46" t="s">
        <v>2143</v>
      </c>
      <c r="B118" s="26">
        <v>46093</v>
      </c>
      <c r="C118" s="26">
        <v>46098</v>
      </c>
      <c r="D118" s="71">
        <v>3319</v>
      </c>
      <c r="E118" s="25">
        <v>327</v>
      </c>
      <c r="F118" s="46">
        <v>2</v>
      </c>
      <c r="G118" s="46">
        <v>1</v>
      </c>
      <c r="H118" s="46">
        <v>81433</v>
      </c>
      <c r="I118" s="46" t="s">
        <v>17</v>
      </c>
      <c r="J118" s="46">
        <v>23387015</v>
      </c>
      <c r="K118" s="44" t="s">
        <v>197</v>
      </c>
      <c r="L118" s="44" t="s">
        <v>198</v>
      </c>
      <c r="M118" s="72">
        <v>259900</v>
      </c>
      <c r="N118" s="64">
        <v>0.95</v>
      </c>
      <c r="O118" s="72">
        <f t="shared" si="1"/>
        <v>12995</v>
      </c>
      <c r="P118" s="44" t="s">
        <v>0</v>
      </c>
    </row>
    <row r="119" spans="1:16" x14ac:dyDescent="0.3">
      <c r="A119" s="46" t="s">
        <v>2143</v>
      </c>
      <c r="B119" s="26">
        <v>46093</v>
      </c>
      <c r="C119" s="26">
        <v>46098</v>
      </c>
      <c r="D119" s="71">
        <v>3319</v>
      </c>
      <c r="E119" s="25">
        <v>327</v>
      </c>
      <c r="F119" s="46">
        <v>2</v>
      </c>
      <c r="G119" s="46">
        <v>1</v>
      </c>
      <c r="H119" s="46">
        <v>81433</v>
      </c>
      <c r="I119" s="46" t="s">
        <v>17</v>
      </c>
      <c r="J119" s="46">
        <v>23712109</v>
      </c>
      <c r="K119" s="44" t="s">
        <v>199</v>
      </c>
      <c r="L119" s="44" t="s">
        <v>200</v>
      </c>
      <c r="M119" s="72">
        <v>239900</v>
      </c>
      <c r="N119" s="64">
        <v>0.95</v>
      </c>
      <c r="O119" s="72">
        <f t="shared" si="1"/>
        <v>11995</v>
      </c>
      <c r="P119" s="44" t="s">
        <v>0</v>
      </c>
    </row>
    <row r="120" spans="1:16" x14ac:dyDescent="0.3">
      <c r="A120" s="46" t="s">
        <v>2143</v>
      </c>
      <c r="B120" s="26">
        <v>46093</v>
      </c>
      <c r="C120" s="26">
        <v>46098</v>
      </c>
      <c r="D120" s="71">
        <v>3319</v>
      </c>
      <c r="E120" s="25">
        <v>327</v>
      </c>
      <c r="F120" s="46">
        <v>2</v>
      </c>
      <c r="G120" s="46">
        <v>1</v>
      </c>
      <c r="H120" s="46">
        <v>81433</v>
      </c>
      <c r="I120" s="46" t="s">
        <v>17</v>
      </c>
      <c r="J120" s="46">
        <v>23712127</v>
      </c>
      <c r="K120" s="44" t="s">
        <v>199</v>
      </c>
      <c r="L120" s="44" t="s">
        <v>201</v>
      </c>
      <c r="M120" s="72">
        <v>239900</v>
      </c>
      <c r="N120" s="64">
        <v>0.95</v>
      </c>
      <c r="O120" s="72">
        <f t="shared" si="1"/>
        <v>11995</v>
      </c>
      <c r="P120" s="44" t="s">
        <v>0</v>
      </c>
    </row>
    <row r="121" spans="1:16" x14ac:dyDescent="0.3">
      <c r="A121" s="46" t="s">
        <v>2143</v>
      </c>
      <c r="B121" s="26">
        <v>46093</v>
      </c>
      <c r="C121" s="26">
        <v>46098</v>
      </c>
      <c r="D121" s="71">
        <v>3319</v>
      </c>
      <c r="E121" s="25">
        <v>327</v>
      </c>
      <c r="F121" s="46">
        <v>2</v>
      </c>
      <c r="G121" s="46">
        <v>1</v>
      </c>
      <c r="H121" s="46">
        <v>81433</v>
      </c>
      <c r="I121" s="46" t="s">
        <v>17</v>
      </c>
      <c r="J121" s="46">
        <v>23712841</v>
      </c>
      <c r="K121" s="44" t="s">
        <v>202</v>
      </c>
      <c r="L121" s="44" t="s">
        <v>203</v>
      </c>
      <c r="M121" s="72">
        <v>239900</v>
      </c>
      <c r="N121" s="64">
        <v>0.95</v>
      </c>
      <c r="O121" s="72">
        <f t="shared" si="1"/>
        <v>11995</v>
      </c>
      <c r="P121" s="44" t="s">
        <v>0</v>
      </c>
    </row>
    <row r="122" spans="1:16" x14ac:dyDescent="0.3">
      <c r="A122" s="46" t="s">
        <v>2143</v>
      </c>
      <c r="B122" s="26">
        <v>46093</v>
      </c>
      <c r="C122" s="26">
        <v>46098</v>
      </c>
      <c r="D122" s="71">
        <v>3319</v>
      </c>
      <c r="E122" s="25">
        <v>327</v>
      </c>
      <c r="F122" s="46">
        <v>2</v>
      </c>
      <c r="G122" s="46">
        <v>1</v>
      </c>
      <c r="H122" s="46">
        <v>81433</v>
      </c>
      <c r="I122" s="46" t="s">
        <v>17</v>
      </c>
      <c r="J122" s="46">
        <v>23712896</v>
      </c>
      <c r="K122" s="44" t="s">
        <v>204</v>
      </c>
      <c r="L122" s="44" t="s">
        <v>205</v>
      </c>
      <c r="M122" s="72">
        <v>239900</v>
      </c>
      <c r="N122" s="64">
        <v>0.95</v>
      </c>
      <c r="O122" s="72">
        <f t="shared" si="1"/>
        <v>11995</v>
      </c>
      <c r="P122" s="44" t="s">
        <v>0</v>
      </c>
    </row>
    <row r="123" spans="1:16" x14ac:dyDescent="0.3">
      <c r="A123" s="46" t="s">
        <v>2143</v>
      </c>
      <c r="B123" s="26">
        <v>46093</v>
      </c>
      <c r="C123" s="26">
        <v>46098</v>
      </c>
      <c r="D123" s="71">
        <v>3319</v>
      </c>
      <c r="E123" s="25">
        <v>327</v>
      </c>
      <c r="F123" s="46">
        <v>2</v>
      </c>
      <c r="G123" s="46">
        <v>1</v>
      </c>
      <c r="H123" s="46">
        <v>81433</v>
      </c>
      <c r="I123" s="46" t="s">
        <v>17</v>
      </c>
      <c r="J123" s="46">
        <v>23712921</v>
      </c>
      <c r="K123" s="44" t="s">
        <v>204</v>
      </c>
      <c r="L123" s="44" t="s">
        <v>206</v>
      </c>
      <c r="M123" s="72">
        <v>239900</v>
      </c>
      <c r="N123" s="64">
        <v>0.95</v>
      </c>
      <c r="O123" s="72">
        <f t="shared" si="1"/>
        <v>11995</v>
      </c>
      <c r="P123" s="44" t="s">
        <v>0</v>
      </c>
    </row>
    <row r="124" spans="1:16" x14ac:dyDescent="0.3">
      <c r="A124" s="46" t="s">
        <v>2143</v>
      </c>
      <c r="B124" s="26">
        <v>46093</v>
      </c>
      <c r="C124" s="26">
        <v>46098</v>
      </c>
      <c r="D124" s="71">
        <v>3319</v>
      </c>
      <c r="E124" s="25">
        <v>327</v>
      </c>
      <c r="F124" s="46">
        <v>2</v>
      </c>
      <c r="G124" s="46">
        <v>1</v>
      </c>
      <c r="H124" s="46">
        <v>81433</v>
      </c>
      <c r="I124" s="46" t="s">
        <v>17</v>
      </c>
      <c r="J124" s="46">
        <v>23765615</v>
      </c>
      <c r="K124" s="44" t="s">
        <v>207</v>
      </c>
      <c r="L124" s="44" t="s">
        <v>208</v>
      </c>
      <c r="M124" s="72">
        <v>239900</v>
      </c>
      <c r="N124" s="64">
        <v>0.95</v>
      </c>
      <c r="O124" s="72">
        <f t="shared" si="1"/>
        <v>11995</v>
      </c>
      <c r="P124" s="44" t="s">
        <v>0</v>
      </c>
    </row>
    <row r="125" spans="1:16" x14ac:dyDescent="0.3">
      <c r="A125" s="46" t="s">
        <v>2143</v>
      </c>
      <c r="B125" s="26">
        <v>46093</v>
      </c>
      <c r="C125" s="26">
        <v>46098</v>
      </c>
      <c r="D125" s="71">
        <v>3319</v>
      </c>
      <c r="E125" s="25">
        <v>327</v>
      </c>
      <c r="F125" s="46">
        <v>2</v>
      </c>
      <c r="G125" s="46">
        <v>1</v>
      </c>
      <c r="H125" s="46">
        <v>81433</v>
      </c>
      <c r="I125" s="46" t="s">
        <v>17</v>
      </c>
      <c r="J125" s="46">
        <v>23765642</v>
      </c>
      <c r="K125" s="44" t="s">
        <v>207</v>
      </c>
      <c r="L125" s="44" t="s">
        <v>209</v>
      </c>
      <c r="M125" s="72">
        <v>239900</v>
      </c>
      <c r="N125" s="64">
        <v>0.95</v>
      </c>
      <c r="O125" s="72">
        <f t="shared" si="1"/>
        <v>11995</v>
      </c>
      <c r="P125" s="44" t="s">
        <v>0</v>
      </c>
    </row>
    <row r="126" spans="1:16" x14ac:dyDescent="0.3">
      <c r="A126" s="46" t="s">
        <v>2143</v>
      </c>
      <c r="B126" s="26">
        <v>46093</v>
      </c>
      <c r="C126" s="26">
        <v>46098</v>
      </c>
      <c r="D126" s="71">
        <v>3319</v>
      </c>
      <c r="E126" s="25">
        <v>327</v>
      </c>
      <c r="F126" s="46">
        <v>2</v>
      </c>
      <c r="G126" s="46">
        <v>1</v>
      </c>
      <c r="H126" s="46">
        <v>81433</v>
      </c>
      <c r="I126" s="46" t="s">
        <v>17</v>
      </c>
      <c r="J126" s="46">
        <v>23789840</v>
      </c>
      <c r="K126" s="44" t="s">
        <v>210</v>
      </c>
      <c r="L126" s="44" t="s">
        <v>211</v>
      </c>
      <c r="M126" s="72">
        <v>259900</v>
      </c>
      <c r="N126" s="64">
        <v>0.95</v>
      </c>
      <c r="O126" s="72">
        <f t="shared" si="1"/>
        <v>12995</v>
      </c>
      <c r="P126" s="44" t="s">
        <v>0</v>
      </c>
    </row>
    <row r="127" spans="1:16" x14ac:dyDescent="0.3">
      <c r="A127" s="46" t="s">
        <v>2143</v>
      </c>
      <c r="B127" s="26">
        <v>46093</v>
      </c>
      <c r="C127" s="26">
        <v>46098</v>
      </c>
      <c r="D127" s="71">
        <v>3319</v>
      </c>
      <c r="E127" s="25">
        <v>327</v>
      </c>
      <c r="F127" s="46">
        <v>2</v>
      </c>
      <c r="G127" s="46">
        <v>1</v>
      </c>
      <c r="H127" s="46">
        <v>81433</v>
      </c>
      <c r="I127" s="46" t="s">
        <v>17</v>
      </c>
      <c r="J127" s="46">
        <v>23789868</v>
      </c>
      <c r="K127" s="44" t="s">
        <v>210</v>
      </c>
      <c r="L127" s="44" t="s">
        <v>212</v>
      </c>
      <c r="M127" s="72">
        <v>259900</v>
      </c>
      <c r="N127" s="64">
        <v>0.95</v>
      </c>
      <c r="O127" s="72">
        <f t="shared" si="1"/>
        <v>12995</v>
      </c>
      <c r="P127" s="44" t="s">
        <v>0</v>
      </c>
    </row>
    <row r="128" spans="1:16" x14ac:dyDescent="0.3">
      <c r="A128" s="46" t="s">
        <v>2143</v>
      </c>
      <c r="B128" s="26">
        <v>46093</v>
      </c>
      <c r="C128" s="26">
        <v>46098</v>
      </c>
      <c r="D128" s="71">
        <v>3319</v>
      </c>
      <c r="E128" s="25">
        <v>327</v>
      </c>
      <c r="F128" s="46">
        <v>2</v>
      </c>
      <c r="G128" s="46">
        <v>1</v>
      </c>
      <c r="H128" s="46">
        <v>81433</v>
      </c>
      <c r="I128" s="46" t="s">
        <v>17</v>
      </c>
      <c r="J128" s="46">
        <v>23789975</v>
      </c>
      <c r="K128" s="44" t="s">
        <v>213</v>
      </c>
      <c r="L128" s="44" t="s">
        <v>214</v>
      </c>
      <c r="M128" s="72">
        <v>259900</v>
      </c>
      <c r="N128" s="64">
        <v>0.95</v>
      </c>
      <c r="O128" s="72">
        <f t="shared" si="1"/>
        <v>12995</v>
      </c>
      <c r="P128" s="44" t="s">
        <v>0</v>
      </c>
    </row>
    <row r="129" spans="1:16" x14ac:dyDescent="0.3">
      <c r="A129" s="46" t="s">
        <v>2143</v>
      </c>
      <c r="B129" s="26">
        <v>46093</v>
      </c>
      <c r="C129" s="26">
        <v>46098</v>
      </c>
      <c r="D129" s="71">
        <v>3319</v>
      </c>
      <c r="E129" s="25">
        <v>327</v>
      </c>
      <c r="F129" s="46">
        <v>2</v>
      </c>
      <c r="G129" s="46">
        <v>1</v>
      </c>
      <c r="H129" s="46">
        <v>81433</v>
      </c>
      <c r="I129" s="46" t="s">
        <v>17</v>
      </c>
      <c r="J129" s="46">
        <v>23805438</v>
      </c>
      <c r="K129" s="44" t="s">
        <v>215</v>
      </c>
      <c r="L129" s="44" t="s">
        <v>216</v>
      </c>
      <c r="M129" s="72">
        <v>259900</v>
      </c>
      <c r="N129" s="64">
        <v>0.95</v>
      </c>
      <c r="O129" s="72">
        <f t="shared" si="1"/>
        <v>12995</v>
      </c>
      <c r="P129" s="44" t="s">
        <v>0</v>
      </c>
    </row>
    <row r="130" spans="1:16" x14ac:dyDescent="0.3">
      <c r="A130" s="46" t="s">
        <v>2143</v>
      </c>
      <c r="B130" s="26">
        <v>46093</v>
      </c>
      <c r="C130" s="26">
        <v>46098</v>
      </c>
      <c r="D130" s="71">
        <v>3319</v>
      </c>
      <c r="E130" s="25">
        <v>327</v>
      </c>
      <c r="F130" s="46">
        <v>2</v>
      </c>
      <c r="G130" s="46">
        <v>1</v>
      </c>
      <c r="H130" s="46">
        <v>81433</v>
      </c>
      <c r="I130" s="46" t="s">
        <v>17</v>
      </c>
      <c r="J130" s="46">
        <v>23805465</v>
      </c>
      <c r="K130" s="44" t="s">
        <v>217</v>
      </c>
      <c r="L130" s="44" t="s">
        <v>218</v>
      </c>
      <c r="M130" s="72">
        <v>259900</v>
      </c>
      <c r="N130" s="64">
        <v>0.95</v>
      </c>
      <c r="O130" s="72">
        <f t="shared" si="1"/>
        <v>12995</v>
      </c>
      <c r="P130" s="44" t="s">
        <v>0</v>
      </c>
    </row>
    <row r="131" spans="1:16" x14ac:dyDescent="0.3">
      <c r="A131" s="46" t="s">
        <v>2143</v>
      </c>
      <c r="B131" s="26">
        <v>46093</v>
      </c>
      <c r="C131" s="26">
        <v>46098</v>
      </c>
      <c r="D131" s="71">
        <v>3319</v>
      </c>
      <c r="E131" s="25">
        <v>327</v>
      </c>
      <c r="F131" s="46">
        <v>2</v>
      </c>
      <c r="G131" s="46">
        <v>1</v>
      </c>
      <c r="H131" s="46">
        <v>81433</v>
      </c>
      <c r="I131" s="46" t="s">
        <v>17</v>
      </c>
      <c r="J131" s="46">
        <v>23805474</v>
      </c>
      <c r="K131" s="44" t="s">
        <v>217</v>
      </c>
      <c r="L131" s="44" t="s">
        <v>219</v>
      </c>
      <c r="M131" s="72">
        <v>259900</v>
      </c>
      <c r="N131" s="64">
        <v>0.95</v>
      </c>
      <c r="O131" s="72">
        <f t="shared" ref="O131:O194" si="2">M131*5%</f>
        <v>12995</v>
      </c>
      <c r="P131" s="44" t="s">
        <v>0</v>
      </c>
    </row>
    <row r="132" spans="1:16" x14ac:dyDescent="0.3">
      <c r="A132" s="46" t="s">
        <v>2143</v>
      </c>
      <c r="B132" s="26">
        <v>46093</v>
      </c>
      <c r="C132" s="26">
        <v>46098</v>
      </c>
      <c r="D132" s="71">
        <v>3319</v>
      </c>
      <c r="E132" s="25">
        <v>327</v>
      </c>
      <c r="F132" s="46">
        <v>2</v>
      </c>
      <c r="G132" s="46">
        <v>1</v>
      </c>
      <c r="H132" s="46">
        <v>81433</v>
      </c>
      <c r="I132" s="46" t="s">
        <v>17</v>
      </c>
      <c r="J132" s="46">
        <v>23805483</v>
      </c>
      <c r="K132" s="44" t="s">
        <v>217</v>
      </c>
      <c r="L132" s="44" t="s">
        <v>220</v>
      </c>
      <c r="M132" s="72">
        <v>259900</v>
      </c>
      <c r="N132" s="64">
        <v>0.95</v>
      </c>
      <c r="O132" s="72">
        <f t="shared" si="2"/>
        <v>12995</v>
      </c>
      <c r="P132" s="44" t="s">
        <v>0</v>
      </c>
    </row>
    <row r="133" spans="1:16" x14ac:dyDescent="0.3">
      <c r="A133" s="46" t="s">
        <v>2143</v>
      </c>
      <c r="B133" s="26">
        <v>46093</v>
      </c>
      <c r="C133" s="26">
        <v>46098</v>
      </c>
      <c r="D133" s="71">
        <v>3319</v>
      </c>
      <c r="E133" s="25">
        <v>327</v>
      </c>
      <c r="F133" s="46">
        <v>2</v>
      </c>
      <c r="G133" s="46">
        <v>1</v>
      </c>
      <c r="H133" s="46">
        <v>81433</v>
      </c>
      <c r="I133" s="46" t="s">
        <v>17</v>
      </c>
      <c r="J133" s="46">
        <v>24318614</v>
      </c>
      <c r="K133" s="44" t="s">
        <v>221</v>
      </c>
      <c r="L133" s="44" t="s">
        <v>222</v>
      </c>
      <c r="M133" s="72">
        <v>239900</v>
      </c>
      <c r="N133" s="64">
        <v>0.95</v>
      </c>
      <c r="O133" s="72">
        <f t="shared" si="2"/>
        <v>11995</v>
      </c>
      <c r="P133" s="44" t="s">
        <v>0</v>
      </c>
    </row>
    <row r="134" spans="1:16" x14ac:dyDescent="0.3">
      <c r="A134" s="46" t="s">
        <v>2143</v>
      </c>
      <c r="B134" s="26">
        <v>46093</v>
      </c>
      <c r="C134" s="26">
        <v>46098</v>
      </c>
      <c r="D134" s="71">
        <v>3319</v>
      </c>
      <c r="E134" s="25">
        <v>327</v>
      </c>
      <c r="F134" s="46">
        <v>2</v>
      </c>
      <c r="G134" s="46">
        <v>1</v>
      </c>
      <c r="H134" s="46">
        <v>81433</v>
      </c>
      <c r="I134" s="46" t="s">
        <v>17</v>
      </c>
      <c r="J134" s="46">
        <v>24331662</v>
      </c>
      <c r="K134" s="44" t="s">
        <v>223</v>
      </c>
      <c r="L134" s="44" t="s">
        <v>224</v>
      </c>
      <c r="M134" s="72">
        <v>259900</v>
      </c>
      <c r="N134" s="64">
        <v>0.95</v>
      </c>
      <c r="O134" s="72">
        <f t="shared" si="2"/>
        <v>12995</v>
      </c>
      <c r="P134" s="44" t="s">
        <v>0</v>
      </c>
    </row>
    <row r="135" spans="1:16" x14ac:dyDescent="0.3">
      <c r="A135" s="46" t="s">
        <v>2143</v>
      </c>
      <c r="B135" s="26">
        <v>46093</v>
      </c>
      <c r="C135" s="26">
        <v>46098</v>
      </c>
      <c r="D135" s="71">
        <v>3319</v>
      </c>
      <c r="E135" s="25">
        <v>327</v>
      </c>
      <c r="F135" s="46">
        <v>2</v>
      </c>
      <c r="G135" s="46">
        <v>1</v>
      </c>
      <c r="H135" s="46">
        <v>81433</v>
      </c>
      <c r="I135" s="46" t="s">
        <v>17</v>
      </c>
      <c r="J135" s="46">
        <v>24331671</v>
      </c>
      <c r="K135" s="44" t="s">
        <v>223</v>
      </c>
      <c r="L135" s="44" t="s">
        <v>225</v>
      </c>
      <c r="M135" s="72">
        <v>259900</v>
      </c>
      <c r="N135" s="64">
        <v>0.95</v>
      </c>
      <c r="O135" s="72">
        <f t="shared" si="2"/>
        <v>12995</v>
      </c>
      <c r="P135" s="44" t="s">
        <v>0</v>
      </c>
    </row>
    <row r="136" spans="1:16" x14ac:dyDescent="0.3">
      <c r="A136" s="46" t="s">
        <v>2143</v>
      </c>
      <c r="B136" s="26">
        <v>46093</v>
      </c>
      <c r="C136" s="26">
        <v>46098</v>
      </c>
      <c r="D136" s="71">
        <v>3319</v>
      </c>
      <c r="E136" s="25">
        <v>327</v>
      </c>
      <c r="F136" s="46">
        <v>2</v>
      </c>
      <c r="G136" s="46">
        <v>1</v>
      </c>
      <c r="H136" s="46">
        <v>81433</v>
      </c>
      <c r="I136" s="46" t="s">
        <v>17</v>
      </c>
      <c r="J136" s="46">
        <v>24331724</v>
      </c>
      <c r="K136" s="44" t="s">
        <v>226</v>
      </c>
      <c r="L136" s="44" t="s">
        <v>227</v>
      </c>
      <c r="M136" s="72">
        <v>259900</v>
      </c>
      <c r="N136" s="64">
        <v>0.95</v>
      </c>
      <c r="O136" s="72">
        <f t="shared" si="2"/>
        <v>12995</v>
      </c>
      <c r="P136" s="44" t="s">
        <v>0</v>
      </c>
    </row>
    <row r="137" spans="1:16" x14ac:dyDescent="0.3">
      <c r="A137" s="46" t="s">
        <v>2143</v>
      </c>
      <c r="B137" s="26">
        <v>46093</v>
      </c>
      <c r="C137" s="26">
        <v>46098</v>
      </c>
      <c r="D137" s="71">
        <v>3319</v>
      </c>
      <c r="E137" s="25">
        <v>327</v>
      </c>
      <c r="F137" s="46">
        <v>2</v>
      </c>
      <c r="G137" s="46">
        <v>1</v>
      </c>
      <c r="H137" s="46">
        <v>81433</v>
      </c>
      <c r="I137" s="46" t="s">
        <v>17</v>
      </c>
      <c r="J137" s="46">
        <v>24331733</v>
      </c>
      <c r="K137" s="44" t="s">
        <v>226</v>
      </c>
      <c r="L137" s="44" t="s">
        <v>228</v>
      </c>
      <c r="M137" s="72">
        <v>259900</v>
      </c>
      <c r="N137" s="64">
        <v>0.95</v>
      </c>
      <c r="O137" s="72">
        <f t="shared" si="2"/>
        <v>12995</v>
      </c>
      <c r="P137" s="44" t="s">
        <v>0</v>
      </c>
    </row>
    <row r="138" spans="1:16" x14ac:dyDescent="0.3">
      <c r="A138" s="46" t="s">
        <v>2143</v>
      </c>
      <c r="B138" s="26">
        <v>46093</v>
      </c>
      <c r="C138" s="26">
        <v>46098</v>
      </c>
      <c r="D138" s="71">
        <v>3319</v>
      </c>
      <c r="E138" s="25">
        <v>327</v>
      </c>
      <c r="F138" s="46">
        <v>2</v>
      </c>
      <c r="G138" s="46">
        <v>1</v>
      </c>
      <c r="H138" s="46">
        <v>81433</v>
      </c>
      <c r="I138" s="46" t="s">
        <v>17</v>
      </c>
      <c r="J138" s="46">
        <v>24331742</v>
      </c>
      <c r="K138" s="44" t="s">
        <v>226</v>
      </c>
      <c r="L138" s="44" t="s">
        <v>229</v>
      </c>
      <c r="M138" s="72">
        <v>259900</v>
      </c>
      <c r="N138" s="64">
        <v>0.95</v>
      </c>
      <c r="O138" s="72">
        <f t="shared" si="2"/>
        <v>12995</v>
      </c>
      <c r="P138" s="44" t="s">
        <v>0</v>
      </c>
    </row>
    <row r="139" spans="1:16" x14ac:dyDescent="0.3">
      <c r="A139" s="46" t="s">
        <v>2143</v>
      </c>
      <c r="B139" s="26">
        <v>46093</v>
      </c>
      <c r="C139" s="26">
        <v>46098</v>
      </c>
      <c r="D139" s="71">
        <v>3319</v>
      </c>
      <c r="E139" s="25">
        <v>327</v>
      </c>
      <c r="F139" s="46">
        <v>2</v>
      </c>
      <c r="G139" s="46">
        <v>1</v>
      </c>
      <c r="H139" s="46">
        <v>81433</v>
      </c>
      <c r="I139" s="46" t="s">
        <v>17</v>
      </c>
      <c r="J139" s="46">
        <v>24331751</v>
      </c>
      <c r="K139" s="44" t="s">
        <v>226</v>
      </c>
      <c r="L139" s="44" t="s">
        <v>230</v>
      </c>
      <c r="M139" s="72">
        <v>259900</v>
      </c>
      <c r="N139" s="64">
        <v>0.95</v>
      </c>
      <c r="O139" s="72">
        <f t="shared" si="2"/>
        <v>12995</v>
      </c>
      <c r="P139" s="44" t="s">
        <v>0</v>
      </c>
    </row>
    <row r="140" spans="1:16" x14ac:dyDescent="0.3">
      <c r="A140" s="46" t="s">
        <v>2143</v>
      </c>
      <c r="B140" s="26">
        <v>46093</v>
      </c>
      <c r="C140" s="26">
        <v>46098</v>
      </c>
      <c r="D140" s="71">
        <v>3319</v>
      </c>
      <c r="E140" s="25">
        <v>327</v>
      </c>
      <c r="F140" s="46">
        <v>2</v>
      </c>
      <c r="G140" s="46">
        <v>1</v>
      </c>
      <c r="H140" s="46">
        <v>81433</v>
      </c>
      <c r="I140" s="46" t="s">
        <v>17</v>
      </c>
      <c r="J140" s="46">
        <v>24486022</v>
      </c>
      <c r="K140" s="44" t="s">
        <v>231</v>
      </c>
      <c r="L140" s="44" t="s">
        <v>232</v>
      </c>
      <c r="M140" s="72">
        <v>239900</v>
      </c>
      <c r="N140" s="64">
        <v>0.95</v>
      </c>
      <c r="O140" s="72">
        <f t="shared" si="2"/>
        <v>11995</v>
      </c>
      <c r="P140" s="44" t="s">
        <v>0</v>
      </c>
    </row>
    <row r="141" spans="1:16" x14ac:dyDescent="0.3">
      <c r="A141" s="46" t="s">
        <v>2143</v>
      </c>
      <c r="B141" s="26">
        <v>46093</v>
      </c>
      <c r="C141" s="26">
        <v>46098</v>
      </c>
      <c r="D141" s="71">
        <v>3319</v>
      </c>
      <c r="E141" s="25">
        <v>327</v>
      </c>
      <c r="F141" s="46">
        <v>2</v>
      </c>
      <c r="G141" s="46">
        <v>1</v>
      </c>
      <c r="H141" s="46">
        <v>81433</v>
      </c>
      <c r="I141" s="46" t="s">
        <v>17</v>
      </c>
      <c r="J141" s="46">
        <v>24486031</v>
      </c>
      <c r="K141" s="44" t="s">
        <v>231</v>
      </c>
      <c r="L141" s="44" t="s">
        <v>233</v>
      </c>
      <c r="M141" s="72">
        <v>239900</v>
      </c>
      <c r="N141" s="64">
        <v>0.95</v>
      </c>
      <c r="O141" s="72">
        <f t="shared" si="2"/>
        <v>11995</v>
      </c>
      <c r="P141" s="44" t="s">
        <v>0</v>
      </c>
    </row>
    <row r="142" spans="1:16" x14ac:dyDescent="0.3">
      <c r="A142" s="46" t="s">
        <v>2143</v>
      </c>
      <c r="B142" s="26">
        <v>46093</v>
      </c>
      <c r="C142" s="26">
        <v>46098</v>
      </c>
      <c r="D142" s="71">
        <v>3319</v>
      </c>
      <c r="E142" s="25">
        <v>327</v>
      </c>
      <c r="F142" s="46">
        <v>2</v>
      </c>
      <c r="G142" s="46">
        <v>1</v>
      </c>
      <c r="H142" s="46">
        <v>81433</v>
      </c>
      <c r="I142" s="46" t="s">
        <v>17</v>
      </c>
      <c r="J142" s="46">
        <v>24486120</v>
      </c>
      <c r="K142" s="44" t="s">
        <v>234</v>
      </c>
      <c r="L142" s="44" t="s">
        <v>235</v>
      </c>
      <c r="M142" s="72">
        <v>239900</v>
      </c>
      <c r="N142" s="64">
        <v>0.95</v>
      </c>
      <c r="O142" s="72">
        <f t="shared" si="2"/>
        <v>11995</v>
      </c>
      <c r="P142" s="44" t="s">
        <v>0</v>
      </c>
    </row>
    <row r="143" spans="1:16" x14ac:dyDescent="0.3">
      <c r="A143" s="46" t="s">
        <v>2143</v>
      </c>
      <c r="B143" s="26">
        <v>46093</v>
      </c>
      <c r="C143" s="26">
        <v>46098</v>
      </c>
      <c r="D143" s="71">
        <v>3319</v>
      </c>
      <c r="E143" s="25">
        <v>327</v>
      </c>
      <c r="F143" s="46">
        <v>2</v>
      </c>
      <c r="G143" s="46">
        <v>1</v>
      </c>
      <c r="H143" s="46">
        <v>81433</v>
      </c>
      <c r="I143" s="46" t="s">
        <v>17</v>
      </c>
      <c r="J143" s="46">
        <v>24486139</v>
      </c>
      <c r="K143" s="44" t="s">
        <v>234</v>
      </c>
      <c r="L143" s="44" t="s">
        <v>236</v>
      </c>
      <c r="M143" s="72">
        <v>239900</v>
      </c>
      <c r="N143" s="64">
        <v>0.95</v>
      </c>
      <c r="O143" s="72">
        <f t="shared" si="2"/>
        <v>11995</v>
      </c>
      <c r="P143" s="44" t="s">
        <v>0</v>
      </c>
    </row>
    <row r="144" spans="1:16" x14ac:dyDescent="0.3">
      <c r="A144" s="46" t="s">
        <v>2143</v>
      </c>
      <c r="B144" s="26">
        <v>46093</v>
      </c>
      <c r="C144" s="26">
        <v>46098</v>
      </c>
      <c r="D144" s="71">
        <v>3319</v>
      </c>
      <c r="E144" s="25">
        <v>327</v>
      </c>
      <c r="F144" s="46">
        <v>2</v>
      </c>
      <c r="G144" s="46">
        <v>1</v>
      </c>
      <c r="H144" s="46">
        <v>81433</v>
      </c>
      <c r="I144" s="46" t="s">
        <v>17</v>
      </c>
      <c r="J144" s="46">
        <v>24486317</v>
      </c>
      <c r="K144" s="44" t="s">
        <v>237</v>
      </c>
      <c r="L144" s="44" t="s">
        <v>238</v>
      </c>
      <c r="M144" s="72">
        <v>239900</v>
      </c>
      <c r="N144" s="64">
        <v>0.95</v>
      </c>
      <c r="O144" s="72">
        <f t="shared" si="2"/>
        <v>11995</v>
      </c>
      <c r="P144" s="44" t="s">
        <v>0</v>
      </c>
    </row>
    <row r="145" spans="1:16" x14ac:dyDescent="0.3">
      <c r="A145" s="46" t="s">
        <v>2143</v>
      </c>
      <c r="B145" s="26">
        <v>46093</v>
      </c>
      <c r="C145" s="26">
        <v>46098</v>
      </c>
      <c r="D145" s="71">
        <v>3319</v>
      </c>
      <c r="E145" s="25">
        <v>327</v>
      </c>
      <c r="F145" s="46">
        <v>2</v>
      </c>
      <c r="G145" s="46">
        <v>1</v>
      </c>
      <c r="H145" s="46">
        <v>81433</v>
      </c>
      <c r="I145" s="46" t="s">
        <v>17</v>
      </c>
      <c r="J145" s="46">
        <v>24486344</v>
      </c>
      <c r="K145" s="44" t="s">
        <v>237</v>
      </c>
      <c r="L145" s="44" t="s">
        <v>239</v>
      </c>
      <c r="M145" s="72">
        <v>239900</v>
      </c>
      <c r="N145" s="64">
        <v>0.95</v>
      </c>
      <c r="O145" s="72">
        <f t="shared" si="2"/>
        <v>11995</v>
      </c>
      <c r="P145" s="44" t="s">
        <v>0</v>
      </c>
    </row>
    <row r="146" spans="1:16" x14ac:dyDescent="0.3">
      <c r="A146" s="46" t="s">
        <v>2143</v>
      </c>
      <c r="B146" s="26">
        <v>46093</v>
      </c>
      <c r="C146" s="26">
        <v>46098</v>
      </c>
      <c r="D146" s="71">
        <v>3319</v>
      </c>
      <c r="E146" s="25">
        <v>327</v>
      </c>
      <c r="F146" s="46">
        <v>2</v>
      </c>
      <c r="G146" s="46">
        <v>1</v>
      </c>
      <c r="H146" s="46">
        <v>81433</v>
      </c>
      <c r="I146" s="46" t="s">
        <v>17</v>
      </c>
      <c r="J146" s="46">
        <v>24486353</v>
      </c>
      <c r="K146" s="44" t="s">
        <v>237</v>
      </c>
      <c r="L146" s="44" t="s">
        <v>240</v>
      </c>
      <c r="M146" s="72">
        <v>239900</v>
      </c>
      <c r="N146" s="64">
        <v>0.95</v>
      </c>
      <c r="O146" s="72">
        <f t="shared" si="2"/>
        <v>11995</v>
      </c>
      <c r="P146" s="44" t="s">
        <v>0</v>
      </c>
    </row>
    <row r="147" spans="1:16" x14ac:dyDescent="0.3">
      <c r="A147" s="46" t="s">
        <v>2143</v>
      </c>
      <c r="B147" s="26">
        <v>46093</v>
      </c>
      <c r="C147" s="26">
        <v>46098</v>
      </c>
      <c r="D147" s="71">
        <v>3319</v>
      </c>
      <c r="E147" s="25">
        <v>327</v>
      </c>
      <c r="F147" s="46">
        <v>2</v>
      </c>
      <c r="G147" s="46">
        <v>1</v>
      </c>
      <c r="H147" s="46">
        <v>81433</v>
      </c>
      <c r="I147" s="46" t="s">
        <v>17</v>
      </c>
      <c r="J147" s="46">
        <v>24486371</v>
      </c>
      <c r="K147" s="44" t="s">
        <v>241</v>
      </c>
      <c r="L147" s="44" t="s">
        <v>242</v>
      </c>
      <c r="M147" s="72">
        <v>239900</v>
      </c>
      <c r="N147" s="64">
        <v>0.95</v>
      </c>
      <c r="O147" s="72">
        <f t="shared" si="2"/>
        <v>11995</v>
      </c>
      <c r="P147" s="44" t="s">
        <v>0</v>
      </c>
    </row>
    <row r="148" spans="1:16" x14ac:dyDescent="0.3">
      <c r="A148" s="46" t="s">
        <v>2143</v>
      </c>
      <c r="B148" s="26">
        <v>46093</v>
      </c>
      <c r="C148" s="26">
        <v>46098</v>
      </c>
      <c r="D148" s="71">
        <v>3319</v>
      </c>
      <c r="E148" s="25">
        <v>327</v>
      </c>
      <c r="F148" s="46">
        <v>2</v>
      </c>
      <c r="G148" s="46">
        <v>1</v>
      </c>
      <c r="H148" s="46">
        <v>81433</v>
      </c>
      <c r="I148" s="46" t="s">
        <v>17</v>
      </c>
      <c r="J148" s="46">
        <v>24486380</v>
      </c>
      <c r="K148" s="44" t="s">
        <v>241</v>
      </c>
      <c r="L148" s="44" t="s">
        <v>243</v>
      </c>
      <c r="M148" s="72">
        <v>239900</v>
      </c>
      <c r="N148" s="64">
        <v>0.95</v>
      </c>
      <c r="O148" s="72">
        <f t="shared" si="2"/>
        <v>11995</v>
      </c>
      <c r="P148" s="44" t="s">
        <v>0</v>
      </c>
    </row>
    <row r="149" spans="1:16" x14ac:dyDescent="0.3">
      <c r="A149" s="46" t="s">
        <v>2143</v>
      </c>
      <c r="B149" s="26">
        <v>46093</v>
      </c>
      <c r="C149" s="26">
        <v>46098</v>
      </c>
      <c r="D149" s="71">
        <v>3319</v>
      </c>
      <c r="E149" s="25">
        <v>327</v>
      </c>
      <c r="F149" s="46">
        <v>2</v>
      </c>
      <c r="G149" s="46">
        <v>1</v>
      </c>
      <c r="H149" s="46">
        <v>81433</v>
      </c>
      <c r="I149" s="46" t="s">
        <v>17</v>
      </c>
      <c r="J149" s="46">
        <v>24495067</v>
      </c>
      <c r="K149" s="44" t="s">
        <v>244</v>
      </c>
      <c r="L149" s="44" t="s">
        <v>245</v>
      </c>
      <c r="M149" s="72">
        <v>199900</v>
      </c>
      <c r="N149" s="64">
        <v>0.95</v>
      </c>
      <c r="O149" s="72">
        <f t="shared" si="2"/>
        <v>9995</v>
      </c>
      <c r="P149" s="44" t="s">
        <v>0</v>
      </c>
    </row>
    <row r="150" spans="1:16" x14ac:dyDescent="0.3">
      <c r="A150" s="46" t="s">
        <v>2143</v>
      </c>
      <c r="B150" s="26">
        <v>46093</v>
      </c>
      <c r="C150" s="26">
        <v>46098</v>
      </c>
      <c r="D150" s="71">
        <v>3319</v>
      </c>
      <c r="E150" s="25">
        <v>327</v>
      </c>
      <c r="F150" s="46">
        <v>2</v>
      </c>
      <c r="G150" s="46">
        <v>1</v>
      </c>
      <c r="H150" s="46">
        <v>81433</v>
      </c>
      <c r="I150" s="46" t="s">
        <v>17</v>
      </c>
      <c r="J150" s="46">
        <v>24495076</v>
      </c>
      <c r="K150" s="44" t="s">
        <v>244</v>
      </c>
      <c r="L150" s="44" t="s">
        <v>246</v>
      </c>
      <c r="M150" s="72">
        <v>199900</v>
      </c>
      <c r="N150" s="64">
        <v>0.95</v>
      </c>
      <c r="O150" s="72">
        <f t="shared" si="2"/>
        <v>9995</v>
      </c>
      <c r="P150" s="44" t="s">
        <v>0</v>
      </c>
    </row>
    <row r="151" spans="1:16" x14ac:dyDescent="0.3">
      <c r="A151" s="46" t="s">
        <v>2143</v>
      </c>
      <c r="B151" s="26">
        <v>46093</v>
      </c>
      <c r="C151" s="26">
        <v>46098</v>
      </c>
      <c r="D151" s="71">
        <v>3319</v>
      </c>
      <c r="E151" s="25">
        <v>327</v>
      </c>
      <c r="F151" s="46">
        <v>2</v>
      </c>
      <c r="G151" s="46">
        <v>1</v>
      </c>
      <c r="H151" s="46">
        <v>81433</v>
      </c>
      <c r="I151" s="46" t="s">
        <v>17</v>
      </c>
      <c r="J151" s="46">
        <v>24495101</v>
      </c>
      <c r="K151" s="44" t="s">
        <v>244</v>
      </c>
      <c r="L151" s="44" t="s">
        <v>247</v>
      </c>
      <c r="M151" s="72">
        <v>199900</v>
      </c>
      <c r="N151" s="64">
        <v>0.95</v>
      </c>
      <c r="O151" s="72">
        <f t="shared" si="2"/>
        <v>9995</v>
      </c>
      <c r="P151" s="44" t="s">
        <v>0</v>
      </c>
    </row>
    <row r="152" spans="1:16" x14ac:dyDescent="0.3">
      <c r="A152" s="46" t="s">
        <v>2143</v>
      </c>
      <c r="B152" s="26">
        <v>46093</v>
      </c>
      <c r="C152" s="26">
        <v>46098</v>
      </c>
      <c r="D152" s="71">
        <v>3319</v>
      </c>
      <c r="E152" s="25">
        <v>327</v>
      </c>
      <c r="F152" s="46">
        <v>2</v>
      </c>
      <c r="G152" s="46">
        <v>1</v>
      </c>
      <c r="H152" s="46">
        <v>81433</v>
      </c>
      <c r="I152" s="46" t="s">
        <v>17</v>
      </c>
      <c r="J152" s="46">
        <v>24495129</v>
      </c>
      <c r="K152" s="44" t="s">
        <v>248</v>
      </c>
      <c r="L152" s="44" t="s">
        <v>249</v>
      </c>
      <c r="M152" s="72">
        <v>199900</v>
      </c>
      <c r="N152" s="64">
        <v>0.95</v>
      </c>
      <c r="O152" s="72">
        <f t="shared" si="2"/>
        <v>9995</v>
      </c>
      <c r="P152" s="44" t="s">
        <v>0</v>
      </c>
    </row>
    <row r="153" spans="1:16" x14ac:dyDescent="0.3">
      <c r="A153" s="46" t="s">
        <v>2143</v>
      </c>
      <c r="B153" s="26">
        <v>46093</v>
      </c>
      <c r="C153" s="26">
        <v>46098</v>
      </c>
      <c r="D153" s="71">
        <v>3319</v>
      </c>
      <c r="E153" s="25">
        <v>327</v>
      </c>
      <c r="F153" s="46">
        <v>2</v>
      </c>
      <c r="G153" s="46">
        <v>1</v>
      </c>
      <c r="H153" s="46">
        <v>81433</v>
      </c>
      <c r="I153" s="46" t="s">
        <v>17</v>
      </c>
      <c r="J153" s="46">
        <v>24495156</v>
      </c>
      <c r="K153" s="44" t="s">
        <v>248</v>
      </c>
      <c r="L153" s="44" t="s">
        <v>250</v>
      </c>
      <c r="M153" s="72">
        <v>199900</v>
      </c>
      <c r="N153" s="64">
        <v>0.95</v>
      </c>
      <c r="O153" s="72">
        <f t="shared" si="2"/>
        <v>9995</v>
      </c>
      <c r="P153" s="44" t="s">
        <v>0</v>
      </c>
    </row>
    <row r="154" spans="1:16" x14ac:dyDescent="0.3">
      <c r="A154" s="46" t="s">
        <v>2143</v>
      </c>
      <c r="B154" s="26">
        <v>46093</v>
      </c>
      <c r="C154" s="26">
        <v>46098</v>
      </c>
      <c r="D154" s="71">
        <v>3319</v>
      </c>
      <c r="E154" s="25">
        <v>327</v>
      </c>
      <c r="F154" s="46">
        <v>2</v>
      </c>
      <c r="G154" s="46">
        <v>1</v>
      </c>
      <c r="H154" s="46">
        <v>81433</v>
      </c>
      <c r="I154" s="46" t="s">
        <v>17</v>
      </c>
      <c r="J154" s="46">
        <v>24495165</v>
      </c>
      <c r="K154" s="44" t="s">
        <v>251</v>
      </c>
      <c r="L154" s="44" t="s">
        <v>252</v>
      </c>
      <c r="M154" s="72">
        <v>239900</v>
      </c>
      <c r="N154" s="64">
        <v>0.95</v>
      </c>
      <c r="O154" s="72">
        <f t="shared" si="2"/>
        <v>11995</v>
      </c>
      <c r="P154" s="44" t="s">
        <v>0</v>
      </c>
    </row>
    <row r="155" spans="1:16" x14ac:dyDescent="0.3">
      <c r="A155" s="46" t="s">
        <v>2143</v>
      </c>
      <c r="B155" s="26">
        <v>46093</v>
      </c>
      <c r="C155" s="26">
        <v>46098</v>
      </c>
      <c r="D155" s="71">
        <v>3319</v>
      </c>
      <c r="E155" s="25">
        <v>327</v>
      </c>
      <c r="F155" s="46">
        <v>2</v>
      </c>
      <c r="G155" s="46">
        <v>1</v>
      </c>
      <c r="H155" s="46">
        <v>81433</v>
      </c>
      <c r="I155" s="46" t="s">
        <v>17</v>
      </c>
      <c r="J155" s="46">
        <v>24495218</v>
      </c>
      <c r="K155" s="44" t="s">
        <v>253</v>
      </c>
      <c r="L155" s="44" t="s">
        <v>254</v>
      </c>
      <c r="M155" s="72">
        <v>239900</v>
      </c>
      <c r="N155" s="64">
        <v>0.95</v>
      </c>
      <c r="O155" s="72">
        <f t="shared" si="2"/>
        <v>11995</v>
      </c>
      <c r="P155" s="44" t="s">
        <v>0</v>
      </c>
    </row>
    <row r="156" spans="1:16" x14ac:dyDescent="0.3">
      <c r="A156" s="46" t="s">
        <v>2143</v>
      </c>
      <c r="B156" s="26">
        <v>46093</v>
      </c>
      <c r="C156" s="26">
        <v>46098</v>
      </c>
      <c r="D156" s="71">
        <v>3319</v>
      </c>
      <c r="E156" s="25">
        <v>327</v>
      </c>
      <c r="F156" s="46">
        <v>2</v>
      </c>
      <c r="G156" s="46">
        <v>1</v>
      </c>
      <c r="H156" s="46">
        <v>81433</v>
      </c>
      <c r="I156" s="46" t="s">
        <v>17</v>
      </c>
      <c r="J156" s="46">
        <v>24495227</v>
      </c>
      <c r="K156" s="44" t="s">
        <v>253</v>
      </c>
      <c r="L156" s="44" t="s">
        <v>255</v>
      </c>
      <c r="M156" s="72">
        <v>239900</v>
      </c>
      <c r="N156" s="64">
        <v>0.95</v>
      </c>
      <c r="O156" s="72">
        <f t="shared" si="2"/>
        <v>11995</v>
      </c>
      <c r="P156" s="44" t="s">
        <v>0</v>
      </c>
    </row>
    <row r="157" spans="1:16" x14ac:dyDescent="0.3">
      <c r="A157" s="46" t="s">
        <v>2143</v>
      </c>
      <c r="B157" s="26">
        <v>46093</v>
      </c>
      <c r="C157" s="26">
        <v>46098</v>
      </c>
      <c r="D157" s="71">
        <v>3319</v>
      </c>
      <c r="E157" s="25">
        <v>327</v>
      </c>
      <c r="F157" s="46">
        <v>2</v>
      </c>
      <c r="G157" s="46">
        <v>1</v>
      </c>
      <c r="H157" s="46">
        <v>81433</v>
      </c>
      <c r="I157" s="46" t="s">
        <v>17</v>
      </c>
      <c r="J157" s="46">
        <v>24495245</v>
      </c>
      <c r="K157" s="44" t="s">
        <v>253</v>
      </c>
      <c r="L157" s="44" t="s">
        <v>256</v>
      </c>
      <c r="M157" s="72">
        <v>239900</v>
      </c>
      <c r="N157" s="64">
        <v>0.95</v>
      </c>
      <c r="O157" s="72">
        <f t="shared" si="2"/>
        <v>11995</v>
      </c>
      <c r="P157" s="44" t="s">
        <v>0</v>
      </c>
    </row>
    <row r="158" spans="1:16" x14ac:dyDescent="0.3">
      <c r="A158" s="46" t="s">
        <v>2143</v>
      </c>
      <c r="B158" s="26">
        <v>46093</v>
      </c>
      <c r="C158" s="26">
        <v>46098</v>
      </c>
      <c r="D158" s="71">
        <v>3319</v>
      </c>
      <c r="E158" s="25">
        <v>327</v>
      </c>
      <c r="F158" s="46">
        <v>2</v>
      </c>
      <c r="G158" s="46">
        <v>1</v>
      </c>
      <c r="H158" s="46">
        <v>81433</v>
      </c>
      <c r="I158" s="46" t="s">
        <v>17</v>
      </c>
      <c r="J158" s="46">
        <v>24495441</v>
      </c>
      <c r="K158" s="44" t="s">
        <v>257</v>
      </c>
      <c r="L158" s="44" t="s">
        <v>258</v>
      </c>
      <c r="M158" s="72">
        <v>239900</v>
      </c>
      <c r="N158" s="64">
        <v>0.95</v>
      </c>
      <c r="O158" s="72">
        <f t="shared" si="2"/>
        <v>11995</v>
      </c>
      <c r="P158" s="44" t="s">
        <v>0</v>
      </c>
    </row>
    <row r="159" spans="1:16" x14ac:dyDescent="0.3">
      <c r="A159" s="46" t="s">
        <v>2143</v>
      </c>
      <c r="B159" s="26">
        <v>46093</v>
      </c>
      <c r="C159" s="26">
        <v>46098</v>
      </c>
      <c r="D159" s="71">
        <v>3319</v>
      </c>
      <c r="E159" s="25">
        <v>327</v>
      </c>
      <c r="F159" s="46">
        <v>2</v>
      </c>
      <c r="G159" s="46">
        <v>1</v>
      </c>
      <c r="H159" s="46">
        <v>81433</v>
      </c>
      <c r="I159" s="46" t="s">
        <v>17</v>
      </c>
      <c r="J159" s="46">
        <v>24495889</v>
      </c>
      <c r="K159" s="44" t="s">
        <v>259</v>
      </c>
      <c r="L159" s="44" t="s">
        <v>260</v>
      </c>
      <c r="M159" s="72">
        <v>199900</v>
      </c>
      <c r="N159" s="64">
        <v>0.95</v>
      </c>
      <c r="O159" s="72">
        <f t="shared" si="2"/>
        <v>9995</v>
      </c>
      <c r="P159" s="44" t="s">
        <v>0</v>
      </c>
    </row>
    <row r="160" spans="1:16" x14ac:dyDescent="0.3">
      <c r="A160" s="46" t="s">
        <v>2143</v>
      </c>
      <c r="B160" s="26">
        <v>46093</v>
      </c>
      <c r="C160" s="26">
        <v>46098</v>
      </c>
      <c r="D160" s="71">
        <v>3319</v>
      </c>
      <c r="E160" s="25">
        <v>327</v>
      </c>
      <c r="F160" s="46">
        <v>2</v>
      </c>
      <c r="G160" s="46">
        <v>1</v>
      </c>
      <c r="H160" s="46">
        <v>81433</v>
      </c>
      <c r="I160" s="46" t="s">
        <v>17</v>
      </c>
      <c r="J160" s="46">
        <v>24495898</v>
      </c>
      <c r="K160" s="44" t="s">
        <v>259</v>
      </c>
      <c r="L160" s="44" t="s">
        <v>261</v>
      </c>
      <c r="M160" s="72">
        <v>199900</v>
      </c>
      <c r="N160" s="64">
        <v>0.95</v>
      </c>
      <c r="O160" s="72">
        <f t="shared" si="2"/>
        <v>9995</v>
      </c>
      <c r="P160" s="44" t="s">
        <v>0</v>
      </c>
    </row>
    <row r="161" spans="1:16" x14ac:dyDescent="0.3">
      <c r="A161" s="46" t="s">
        <v>2143</v>
      </c>
      <c r="B161" s="26">
        <v>46093</v>
      </c>
      <c r="C161" s="26">
        <v>46098</v>
      </c>
      <c r="D161" s="71">
        <v>3319</v>
      </c>
      <c r="E161" s="25">
        <v>327</v>
      </c>
      <c r="F161" s="46">
        <v>2</v>
      </c>
      <c r="G161" s="46">
        <v>1</v>
      </c>
      <c r="H161" s="46">
        <v>81433</v>
      </c>
      <c r="I161" s="46" t="s">
        <v>17</v>
      </c>
      <c r="J161" s="46">
        <v>24495923</v>
      </c>
      <c r="K161" s="44" t="s">
        <v>262</v>
      </c>
      <c r="L161" s="44" t="s">
        <v>263</v>
      </c>
      <c r="M161" s="72">
        <v>199900</v>
      </c>
      <c r="N161" s="64">
        <v>0.95</v>
      </c>
      <c r="O161" s="72">
        <f t="shared" si="2"/>
        <v>9995</v>
      </c>
      <c r="P161" s="44" t="s">
        <v>0</v>
      </c>
    </row>
    <row r="162" spans="1:16" x14ac:dyDescent="0.3">
      <c r="A162" s="46" t="s">
        <v>2143</v>
      </c>
      <c r="B162" s="26">
        <v>46093</v>
      </c>
      <c r="C162" s="26">
        <v>46098</v>
      </c>
      <c r="D162" s="71">
        <v>3319</v>
      </c>
      <c r="E162" s="25">
        <v>327</v>
      </c>
      <c r="F162" s="46">
        <v>2</v>
      </c>
      <c r="G162" s="46">
        <v>1</v>
      </c>
      <c r="H162" s="46">
        <v>81433</v>
      </c>
      <c r="I162" s="46" t="s">
        <v>17</v>
      </c>
      <c r="J162" s="46">
        <v>24495932</v>
      </c>
      <c r="K162" s="44" t="s">
        <v>262</v>
      </c>
      <c r="L162" s="44" t="s">
        <v>264</v>
      </c>
      <c r="M162" s="72">
        <v>199900</v>
      </c>
      <c r="N162" s="64">
        <v>0.95</v>
      </c>
      <c r="O162" s="72">
        <f t="shared" si="2"/>
        <v>9995</v>
      </c>
      <c r="P162" s="44" t="s">
        <v>0</v>
      </c>
    </row>
    <row r="163" spans="1:16" x14ac:dyDescent="0.3">
      <c r="A163" s="46" t="s">
        <v>2143</v>
      </c>
      <c r="B163" s="26">
        <v>46093</v>
      </c>
      <c r="C163" s="26">
        <v>46098</v>
      </c>
      <c r="D163" s="71">
        <v>3319</v>
      </c>
      <c r="E163" s="25">
        <v>327</v>
      </c>
      <c r="F163" s="46">
        <v>2</v>
      </c>
      <c r="G163" s="46">
        <v>1</v>
      </c>
      <c r="H163" s="46">
        <v>81433</v>
      </c>
      <c r="I163" s="46" t="s">
        <v>17</v>
      </c>
      <c r="J163" s="46">
        <v>24495941</v>
      </c>
      <c r="K163" s="44" t="s">
        <v>262</v>
      </c>
      <c r="L163" s="44" t="s">
        <v>265</v>
      </c>
      <c r="M163" s="72">
        <v>199900</v>
      </c>
      <c r="N163" s="64">
        <v>0.95</v>
      </c>
      <c r="O163" s="72">
        <f t="shared" si="2"/>
        <v>9995</v>
      </c>
      <c r="P163" s="44" t="s">
        <v>0</v>
      </c>
    </row>
    <row r="164" spans="1:16" x14ac:dyDescent="0.3">
      <c r="A164" s="46" t="s">
        <v>2143</v>
      </c>
      <c r="B164" s="26">
        <v>46093</v>
      </c>
      <c r="C164" s="26">
        <v>46098</v>
      </c>
      <c r="D164" s="71">
        <v>3319</v>
      </c>
      <c r="E164" s="25">
        <v>327</v>
      </c>
      <c r="F164" s="46">
        <v>2</v>
      </c>
      <c r="G164" s="46">
        <v>1</v>
      </c>
      <c r="H164" s="46">
        <v>81433</v>
      </c>
      <c r="I164" s="46" t="s">
        <v>17</v>
      </c>
      <c r="J164" s="46">
        <v>24495950</v>
      </c>
      <c r="K164" s="44" t="s">
        <v>262</v>
      </c>
      <c r="L164" s="44" t="s">
        <v>266</v>
      </c>
      <c r="M164" s="72">
        <v>199900</v>
      </c>
      <c r="N164" s="64">
        <v>0.95</v>
      </c>
      <c r="O164" s="72">
        <f t="shared" si="2"/>
        <v>9995</v>
      </c>
      <c r="P164" s="44" t="s">
        <v>0</v>
      </c>
    </row>
    <row r="165" spans="1:16" x14ac:dyDescent="0.3">
      <c r="A165" s="46" t="s">
        <v>2143</v>
      </c>
      <c r="B165" s="26">
        <v>46093</v>
      </c>
      <c r="C165" s="26">
        <v>46098</v>
      </c>
      <c r="D165" s="71">
        <v>3319</v>
      </c>
      <c r="E165" s="25">
        <v>327</v>
      </c>
      <c r="F165" s="46">
        <v>2</v>
      </c>
      <c r="G165" s="46">
        <v>1</v>
      </c>
      <c r="H165" s="46">
        <v>81433</v>
      </c>
      <c r="I165" s="46" t="s">
        <v>17</v>
      </c>
      <c r="J165" s="46">
        <v>24495969</v>
      </c>
      <c r="K165" s="44" t="s">
        <v>262</v>
      </c>
      <c r="L165" s="44" t="s">
        <v>267</v>
      </c>
      <c r="M165" s="72">
        <v>199900</v>
      </c>
      <c r="N165" s="64">
        <v>0.95</v>
      </c>
      <c r="O165" s="72">
        <f t="shared" si="2"/>
        <v>9995</v>
      </c>
      <c r="P165" s="44" t="s">
        <v>0</v>
      </c>
    </row>
    <row r="166" spans="1:16" x14ac:dyDescent="0.3">
      <c r="A166" s="46" t="s">
        <v>2143</v>
      </c>
      <c r="B166" s="26">
        <v>46093</v>
      </c>
      <c r="C166" s="26">
        <v>46098</v>
      </c>
      <c r="D166" s="71">
        <v>3319</v>
      </c>
      <c r="E166" s="25">
        <v>327</v>
      </c>
      <c r="F166" s="46">
        <v>2</v>
      </c>
      <c r="G166" s="46">
        <v>1</v>
      </c>
      <c r="H166" s="46">
        <v>81433</v>
      </c>
      <c r="I166" s="46" t="s">
        <v>17</v>
      </c>
      <c r="J166" s="46">
        <v>24520270</v>
      </c>
      <c r="K166" s="44" t="s">
        <v>268</v>
      </c>
      <c r="L166" s="44" t="s">
        <v>269</v>
      </c>
      <c r="M166" s="72">
        <v>199900</v>
      </c>
      <c r="N166" s="64">
        <v>0.95</v>
      </c>
      <c r="O166" s="72">
        <f t="shared" si="2"/>
        <v>9995</v>
      </c>
      <c r="P166" s="44" t="s">
        <v>0</v>
      </c>
    </row>
    <row r="167" spans="1:16" x14ac:dyDescent="0.3">
      <c r="A167" s="46" t="s">
        <v>2143</v>
      </c>
      <c r="B167" s="26">
        <v>46093</v>
      </c>
      <c r="C167" s="26">
        <v>46098</v>
      </c>
      <c r="D167" s="71">
        <v>3319</v>
      </c>
      <c r="E167" s="25">
        <v>327</v>
      </c>
      <c r="F167" s="46">
        <v>2</v>
      </c>
      <c r="G167" s="46">
        <v>1</v>
      </c>
      <c r="H167" s="46">
        <v>81433</v>
      </c>
      <c r="I167" s="46" t="s">
        <v>17</v>
      </c>
      <c r="J167" s="46">
        <v>24520289</v>
      </c>
      <c r="K167" s="44" t="s">
        <v>268</v>
      </c>
      <c r="L167" s="44" t="s">
        <v>270</v>
      </c>
      <c r="M167" s="72">
        <v>199900</v>
      </c>
      <c r="N167" s="64">
        <v>0.95</v>
      </c>
      <c r="O167" s="72">
        <f t="shared" si="2"/>
        <v>9995</v>
      </c>
      <c r="P167" s="44" t="s">
        <v>0</v>
      </c>
    </row>
    <row r="168" spans="1:16" x14ac:dyDescent="0.3">
      <c r="A168" s="46" t="s">
        <v>2143</v>
      </c>
      <c r="B168" s="26">
        <v>46093</v>
      </c>
      <c r="C168" s="26">
        <v>46098</v>
      </c>
      <c r="D168" s="71">
        <v>3319</v>
      </c>
      <c r="E168" s="25">
        <v>327</v>
      </c>
      <c r="F168" s="46">
        <v>2</v>
      </c>
      <c r="G168" s="46">
        <v>1</v>
      </c>
      <c r="H168" s="46">
        <v>81433</v>
      </c>
      <c r="I168" s="46" t="s">
        <v>17</v>
      </c>
      <c r="J168" s="46">
        <v>24520298</v>
      </c>
      <c r="K168" s="44" t="s">
        <v>268</v>
      </c>
      <c r="L168" s="44" t="s">
        <v>271</v>
      </c>
      <c r="M168" s="72">
        <v>199900</v>
      </c>
      <c r="N168" s="64">
        <v>0.95</v>
      </c>
      <c r="O168" s="72">
        <f t="shared" si="2"/>
        <v>9995</v>
      </c>
      <c r="P168" s="44" t="s">
        <v>0</v>
      </c>
    </row>
    <row r="169" spans="1:16" x14ac:dyDescent="0.3">
      <c r="A169" s="46" t="s">
        <v>2143</v>
      </c>
      <c r="B169" s="26">
        <v>46093</v>
      </c>
      <c r="C169" s="26">
        <v>46098</v>
      </c>
      <c r="D169" s="71">
        <v>3319</v>
      </c>
      <c r="E169" s="25">
        <v>327</v>
      </c>
      <c r="F169" s="46">
        <v>2</v>
      </c>
      <c r="G169" s="46">
        <v>1</v>
      </c>
      <c r="H169" s="46">
        <v>81433</v>
      </c>
      <c r="I169" s="46" t="s">
        <v>17</v>
      </c>
      <c r="J169" s="46">
        <v>24520350</v>
      </c>
      <c r="K169" s="44" t="s">
        <v>272</v>
      </c>
      <c r="L169" s="44" t="s">
        <v>273</v>
      </c>
      <c r="M169" s="72">
        <v>199900</v>
      </c>
      <c r="N169" s="64">
        <v>0.95</v>
      </c>
      <c r="O169" s="72">
        <f t="shared" si="2"/>
        <v>9995</v>
      </c>
      <c r="P169" s="44" t="s">
        <v>0</v>
      </c>
    </row>
    <row r="170" spans="1:16" x14ac:dyDescent="0.3">
      <c r="A170" s="46" t="s">
        <v>2143</v>
      </c>
      <c r="B170" s="26">
        <v>46093</v>
      </c>
      <c r="C170" s="26">
        <v>46098</v>
      </c>
      <c r="D170" s="71">
        <v>3319</v>
      </c>
      <c r="E170" s="25">
        <v>327</v>
      </c>
      <c r="F170" s="46">
        <v>2</v>
      </c>
      <c r="G170" s="46">
        <v>1</v>
      </c>
      <c r="H170" s="46">
        <v>81433</v>
      </c>
      <c r="I170" s="46" t="s">
        <v>17</v>
      </c>
      <c r="J170" s="46">
        <v>24520369</v>
      </c>
      <c r="K170" s="44" t="s">
        <v>272</v>
      </c>
      <c r="L170" s="44" t="s">
        <v>274</v>
      </c>
      <c r="M170" s="72">
        <v>199900</v>
      </c>
      <c r="N170" s="64">
        <v>0.95</v>
      </c>
      <c r="O170" s="72">
        <f t="shared" si="2"/>
        <v>9995</v>
      </c>
      <c r="P170" s="44" t="s">
        <v>0</v>
      </c>
    </row>
    <row r="171" spans="1:16" x14ac:dyDescent="0.3">
      <c r="A171" s="46" t="s">
        <v>2143</v>
      </c>
      <c r="B171" s="26">
        <v>46093</v>
      </c>
      <c r="C171" s="26">
        <v>46098</v>
      </c>
      <c r="D171" s="71">
        <v>3319</v>
      </c>
      <c r="E171" s="25">
        <v>327</v>
      </c>
      <c r="F171" s="46">
        <v>2</v>
      </c>
      <c r="G171" s="46">
        <v>1</v>
      </c>
      <c r="H171" s="46">
        <v>81433</v>
      </c>
      <c r="I171" s="46" t="s">
        <v>17</v>
      </c>
      <c r="J171" s="46">
        <v>24520752</v>
      </c>
      <c r="K171" s="44" t="s">
        <v>275</v>
      </c>
      <c r="L171" s="44" t="s">
        <v>276</v>
      </c>
      <c r="M171" s="72">
        <v>239900</v>
      </c>
      <c r="N171" s="64">
        <v>0.95</v>
      </c>
      <c r="O171" s="72">
        <f t="shared" si="2"/>
        <v>11995</v>
      </c>
      <c r="P171" s="44" t="s">
        <v>0</v>
      </c>
    </row>
    <row r="172" spans="1:16" x14ac:dyDescent="0.3">
      <c r="A172" s="46" t="s">
        <v>2143</v>
      </c>
      <c r="B172" s="26">
        <v>46093</v>
      </c>
      <c r="C172" s="26">
        <v>46098</v>
      </c>
      <c r="D172" s="71">
        <v>3319</v>
      </c>
      <c r="E172" s="25">
        <v>327</v>
      </c>
      <c r="F172" s="46">
        <v>2</v>
      </c>
      <c r="G172" s="46">
        <v>1</v>
      </c>
      <c r="H172" s="46">
        <v>81433</v>
      </c>
      <c r="I172" s="46" t="s">
        <v>17</v>
      </c>
      <c r="J172" s="46">
        <v>24520770</v>
      </c>
      <c r="K172" s="44" t="s">
        <v>275</v>
      </c>
      <c r="L172" s="44" t="s">
        <v>277</v>
      </c>
      <c r="M172" s="72">
        <v>239900</v>
      </c>
      <c r="N172" s="64">
        <v>0.95</v>
      </c>
      <c r="O172" s="72">
        <f t="shared" si="2"/>
        <v>11995</v>
      </c>
      <c r="P172" s="44" t="s">
        <v>0</v>
      </c>
    </row>
    <row r="173" spans="1:16" x14ac:dyDescent="0.3">
      <c r="A173" s="46" t="s">
        <v>2143</v>
      </c>
      <c r="B173" s="26">
        <v>46093</v>
      </c>
      <c r="C173" s="26">
        <v>46098</v>
      </c>
      <c r="D173" s="71">
        <v>3319</v>
      </c>
      <c r="E173" s="25">
        <v>327</v>
      </c>
      <c r="F173" s="46">
        <v>2</v>
      </c>
      <c r="G173" s="46">
        <v>1</v>
      </c>
      <c r="H173" s="46">
        <v>81433</v>
      </c>
      <c r="I173" s="46" t="s">
        <v>17</v>
      </c>
      <c r="J173" s="46">
        <v>24520798</v>
      </c>
      <c r="K173" s="44" t="s">
        <v>275</v>
      </c>
      <c r="L173" s="44" t="s">
        <v>278</v>
      </c>
      <c r="M173" s="72">
        <v>239900</v>
      </c>
      <c r="N173" s="64">
        <v>0.95</v>
      </c>
      <c r="O173" s="72">
        <f t="shared" si="2"/>
        <v>11995</v>
      </c>
      <c r="P173" s="44" t="s">
        <v>0</v>
      </c>
    </row>
    <row r="174" spans="1:16" x14ac:dyDescent="0.3">
      <c r="A174" s="46" t="s">
        <v>2143</v>
      </c>
      <c r="B174" s="26">
        <v>46093</v>
      </c>
      <c r="C174" s="26">
        <v>46098</v>
      </c>
      <c r="D174" s="71">
        <v>3319</v>
      </c>
      <c r="E174" s="25">
        <v>327</v>
      </c>
      <c r="F174" s="46">
        <v>2</v>
      </c>
      <c r="G174" s="46">
        <v>1</v>
      </c>
      <c r="H174" s="46">
        <v>81433</v>
      </c>
      <c r="I174" s="46" t="s">
        <v>17</v>
      </c>
      <c r="J174" s="46">
        <v>24525837</v>
      </c>
      <c r="K174" s="44" t="s">
        <v>279</v>
      </c>
      <c r="L174" s="44" t="s">
        <v>280</v>
      </c>
      <c r="M174" s="72">
        <v>259900</v>
      </c>
      <c r="N174" s="64">
        <v>0.95</v>
      </c>
      <c r="O174" s="72">
        <f t="shared" si="2"/>
        <v>12995</v>
      </c>
      <c r="P174" s="44" t="s">
        <v>0</v>
      </c>
    </row>
    <row r="175" spans="1:16" x14ac:dyDescent="0.3">
      <c r="A175" s="46" t="s">
        <v>2143</v>
      </c>
      <c r="B175" s="26">
        <v>46093</v>
      </c>
      <c r="C175" s="26">
        <v>46098</v>
      </c>
      <c r="D175" s="71">
        <v>3319</v>
      </c>
      <c r="E175" s="25">
        <v>327</v>
      </c>
      <c r="F175" s="46">
        <v>2</v>
      </c>
      <c r="G175" s="46">
        <v>1</v>
      </c>
      <c r="H175" s="46">
        <v>81433</v>
      </c>
      <c r="I175" s="46" t="s">
        <v>17</v>
      </c>
      <c r="J175" s="46">
        <v>24525855</v>
      </c>
      <c r="K175" s="44" t="s">
        <v>279</v>
      </c>
      <c r="L175" s="44" t="s">
        <v>281</v>
      </c>
      <c r="M175" s="72">
        <v>259900</v>
      </c>
      <c r="N175" s="64">
        <v>0.95</v>
      </c>
      <c r="O175" s="72">
        <f t="shared" si="2"/>
        <v>12995</v>
      </c>
      <c r="P175" s="44" t="s">
        <v>0</v>
      </c>
    </row>
    <row r="176" spans="1:16" x14ac:dyDescent="0.3">
      <c r="A176" s="46" t="s">
        <v>2143</v>
      </c>
      <c r="B176" s="26">
        <v>46093</v>
      </c>
      <c r="C176" s="26">
        <v>46098</v>
      </c>
      <c r="D176" s="71">
        <v>3319</v>
      </c>
      <c r="E176" s="25">
        <v>327</v>
      </c>
      <c r="F176" s="46">
        <v>2</v>
      </c>
      <c r="G176" s="46">
        <v>1</v>
      </c>
      <c r="H176" s="46">
        <v>81433</v>
      </c>
      <c r="I176" s="46" t="s">
        <v>17</v>
      </c>
      <c r="J176" s="46">
        <v>24527399</v>
      </c>
      <c r="K176" s="44" t="s">
        <v>282</v>
      </c>
      <c r="L176" s="44" t="s">
        <v>283</v>
      </c>
      <c r="M176" s="72">
        <v>259900</v>
      </c>
      <c r="N176" s="64">
        <v>0.95</v>
      </c>
      <c r="O176" s="72">
        <f t="shared" si="2"/>
        <v>12995</v>
      </c>
      <c r="P176" s="44" t="s">
        <v>0</v>
      </c>
    </row>
    <row r="177" spans="1:16" x14ac:dyDescent="0.3">
      <c r="A177" s="46" t="s">
        <v>2143</v>
      </c>
      <c r="B177" s="26">
        <v>46093</v>
      </c>
      <c r="C177" s="26">
        <v>46098</v>
      </c>
      <c r="D177" s="71">
        <v>3319</v>
      </c>
      <c r="E177" s="25">
        <v>327</v>
      </c>
      <c r="F177" s="46">
        <v>2</v>
      </c>
      <c r="G177" s="46">
        <v>1</v>
      </c>
      <c r="H177" s="46">
        <v>81433</v>
      </c>
      <c r="I177" s="46" t="s">
        <v>17</v>
      </c>
      <c r="J177" s="46">
        <v>24527442</v>
      </c>
      <c r="K177" s="44" t="s">
        <v>284</v>
      </c>
      <c r="L177" s="44" t="s">
        <v>285</v>
      </c>
      <c r="M177" s="72">
        <v>259900</v>
      </c>
      <c r="N177" s="64">
        <v>0.95</v>
      </c>
      <c r="O177" s="72">
        <f t="shared" si="2"/>
        <v>12995</v>
      </c>
      <c r="P177" s="44" t="s">
        <v>0</v>
      </c>
    </row>
    <row r="178" spans="1:16" x14ac:dyDescent="0.3">
      <c r="A178" s="46" t="s">
        <v>2143</v>
      </c>
      <c r="B178" s="26">
        <v>46093</v>
      </c>
      <c r="C178" s="26">
        <v>46098</v>
      </c>
      <c r="D178" s="71">
        <v>3319</v>
      </c>
      <c r="E178" s="25">
        <v>327</v>
      </c>
      <c r="F178" s="46">
        <v>2</v>
      </c>
      <c r="G178" s="46">
        <v>1</v>
      </c>
      <c r="H178" s="46">
        <v>81433</v>
      </c>
      <c r="I178" s="46" t="s">
        <v>17</v>
      </c>
      <c r="J178" s="46">
        <v>24527460</v>
      </c>
      <c r="K178" s="44" t="s">
        <v>284</v>
      </c>
      <c r="L178" s="44" t="s">
        <v>286</v>
      </c>
      <c r="M178" s="72">
        <v>259900</v>
      </c>
      <c r="N178" s="64">
        <v>0.95</v>
      </c>
      <c r="O178" s="72">
        <f t="shared" si="2"/>
        <v>12995</v>
      </c>
      <c r="P178" s="44" t="s">
        <v>0</v>
      </c>
    </row>
    <row r="179" spans="1:16" x14ac:dyDescent="0.3">
      <c r="A179" s="46" t="s">
        <v>2143</v>
      </c>
      <c r="B179" s="26">
        <v>46093</v>
      </c>
      <c r="C179" s="26">
        <v>46098</v>
      </c>
      <c r="D179" s="71">
        <v>3319</v>
      </c>
      <c r="E179" s="25">
        <v>327</v>
      </c>
      <c r="F179" s="46">
        <v>2</v>
      </c>
      <c r="G179" s="46">
        <v>1</v>
      </c>
      <c r="H179" s="46">
        <v>81433</v>
      </c>
      <c r="I179" s="46" t="s">
        <v>17</v>
      </c>
      <c r="J179" s="46">
        <v>24528290</v>
      </c>
      <c r="K179" s="44" t="s">
        <v>287</v>
      </c>
      <c r="L179" s="44" t="s">
        <v>288</v>
      </c>
      <c r="M179" s="72">
        <v>259900</v>
      </c>
      <c r="N179" s="64">
        <v>0.95</v>
      </c>
      <c r="O179" s="72">
        <f t="shared" si="2"/>
        <v>12995</v>
      </c>
      <c r="P179" s="44" t="s">
        <v>0</v>
      </c>
    </row>
    <row r="180" spans="1:16" x14ac:dyDescent="0.3">
      <c r="A180" s="46" t="s">
        <v>2143</v>
      </c>
      <c r="B180" s="26">
        <v>46093</v>
      </c>
      <c r="C180" s="26">
        <v>46098</v>
      </c>
      <c r="D180" s="71">
        <v>3319</v>
      </c>
      <c r="E180" s="25">
        <v>327</v>
      </c>
      <c r="F180" s="46">
        <v>2</v>
      </c>
      <c r="G180" s="46">
        <v>1</v>
      </c>
      <c r="H180" s="46">
        <v>81433</v>
      </c>
      <c r="I180" s="46" t="s">
        <v>17</v>
      </c>
      <c r="J180" s="46">
        <v>24528307</v>
      </c>
      <c r="K180" s="44" t="s">
        <v>287</v>
      </c>
      <c r="L180" s="44" t="s">
        <v>289</v>
      </c>
      <c r="M180" s="72">
        <v>259900</v>
      </c>
      <c r="N180" s="64">
        <v>0.95</v>
      </c>
      <c r="O180" s="72">
        <f t="shared" si="2"/>
        <v>12995</v>
      </c>
      <c r="P180" s="44" t="s">
        <v>0</v>
      </c>
    </row>
    <row r="181" spans="1:16" x14ac:dyDescent="0.3">
      <c r="A181" s="46" t="s">
        <v>2143</v>
      </c>
      <c r="B181" s="26">
        <v>46093</v>
      </c>
      <c r="C181" s="26">
        <v>46098</v>
      </c>
      <c r="D181" s="71">
        <v>3319</v>
      </c>
      <c r="E181" s="25">
        <v>327</v>
      </c>
      <c r="F181" s="46">
        <v>2</v>
      </c>
      <c r="G181" s="46">
        <v>1</v>
      </c>
      <c r="H181" s="46">
        <v>81433</v>
      </c>
      <c r="I181" s="46" t="s">
        <v>17</v>
      </c>
      <c r="J181" s="46">
        <v>24528325</v>
      </c>
      <c r="K181" s="44" t="s">
        <v>287</v>
      </c>
      <c r="L181" s="44" t="s">
        <v>290</v>
      </c>
      <c r="M181" s="72">
        <v>259900</v>
      </c>
      <c r="N181" s="64">
        <v>0.95</v>
      </c>
      <c r="O181" s="72">
        <f t="shared" si="2"/>
        <v>12995</v>
      </c>
      <c r="P181" s="44" t="s">
        <v>0</v>
      </c>
    </row>
    <row r="182" spans="1:16" x14ac:dyDescent="0.3">
      <c r="A182" s="46" t="s">
        <v>2143</v>
      </c>
      <c r="B182" s="26">
        <v>46093</v>
      </c>
      <c r="C182" s="26">
        <v>46098</v>
      </c>
      <c r="D182" s="71">
        <v>3319</v>
      </c>
      <c r="E182" s="25">
        <v>327</v>
      </c>
      <c r="F182" s="46">
        <v>2</v>
      </c>
      <c r="G182" s="46">
        <v>1</v>
      </c>
      <c r="H182" s="46">
        <v>81433</v>
      </c>
      <c r="I182" s="46" t="s">
        <v>17</v>
      </c>
      <c r="J182" s="46">
        <v>24528334</v>
      </c>
      <c r="K182" s="44" t="s">
        <v>291</v>
      </c>
      <c r="L182" s="44" t="s">
        <v>292</v>
      </c>
      <c r="M182" s="72">
        <v>259900</v>
      </c>
      <c r="N182" s="64">
        <v>0.95</v>
      </c>
      <c r="O182" s="72">
        <f t="shared" si="2"/>
        <v>12995</v>
      </c>
      <c r="P182" s="44" t="s">
        <v>0</v>
      </c>
    </row>
    <row r="183" spans="1:16" x14ac:dyDescent="0.3">
      <c r="A183" s="46" t="s">
        <v>2143</v>
      </c>
      <c r="B183" s="26">
        <v>46093</v>
      </c>
      <c r="C183" s="26">
        <v>46098</v>
      </c>
      <c r="D183" s="71">
        <v>3319</v>
      </c>
      <c r="E183" s="25">
        <v>327</v>
      </c>
      <c r="F183" s="46">
        <v>2</v>
      </c>
      <c r="G183" s="46">
        <v>1</v>
      </c>
      <c r="H183" s="46">
        <v>81433</v>
      </c>
      <c r="I183" s="46" t="s">
        <v>17</v>
      </c>
      <c r="J183" s="46">
        <v>24528343</v>
      </c>
      <c r="K183" s="44" t="s">
        <v>291</v>
      </c>
      <c r="L183" s="44" t="s">
        <v>293</v>
      </c>
      <c r="M183" s="72">
        <v>259900</v>
      </c>
      <c r="N183" s="64">
        <v>0.95</v>
      </c>
      <c r="O183" s="72">
        <f t="shared" si="2"/>
        <v>12995</v>
      </c>
      <c r="P183" s="44" t="s">
        <v>0</v>
      </c>
    </row>
    <row r="184" spans="1:16" x14ac:dyDescent="0.3">
      <c r="A184" s="46" t="s">
        <v>2143</v>
      </c>
      <c r="B184" s="26">
        <v>46093</v>
      </c>
      <c r="C184" s="26">
        <v>46098</v>
      </c>
      <c r="D184" s="71">
        <v>3319</v>
      </c>
      <c r="E184" s="25">
        <v>327</v>
      </c>
      <c r="F184" s="46">
        <v>2</v>
      </c>
      <c r="G184" s="46">
        <v>1</v>
      </c>
      <c r="H184" s="46">
        <v>81433</v>
      </c>
      <c r="I184" s="46" t="s">
        <v>17</v>
      </c>
      <c r="J184" s="46">
        <v>24528352</v>
      </c>
      <c r="K184" s="44" t="s">
        <v>291</v>
      </c>
      <c r="L184" s="44" t="s">
        <v>294</v>
      </c>
      <c r="M184" s="72">
        <v>259900</v>
      </c>
      <c r="N184" s="64">
        <v>0.95</v>
      </c>
      <c r="O184" s="72">
        <f t="shared" si="2"/>
        <v>12995</v>
      </c>
      <c r="P184" s="44" t="s">
        <v>0</v>
      </c>
    </row>
    <row r="185" spans="1:16" x14ac:dyDescent="0.3">
      <c r="A185" s="46" t="s">
        <v>2143</v>
      </c>
      <c r="B185" s="26">
        <v>46093</v>
      </c>
      <c r="C185" s="26">
        <v>46098</v>
      </c>
      <c r="D185" s="71">
        <v>3319</v>
      </c>
      <c r="E185" s="25">
        <v>327</v>
      </c>
      <c r="F185" s="46">
        <v>2</v>
      </c>
      <c r="G185" s="46">
        <v>1</v>
      </c>
      <c r="H185" s="46">
        <v>81433</v>
      </c>
      <c r="I185" s="46" t="s">
        <v>17</v>
      </c>
      <c r="J185" s="46">
        <v>24528361</v>
      </c>
      <c r="K185" s="44" t="s">
        <v>291</v>
      </c>
      <c r="L185" s="44" t="s">
        <v>295</v>
      </c>
      <c r="M185" s="72">
        <v>259900</v>
      </c>
      <c r="N185" s="64">
        <v>0.95</v>
      </c>
      <c r="O185" s="72">
        <f t="shared" si="2"/>
        <v>12995</v>
      </c>
      <c r="P185" s="44" t="s">
        <v>0</v>
      </c>
    </row>
    <row r="186" spans="1:16" x14ac:dyDescent="0.3">
      <c r="A186" s="46" t="s">
        <v>2143</v>
      </c>
      <c r="B186" s="26">
        <v>46093</v>
      </c>
      <c r="C186" s="26">
        <v>46098</v>
      </c>
      <c r="D186" s="71">
        <v>3319</v>
      </c>
      <c r="E186" s="25">
        <v>327</v>
      </c>
      <c r="F186" s="46">
        <v>2</v>
      </c>
      <c r="G186" s="46">
        <v>1</v>
      </c>
      <c r="H186" s="46">
        <v>81433</v>
      </c>
      <c r="I186" s="46" t="s">
        <v>17</v>
      </c>
      <c r="J186" s="46">
        <v>24528370</v>
      </c>
      <c r="K186" s="44" t="s">
        <v>291</v>
      </c>
      <c r="L186" s="44" t="s">
        <v>296</v>
      </c>
      <c r="M186" s="72">
        <v>259900</v>
      </c>
      <c r="N186" s="64">
        <v>0.95</v>
      </c>
      <c r="O186" s="72">
        <f t="shared" si="2"/>
        <v>12995</v>
      </c>
      <c r="P186" s="44" t="s">
        <v>0</v>
      </c>
    </row>
    <row r="187" spans="1:16" x14ac:dyDescent="0.3">
      <c r="A187" s="46" t="s">
        <v>2143</v>
      </c>
      <c r="B187" s="26">
        <v>46093</v>
      </c>
      <c r="C187" s="26">
        <v>46098</v>
      </c>
      <c r="D187" s="71">
        <v>3319</v>
      </c>
      <c r="E187" s="25">
        <v>327</v>
      </c>
      <c r="F187" s="46">
        <v>2</v>
      </c>
      <c r="G187" s="46">
        <v>1</v>
      </c>
      <c r="H187" s="46">
        <v>81433</v>
      </c>
      <c r="I187" s="46" t="s">
        <v>17</v>
      </c>
      <c r="J187" s="46">
        <v>24893869</v>
      </c>
      <c r="K187" s="44" t="s">
        <v>297</v>
      </c>
      <c r="L187" s="44" t="s">
        <v>298</v>
      </c>
      <c r="M187" s="72">
        <v>199900</v>
      </c>
      <c r="N187" s="64">
        <v>0.95</v>
      </c>
      <c r="O187" s="72">
        <f t="shared" si="2"/>
        <v>9995</v>
      </c>
      <c r="P187" s="44" t="s">
        <v>0</v>
      </c>
    </row>
    <row r="188" spans="1:16" x14ac:dyDescent="0.3">
      <c r="A188" s="46" t="s">
        <v>2143</v>
      </c>
      <c r="B188" s="26">
        <v>46093</v>
      </c>
      <c r="C188" s="26">
        <v>46098</v>
      </c>
      <c r="D188" s="71">
        <v>3319</v>
      </c>
      <c r="E188" s="25">
        <v>327</v>
      </c>
      <c r="F188" s="46">
        <v>2</v>
      </c>
      <c r="G188" s="46">
        <v>1</v>
      </c>
      <c r="H188" s="46">
        <v>81433</v>
      </c>
      <c r="I188" s="46" t="s">
        <v>17</v>
      </c>
      <c r="J188" s="46">
        <v>24893878</v>
      </c>
      <c r="K188" s="44" t="s">
        <v>297</v>
      </c>
      <c r="L188" s="44" t="s">
        <v>299</v>
      </c>
      <c r="M188" s="72">
        <v>199900</v>
      </c>
      <c r="N188" s="64">
        <v>0.95</v>
      </c>
      <c r="O188" s="72">
        <f t="shared" si="2"/>
        <v>9995</v>
      </c>
      <c r="P188" s="44" t="s">
        <v>0</v>
      </c>
    </row>
    <row r="189" spans="1:16" x14ac:dyDescent="0.3">
      <c r="A189" s="46" t="s">
        <v>2143</v>
      </c>
      <c r="B189" s="26">
        <v>46093</v>
      </c>
      <c r="C189" s="26">
        <v>46098</v>
      </c>
      <c r="D189" s="71">
        <v>3319</v>
      </c>
      <c r="E189" s="25">
        <v>327</v>
      </c>
      <c r="F189" s="46">
        <v>2</v>
      </c>
      <c r="G189" s="46">
        <v>1</v>
      </c>
      <c r="H189" s="46">
        <v>81433</v>
      </c>
      <c r="I189" s="46" t="s">
        <v>17</v>
      </c>
      <c r="J189" s="46">
        <v>24893912</v>
      </c>
      <c r="K189" s="44" t="s">
        <v>300</v>
      </c>
      <c r="L189" s="44" t="s">
        <v>301</v>
      </c>
      <c r="M189" s="72">
        <v>199900</v>
      </c>
      <c r="N189" s="64">
        <v>0.95</v>
      </c>
      <c r="O189" s="72">
        <f t="shared" si="2"/>
        <v>9995</v>
      </c>
      <c r="P189" s="44" t="s">
        <v>0</v>
      </c>
    </row>
    <row r="190" spans="1:16" x14ac:dyDescent="0.3">
      <c r="A190" s="46" t="s">
        <v>2143</v>
      </c>
      <c r="B190" s="26">
        <v>46093</v>
      </c>
      <c r="C190" s="26">
        <v>46098</v>
      </c>
      <c r="D190" s="71">
        <v>3319</v>
      </c>
      <c r="E190" s="25">
        <v>327</v>
      </c>
      <c r="F190" s="46">
        <v>2</v>
      </c>
      <c r="G190" s="46">
        <v>1</v>
      </c>
      <c r="H190" s="46">
        <v>81433</v>
      </c>
      <c r="I190" s="46" t="s">
        <v>17</v>
      </c>
      <c r="J190" s="46">
        <v>24893921</v>
      </c>
      <c r="K190" s="44" t="s">
        <v>300</v>
      </c>
      <c r="L190" s="44" t="s">
        <v>302</v>
      </c>
      <c r="M190" s="72">
        <v>199900</v>
      </c>
      <c r="N190" s="64">
        <v>0.95</v>
      </c>
      <c r="O190" s="72">
        <f t="shared" si="2"/>
        <v>9995</v>
      </c>
      <c r="P190" s="44" t="s">
        <v>0</v>
      </c>
    </row>
    <row r="191" spans="1:16" x14ac:dyDescent="0.3">
      <c r="A191" s="46" t="s">
        <v>2143</v>
      </c>
      <c r="B191" s="26">
        <v>46093</v>
      </c>
      <c r="C191" s="26">
        <v>46098</v>
      </c>
      <c r="D191" s="71">
        <v>3319</v>
      </c>
      <c r="E191" s="25">
        <v>327</v>
      </c>
      <c r="F191" s="46">
        <v>2</v>
      </c>
      <c r="G191" s="46">
        <v>1</v>
      </c>
      <c r="H191" s="46">
        <v>81433</v>
      </c>
      <c r="I191" s="46" t="s">
        <v>17</v>
      </c>
      <c r="J191" s="46">
        <v>24902483</v>
      </c>
      <c r="K191" s="44" t="s">
        <v>303</v>
      </c>
      <c r="L191" s="44" t="s">
        <v>304</v>
      </c>
      <c r="M191" s="72">
        <v>199900</v>
      </c>
      <c r="N191" s="64">
        <v>0.95</v>
      </c>
      <c r="O191" s="72">
        <f t="shared" si="2"/>
        <v>9995</v>
      </c>
      <c r="P191" s="44" t="s">
        <v>0</v>
      </c>
    </row>
    <row r="192" spans="1:16" x14ac:dyDescent="0.3">
      <c r="A192" s="46" t="s">
        <v>2143</v>
      </c>
      <c r="B192" s="26">
        <v>46093</v>
      </c>
      <c r="C192" s="26">
        <v>46098</v>
      </c>
      <c r="D192" s="71">
        <v>3319</v>
      </c>
      <c r="E192" s="25">
        <v>327</v>
      </c>
      <c r="F192" s="46">
        <v>2</v>
      </c>
      <c r="G192" s="46">
        <v>1</v>
      </c>
      <c r="H192" s="46">
        <v>81433</v>
      </c>
      <c r="I192" s="46" t="s">
        <v>17</v>
      </c>
      <c r="J192" s="46">
        <v>24902527</v>
      </c>
      <c r="K192" s="44" t="s">
        <v>305</v>
      </c>
      <c r="L192" s="44" t="s">
        <v>306</v>
      </c>
      <c r="M192" s="72">
        <v>199900</v>
      </c>
      <c r="N192" s="64">
        <v>0.95</v>
      </c>
      <c r="O192" s="72">
        <f t="shared" si="2"/>
        <v>9995</v>
      </c>
      <c r="P192" s="44" t="s">
        <v>0</v>
      </c>
    </row>
    <row r="193" spans="1:16" x14ac:dyDescent="0.3">
      <c r="A193" s="46" t="s">
        <v>2143</v>
      </c>
      <c r="B193" s="26">
        <v>46093</v>
      </c>
      <c r="C193" s="26">
        <v>46098</v>
      </c>
      <c r="D193" s="71">
        <v>3319</v>
      </c>
      <c r="E193" s="25">
        <v>327</v>
      </c>
      <c r="F193" s="46">
        <v>2</v>
      </c>
      <c r="G193" s="46">
        <v>1</v>
      </c>
      <c r="H193" s="46">
        <v>81433</v>
      </c>
      <c r="I193" s="46" t="s">
        <v>17</v>
      </c>
      <c r="J193" s="46">
        <v>24902545</v>
      </c>
      <c r="K193" s="44" t="s">
        <v>305</v>
      </c>
      <c r="L193" s="44" t="s">
        <v>307</v>
      </c>
      <c r="M193" s="72">
        <v>199900</v>
      </c>
      <c r="N193" s="64">
        <v>0.95</v>
      </c>
      <c r="O193" s="72">
        <f t="shared" si="2"/>
        <v>9995</v>
      </c>
      <c r="P193" s="44" t="s">
        <v>0</v>
      </c>
    </row>
    <row r="194" spans="1:16" x14ac:dyDescent="0.3">
      <c r="A194" s="46" t="s">
        <v>2143</v>
      </c>
      <c r="B194" s="26">
        <v>46093</v>
      </c>
      <c r="C194" s="26">
        <v>46098</v>
      </c>
      <c r="D194" s="71">
        <v>3319</v>
      </c>
      <c r="E194" s="25">
        <v>327</v>
      </c>
      <c r="F194" s="46">
        <v>2</v>
      </c>
      <c r="G194" s="46">
        <v>1</v>
      </c>
      <c r="H194" s="46">
        <v>81433</v>
      </c>
      <c r="I194" s="46" t="s">
        <v>17</v>
      </c>
      <c r="J194" s="46">
        <v>24995464</v>
      </c>
      <c r="K194" s="44" t="s">
        <v>308</v>
      </c>
      <c r="L194" s="44" t="s">
        <v>309</v>
      </c>
      <c r="M194" s="72">
        <v>199900</v>
      </c>
      <c r="N194" s="64">
        <v>0.95</v>
      </c>
      <c r="O194" s="72">
        <f t="shared" si="2"/>
        <v>9995</v>
      </c>
      <c r="P194" s="44" t="s">
        <v>0</v>
      </c>
    </row>
    <row r="195" spans="1:16" x14ac:dyDescent="0.3">
      <c r="A195" s="46" t="s">
        <v>2143</v>
      </c>
      <c r="B195" s="26">
        <v>46093</v>
      </c>
      <c r="C195" s="26">
        <v>46098</v>
      </c>
      <c r="D195" s="71">
        <v>3319</v>
      </c>
      <c r="E195" s="25">
        <v>327</v>
      </c>
      <c r="F195" s="46">
        <v>2</v>
      </c>
      <c r="G195" s="46">
        <v>1</v>
      </c>
      <c r="H195" s="46">
        <v>81433</v>
      </c>
      <c r="I195" s="46" t="s">
        <v>17</v>
      </c>
      <c r="J195" s="46">
        <v>22943497</v>
      </c>
      <c r="K195" s="44" t="s">
        <v>310</v>
      </c>
      <c r="L195" s="44" t="s">
        <v>311</v>
      </c>
      <c r="M195" s="72">
        <v>259900</v>
      </c>
      <c r="N195" s="64">
        <v>0.95</v>
      </c>
      <c r="O195" s="72">
        <f t="shared" ref="O195:O246" si="3">M195*5%</f>
        <v>12995</v>
      </c>
      <c r="P195" s="44" t="s">
        <v>0</v>
      </c>
    </row>
    <row r="196" spans="1:16" x14ac:dyDescent="0.3">
      <c r="A196" s="46" t="s">
        <v>2143</v>
      </c>
      <c r="B196" s="26">
        <v>46093</v>
      </c>
      <c r="C196" s="26">
        <v>46098</v>
      </c>
      <c r="D196" s="71">
        <v>3319</v>
      </c>
      <c r="E196" s="25">
        <v>327</v>
      </c>
      <c r="F196" s="46">
        <v>2</v>
      </c>
      <c r="G196" s="46">
        <v>1</v>
      </c>
      <c r="H196" s="46">
        <v>81433</v>
      </c>
      <c r="I196" s="46" t="s">
        <v>17</v>
      </c>
      <c r="J196" s="46">
        <v>22943540</v>
      </c>
      <c r="K196" s="44" t="s">
        <v>312</v>
      </c>
      <c r="L196" s="44" t="s">
        <v>313</v>
      </c>
      <c r="M196" s="72">
        <v>259900</v>
      </c>
      <c r="N196" s="64">
        <v>0.95</v>
      </c>
      <c r="O196" s="72">
        <f t="shared" si="3"/>
        <v>12995</v>
      </c>
      <c r="P196" s="44" t="s">
        <v>0</v>
      </c>
    </row>
    <row r="197" spans="1:16" x14ac:dyDescent="0.3">
      <c r="A197" s="46" t="s">
        <v>2143</v>
      </c>
      <c r="B197" s="26">
        <v>46093</v>
      </c>
      <c r="C197" s="26">
        <v>46098</v>
      </c>
      <c r="D197" s="71">
        <v>3319</v>
      </c>
      <c r="E197" s="25">
        <v>327</v>
      </c>
      <c r="F197" s="46">
        <v>2</v>
      </c>
      <c r="G197" s="46">
        <v>2</v>
      </c>
      <c r="H197" s="46">
        <v>81433</v>
      </c>
      <c r="I197" s="46" t="s">
        <v>17</v>
      </c>
      <c r="J197" s="46">
        <v>21429214</v>
      </c>
      <c r="K197" s="44" t="s">
        <v>314</v>
      </c>
      <c r="L197" s="44" t="s">
        <v>315</v>
      </c>
      <c r="M197" s="72">
        <v>299900</v>
      </c>
      <c r="N197" s="64">
        <v>0.95</v>
      </c>
      <c r="O197" s="72">
        <f t="shared" si="3"/>
        <v>14995</v>
      </c>
      <c r="P197" s="44" t="s">
        <v>0</v>
      </c>
    </row>
    <row r="198" spans="1:16" x14ac:dyDescent="0.3">
      <c r="A198" s="46" t="s">
        <v>2143</v>
      </c>
      <c r="B198" s="26">
        <v>46093</v>
      </c>
      <c r="C198" s="26">
        <v>46098</v>
      </c>
      <c r="D198" s="71">
        <v>3319</v>
      </c>
      <c r="E198" s="25">
        <v>327</v>
      </c>
      <c r="F198" s="46">
        <v>2</v>
      </c>
      <c r="G198" s="46">
        <v>2</v>
      </c>
      <c r="H198" s="46">
        <v>81433</v>
      </c>
      <c r="I198" s="46" t="s">
        <v>17</v>
      </c>
      <c r="J198" s="46">
        <v>21429232</v>
      </c>
      <c r="K198" s="44" t="s">
        <v>314</v>
      </c>
      <c r="L198" s="44" t="s">
        <v>316</v>
      </c>
      <c r="M198" s="72">
        <v>299900</v>
      </c>
      <c r="N198" s="64">
        <v>0.95</v>
      </c>
      <c r="O198" s="72">
        <f t="shared" si="3"/>
        <v>14995</v>
      </c>
      <c r="P198" s="44" t="s">
        <v>0</v>
      </c>
    </row>
    <row r="199" spans="1:16" x14ac:dyDescent="0.3">
      <c r="A199" s="46" t="s">
        <v>2143</v>
      </c>
      <c r="B199" s="26">
        <v>46093</v>
      </c>
      <c r="C199" s="26">
        <v>46098</v>
      </c>
      <c r="D199" s="71">
        <v>3319</v>
      </c>
      <c r="E199" s="25">
        <v>327</v>
      </c>
      <c r="F199" s="46">
        <v>2</v>
      </c>
      <c r="G199" s="46">
        <v>2</v>
      </c>
      <c r="H199" s="46">
        <v>81433</v>
      </c>
      <c r="I199" s="46" t="s">
        <v>17</v>
      </c>
      <c r="J199" s="46">
        <v>21429241</v>
      </c>
      <c r="K199" s="44" t="s">
        <v>314</v>
      </c>
      <c r="L199" s="44" t="s">
        <v>317</v>
      </c>
      <c r="M199" s="72">
        <v>299900</v>
      </c>
      <c r="N199" s="64">
        <v>0.95</v>
      </c>
      <c r="O199" s="72">
        <f t="shared" si="3"/>
        <v>14995</v>
      </c>
      <c r="P199" s="44" t="s">
        <v>0</v>
      </c>
    </row>
    <row r="200" spans="1:16" x14ac:dyDescent="0.3">
      <c r="A200" s="46" t="s">
        <v>2143</v>
      </c>
      <c r="B200" s="26">
        <v>46093</v>
      </c>
      <c r="C200" s="26">
        <v>46098</v>
      </c>
      <c r="D200" s="71">
        <v>3319</v>
      </c>
      <c r="E200" s="25">
        <v>327</v>
      </c>
      <c r="F200" s="46">
        <v>2</v>
      </c>
      <c r="G200" s="46">
        <v>2</v>
      </c>
      <c r="H200" s="46">
        <v>81433</v>
      </c>
      <c r="I200" s="46" t="s">
        <v>17</v>
      </c>
      <c r="J200" s="46">
        <v>21585822</v>
      </c>
      <c r="K200" s="44" t="s">
        <v>318</v>
      </c>
      <c r="L200" s="44" t="s">
        <v>319</v>
      </c>
      <c r="M200" s="72">
        <v>299900</v>
      </c>
      <c r="N200" s="64">
        <v>0.95</v>
      </c>
      <c r="O200" s="72">
        <f t="shared" si="3"/>
        <v>14995</v>
      </c>
      <c r="P200" s="44" t="s">
        <v>0</v>
      </c>
    </row>
    <row r="201" spans="1:16" x14ac:dyDescent="0.3">
      <c r="A201" s="46" t="s">
        <v>2143</v>
      </c>
      <c r="B201" s="26">
        <v>46093</v>
      </c>
      <c r="C201" s="26">
        <v>46098</v>
      </c>
      <c r="D201" s="71">
        <v>3319</v>
      </c>
      <c r="E201" s="25">
        <v>327</v>
      </c>
      <c r="F201" s="46">
        <v>2</v>
      </c>
      <c r="G201" s="46">
        <v>2</v>
      </c>
      <c r="H201" s="46">
        <v>81433</v>
      </c>
      <c r="I201" s="46" t="s">
        <v>17</v>
      </c>
      <c r="J201" s="46">
        <v>21585831</v>
      </c>
      <c r="K201" s="44" t="s">
        <v>318</v>
      </c>
      <c r="L201" s="44" t="s">
        <v>320</v>
      </c>
      <c r="M201" s="72">
        <v>299900</v>
      </c>
      <c r="N201" s="64">
        <v>0.95</v>
      </c>
      <c r="O201" s="72">
        <f t="shared" si="3"/>
        <v>14995</v>
      </c>
      <c r="P201" s="44" t="s">
        <v>0</v>
      </c>
    </row>
    <row r="202" spans="1:16" x14ac:dyDescent="0.3">
      <c r="A202" s="46" t="s">
        <v>2143</v>
      </c>
      <c r="B202" s="26">
        <v>46093</v>
      </c>
      <c r="C202" s="26">
        <v>46098</v>
      </c>
      <c r="D202" s="71">
        <v>3319</v>
      </c>
      <c r="E202" s="25">
        <v>327</v>
      </c>
      <c r="F202" s="46">
        <v>2</v>
      </c>
      <c r="G202" s="46">
        <v>2</v>
      </c>
      <c r="H202" s="46">
        <v>81433</v>
      </c>
      <c r="I202" s="46" t="s">
        <v>17</v>
      </c>
      <c r="J202" s="46">
        <v>21585859</v>
      </c>
      <c r="K202" s="44" t="s">
        <v>318</v>
      </c>
      <c r="L202" s="44" t="s">
        <v>321</v>
      </c>
      <c r="M202" s="72">
        <v>299900</v>
      </c>
      <c r="N202" s="64">
        <v>0.95</v>
      </c>
      <c r="O202" s="72">
        <f t="shared" si="3"/>
        <v>14995</v>
      </c>
      <c r="P202" s="44" t="s">
        <v>0</v>
      </c>
    </row>
    <row r="203" spans="1:16" x14ac:dyDescent="0.3">
      <c r="A203" s="46" t="s">
        <v>2143</v>
      </c>
      <c r="B203" s="26">
        <v>46093</v>
      </c>
      <c r="C203" s="26">
        <v>46098</v>
      </c>
      <c r="D203" s="71">
        <v>3319</v>
      </c>
      <c r="E203" s="25">
        <v>327</v>
      </c>
      <c r="F203" s="46">
        <v>2</v>
      </c>
      <c r="G203" s="46">
        <v>2</v>
      </c>
      <c r="H203" s="46">
        <v>81433</v>
      </c>
      <c r="I203" s="46" t="s">
        <v>17</v>
      </c>
      <c r="J203" s="46">
        <v>21585877</v>
      </c>
      <c r="K203" s="44" t="s">
        <v>322</v>
      </c>
      <c r="L203" s="44" t="s">
        <v>323</v>
      </c>
      <c r="M203" s="72">
        <v>299900</v>
      </c>
      <c r="N203" s="64">
        <v>0.95</v>
      </c>
      <c r="O203" s="72">
        <f t="shared" si="3"/>
        <v>14995</v>
      </c>
      <c r="P203" s="44" t="s">
        <v>0</v>
      </c>
    </row>
    <row r="204" spans="1:16" x14ac:dyDescent="0.3">
      <c r="A204" s="46" t="s">
        <v>2143</v>
      </c>
      <c r="B204" s="26">
        <v>46093</v>
      </c>
      <c r="C204" s="26">
        <v>46098</v>
      </c>
      <c r="D204" s="71">
        <v>3319</v>
      </c>
      <c r="E204" s="25">
        <v>327</v>
      </c>
      <c r="F204" s="46">
        <v>2</v>
      </c>
      <c r="G204" s="46">
        <v>2</v>
      </c>
      <c r="H204" s="46">
        <v>81433</v>
      </c>
      <c r="I204" s="46" t="s">
        <v>17</v>
      </c>
      <c r="J204" s="46">
        <v>21585886</v>
      </c>
      <c r="K204" s="44" t="s">
        <v>322</v>
      </c>
      <c r="L204" s="44" t="s">
        <v>324</v>
      </c>
      <c r="M204" s="72">
        <v>299900</v>
      </c>
      <c r="N204" s="64">
        <v>0.95</v>
      </c>
      <c r="O204" s="72">
        <f t="shared" si="3"/>
        <v>14995</v>
      </c>
      <c r="P204" s="44" t="s">
        <v>0</v>
      </c>
    </row>
    <row r="205" spans="1:16" x14ac:dyDescent="0.3">
      <c r="A205" s="46" t="s">
        <v>2143</v>
      </c>
      <c r="B205" s="26">
        <v>46093</v>
      </c>
      <c r="C205" s="26">
        <v>46098</v>
      </c>
      <c r="D205" s="71">
        <v>3319</v>
      </c>
      <c r="E205" s="25">
        <v>327</v>
      </c>
      <c r="F205" s="46">
        <v>2</v>
      </c>
      <c r="G205" s="46">
        <v>2</v>
      </c>
      <c r="H205" s="46">
        <v>81433</v>
      </c>
      <c r="I205" s="46" t="s">
        <v>17</v>
      </c>
      <c r="J205" s="46">
        <v>21585895</v>
      </c>
      <c r="K205" s="44" t="s">
        <v>322</v>
      </c>
      <c r="L205" s="44" t="s">
        <v>325</v>
      </c>
      <c r="M205" s="72">
        <v>299900</v>
      </c>
      <c r="N205" s="64">
        <v>0.95</v>
      </c>
      <c r="O205" s="72">
        <f t="shared" si="3"/>
        <v>14995</v>
      </c>
      <c r="P205" s="44" t="s">
        <v>0</v>
      </c>
    </row>
    <row r="206" spans="1:16" x14ac:dyDescent="0.3">
      <c r="A206" s="46" t="s">
        <v>2143</v>
      </c>
      <c r="B206" s="26">
        <v>46093</v>
      </c>
      <c r="C206" s="26">
        <v>46098</v>
      </c>
      <c r="D206" s="71">
        <v>3319</v>
      </c>
      <c r="E206" s="25">
        <v>327</v>
      </c>
      <c r="F206" s="46">
        <v>2</v>
      </c>
      <c r="G206" s="46">
        <v>2</v>
      </c>
      <c r="H206" s="46">
        <v>81433</v>
      </c>
      <c r="I206" s="46" t="s">
        <v>17</v>
      </c>
      <c r="J206" s="46">
        <v>21585902</v>
      </c>
      <c r="K206" s="44" t="s">
        <v>322</v>
      </c>
      <c r="L206" s="44" t="s">
        <v>326</v>
      </c>
      <c r="M206" s="72">
        <v>299900</v>
      </c>
      <c r="N206" s="64">
        <v>0.95</v>
      </c>
      <c r="O206" s="72">
        <f t="shared" si="3"/>
        <v>14995</v>
      </c>
      <c r="P206" s="44" t="s">
        <v>0</v>
      </c>
    </row>
    <row r="207" spans="1:16" x14ac:dyDescent="0.3">
      <c r="A207" s="46" t="s">
        <v>2143</v>
      </c>
      <c r="B207" s="26">
        <v>46093</v>
      </c>
      <c r="C207" s="26">
        <v>46098</v>
      </c>
      <c r="D207" s="71">
        <v>3319</v>
      </c>
      <c r="E207" s="25">
        <v>327</v>
      </c>
      <c r="F207" s="46">
        <v>2</v>
      </c>
      <c r="G207" s="46">
        <v>2</v>
      </c>
      <c r="H207" s="46">
        <v>81433</v>
      </c>
      <c r="I207" s="46" t="s">
        <v>17</v>
      </c>
      <c r="J207" s="46">
        <v>22735426</v>
      </c>
      <c r="K207" s="44" t="s">
        <v>327</v>
      </c>
      <c r="L207" s="44" t="s">
        <v>328</v>
      </c>
      <c r="M207" s="72">
        <v>299900</v>
      </c>
      <c r="N207" s="64">
        <v>0.95</v>
      </c>
      <c r="O207" s="72">
        <f t="shared" si="3"/>
        <v>14995</v>
      </c>
      <c r="P207" s="44" t="s">
        <v>0</v>
      </c>
    </row>
    <row r="208" spans="1:16" x14ac:dyDescent="0.3">
      <c r="A208" s="46" t="s">
        <v>2143</v>
      </c>
      <c r="B208" s="26">
        <v>46093</v>
      </c>
      <c r="C208" s="26">
        <v>46098</v>
      </c>
      <c r="D208" s="71">
        <v>3319</v>
      </c>
      <c r="E208" s="25">
        <v>327</v>
      </c>
      <c r="F208" s="46">
        <v>2</v>
      </c>
      <c r="G208" s="46">
        <v>2</v>
      </c>
      <c r="H208" s="46">
        <v>81433</v>
      </c>
      <c r="I208" s="46" t="s">
        <v>17</v>
      </c>
      <c r="J208" s="46">
        <v>22735435</v>
      </c>
      <c r="K208" s="44" t="s">
        <v>327</v>
      </c>
      <c r="L208" s="44" t="s">
        <v>329</v>
      </c>
      <c r="M208" s="72">
        <v>299900</v>
      </c>
      <c r="N208" s="64">
        <v>0.95</v>
      </c>
      <c r="O208" s="72">
        <f t="shared" si="3"/>
        <v>14995</v>
      </c>
      <c r="P208" s="44" t="s">
        <v>0</v>
      </c>
    </row>
    <row r="209" spans="1:16" x14ac:dyDescent="0.3">
      <c r="A209" s="46" t="s">
        <v>2143</v>
      </c>
      <c r="B209" s="26">
        <v>46093</v>
      </c>
      <c r="C209" s="26">
        <v>46098</v>
      </c>
      <c r="D209" s="71">
        <v>3319</v>
      </c>
      <c r="E209" s="25">
        <v>327</v>
      </c>
      <c r="F209" s="46">
        <v>2</v>
      </c>
      <c r="G209" s="46">
        <v>2</v>
      </c>
      <c r="H209" s="46">
        <v>81433</v>
      </c>
      <c r="I209" s="46" t="s">
        <v>17</v>
      </c>
      <c r="J209" s="46">
        <v>22735444</v>
      </c>
      <c r="K209" s="44" t="s">
        <v>327</v>
      </c>
      <c r="L209" s="44" t="s">
        <v>330</v>
      </c>
      <c r="M209" s="72">
        <v>299900</v>
      </c>
      <c r="N209" s="64">
        <v>0.95</v>
      </c>
      <c r="O209" s="72">
        <f t="shared" si="3"/>
        <v>14995</v>
      </c>
      <c r="P209" s="44" t="s">
        <v>0</v>
      </c>
    </row>
    <row r="210" spans="1:16" x14ac:dyDescent="0.3">
      <c r="A210" s="46" t="s">
        <v>2143</v>
      </c>
      <c r="B210" s="26">
        <v>46093</v>
      </c>
      <c r="C210" s="26">
        <v>46098</v>
      </c>
      <c r="D210" s="71">
        <v>3319</v>
      </c>
      <c r="E210" s="25">
        <v>327</v>
      </c>
      <c r="F210" s="46">
        <v>2</v>
      </c>
      <c r="G210" s="46">
        <v>2</v>
      </c>
      <c r="H210" s="46">
        <v>81433</v>
      </c>
      <c r="I210" s="46" t="s">
        <v>17</v>
      </c>
      <c r="J210" s="46">
        <v>22735453</v>
      </c>
      <c r="K210" s="44" t="s">
        <v>327</v>
      </c>
      <c r="L210" s="44" t="s">
        <v>331</v>
      </c>
      <c r="M210" s="72">
        <v>299900</v>
      </c>
      <c r="N210" s="64">
        <v>0.95</v>
      </c>
      <c r="O210" s="72">
        <f t="shared" si="3"/>
        <v>14995</v>
      </c>
      <c r="P210" s="44" t="s">
        <v>0</v>
      </c>
    </row>
    <row r="211" spans="1:16" x14ac:dyDescent="0.3">
      <c r="A211" s="46" t="s">
        <v>2143</v>
      </c>
      <c r="B211" s="26">
        <v>46093</v>
      </c>
      <c r="C211" s="26">
        <v>46098</v>
      </c>
      <c r="D211" s="71">
        <v>3319</v>
      </c>
      <c r="E211" s="25">
        <v>327</v>
      </c>
      <c r="F211" s="46">
        <v>2</v>
      </c>
      <c r="G211" s="46">
        <v>2</v>
      </c>
      <c r="H211" s="46">
        <v>81433</v>
      </c>
      <c r="I211" s="46" t="s">
        <v>17</v>
      </c>
      <c r="J211" s="46">
        <v>22735462</v>
      </c>
      <c r="K211" s="44" t="s">
        <v>327</v>
      </c>
      <c r="L211" s="44" t="s">
        <v>332</v>
      </c>
      <c r="M211" s="72">
        <v>299900</v>
      </c>
      <c r="N211" s="64">
        <v>0.95</v>
      </c>
      <c r="O211" s="72">
        <f t="shared" si="3"/>
        <v>14995</v>
      </c>
      <c r="P211" s="44" t="s">
        <v>0</v>
      </c>
    </row>
    <row r="212" spans="1:16" x14ac:dyDescent="0.3">
      <c r="A212" s="46" t="s">
        <v>2143</v>
      </c>
      <c r="B212" s="26">
        <v>46093</v>
      </c>
      <c r="C212" s="26">
        <v>46098</v>
      </c>
      <c r="D212" s="71">
        <v>3319</v>
      </c>
      <c r="E212" s="25">
        <v>327</v>
      </c>
      <c r="F212" s="46">
        <v>2</v>
      </c>
      <c r="G212" s="46">
        <v>2</v>
      </c>
      <c r="H212" s="46">
        <v>81433</v>
      </c>
      <c r="I212" s="46" t="s">
        <v>17</v>
      </c>
      <c r="J212" s="46">
        <v>24437610</v>
      </c>
      <c r="K212" s="44" t="s">
        <v>333</v>
      </c>
      <c r="L212" s="44" t="s">
        <v>334</v>
      </c>
      <c r="M212" s="72">
        <v>299900</v>
      </c>
      <c r="N212" s="64">
        <v>0.95</v>
      </c>
      <c r="O212" s="72">
        <f t="shared" si="3"/>
        <v>14995</v>
      </c>
      <c r="P212" s="44" t="s">
        <v>0</v>
      </c>
    </row>
    <row r="213" spans="1:16" x14ac:dyDescent="0.3">
      <c r="A213" s="46" t="s">
        <v>2143</v>
      </c>
      <c r="B213" s="26">
        <v>46093</v>
      </c>
      <c r="C213" s="26">
        <v>46098</v>
      </c>
      <c r="D213" s="71">
        <v>3319</v>
      </c>
      <c r="E213" s="25">
        <v>327</v>
      </c>
      <c r="F213" s="46">
        <v>2</v>
      </c>
      <c r="G213" s="46">
        <v>2</v>
      </c>
      <c r="H213" s="46">
        <v>81433</v>
      </c>
      <c r="I213" s="46" t="s">
        <v>17</v>
      </c>
      <c r="J213" s="46">
        <v>24437629</v>
      </c>
      <c r="K213" s="44" t="s">
        <v>333</v>
      </c>
      <c r="L213" s="44" t="s">
        <v>335</v>
      </c>
      <c r="M213" s="72">
        <v>299900</v>
      </c>
      <c r="N213" s="64">
        <v>0.95</v>
      </c>
      <c r="O213" s="72">
        <f t="shared" si="3"/>
        <v>14995</v>
      </c>
      <c r="P213" s="44" t="s">
        <v>0</v>
      </c>
    </row>
    <row r="214" spans="1:16" x14ac:dyDescent="0.3">
      <c r="A214" s="46" t="s">
        <v>2143</v>
      </c>
      <c r="B214" s="26">
        <v>46093</v>
      </c>
      <c r="C214" s="26">
        <v>46098</v>
      </c>
      <c r="D214" s="71">
        <v>3319</v>
      </c>
      <c r="E214" s="25">
        <v>327</v>
      </c>
      <c r="F214" s="46">
        <v>2</v>
      </c>
      <c r="G214" s="46">
        <v>2</v>
      </c>
      <c r="H214" s="46">
        <v>81433</v>
      </c>
      <c r="I214" s="46" t="s">
        <v>17</v>
      </c>
      <c r="J214" s="46">
        <v>24437638</v>
      </c>
      <c r="K214" s="44" t="s">
        <v>333</v>
      </c>
      <c r="L214" s="44" t="s">
        <v>336</v>
      </c>
      <c r="M214" s="72">
        <v>299900</v>
      </c>
      <c r="N214" s="64">
        <v>0.95</v>
      </c>
      <c r="O214" s="72">
        <f t="shared" si="3"/>
        <v>14995</v>
      </c>
      <c r="P214" s="44" t="s">
        <v>0</v>
      </c>
    </row>
    <row r="215" spans="1:16" x14ac:dyDescent="0.3">
      <c r="A215" s="46" t="s">
        <v>2143</v>
      </c>
      <c r="B215" s="26">
        <v>46093</v>
      </c>
      <c r="C215" s="26">
        <v>46098</v>
      </c>
      <c r="D215" s="71">
        <v>3319</v>
      </c>
      <c r="E215" s="25">
        <v>327</v>
      </c>
      <c r="F215" s="46">
        <v>2</v>
      </c>
      <c r="G215" s="46">
        <v>2</v>
      </c>
      <c r="H215" s="46">
        <v>81433</v>
      </c>
      <c r="I215" s="46" t="s">
        <v>17</v>
      </c>
      <c r="J215" s="46">
        <v>24437647</v>
      </c>
      <c r="K215" s="44" t="s">
        <v>333</v>
      </c>
      <c r="L215" s="44" t="s">
        <v>337</v>
      </c>
      <c r="M215" s="72">
        <v>299900</v>
      </c>
      <c r="N215" s="64">
        <v>0.95</v>
      </c>
      <c r="O215" s="72">
        <f t="shared" si="3"/>
        <v>14995</v>
      </c>
      <c r="P215" s="44" t="s">
        <v>0</v>
      </c>
    </row>
    <row r="216" spans="1:16" x14ac:dyDescent="0.3">
      <c r="A216" s="46" t="s">
        <v>2143</v>
      </c>
      <c r="B216" s="26">
        <v>46093</v>
      </c>
      <c r="C216" s="26">
        <v>46098</v>
      </c>
      <c r="D216" s="71">
        <v>3319</v>
      </c>
      <c r="E216" s="25">
        <v>327</v>
      </c>
      <c r="F216" s="46">
        <v>2</v>
      </c>
      <c r="G216" s="46">
        <v>2</v>
      </c>
      <c r="H216" s="46">
        <v>81433</v>
      </c>
      <c r="I216" s="46" t="s">
        <v>17</v>
      </c>
      <c r="J216" s="46">
        <v>24437656</v>
      </c>
      <c r="K216" s="44" t="s">
        <v>333</v>
      </c>
      <c r="L216" s="44" t="s">
        <v>338</v>
      </c>
      <c r="M216" s="72">
        <v>299900</v>
      </c>
      <c r="N216" s="64">
        <v>0.95</v>
      </c>
      <c r="O216" s="72">
        <f t="shared" si="3"/>
        <v>14995</v>
      </c>
      <c r="P216" s="44" t="s">
        <v>0</v>
      </c>
    </row>
    <row r="217" spans="1:16" x14ac:dyDescent="0.3">
      <c r="A217" s="46" t="s">
        <v>2143</v>
      </c>
      <c r="B217" s="26">
        <v>46093</v>
      </c>
      <c r="C217" s="26">
        <v>46098</v>
      </c>
      <c r="D217" s="71">
        <v>3319</v>
      </c>
      <c r="E217" s="25">
        <v>327</v>
      </c>
      <c r="F217" s="46">
        <v>2</v>
      </c>
      <c r="G217" s="46">
        <v>2</v>
      </c>
      <c r="H217" s="46">
        <v>81433</v>
      </c>
      <c r="I217" s="46" t="s">
        <v>17</v>
      </c>
      <c r="J217" s="46">
        <v>24494817</v>
      </c>
      <c r="K217" s="44" t="s">
        <v>339</v>
      </c>
      <c r="L217" s="44" t="s">
        <v>340</v>
      </c>
      <c r="M217" s="72">
        <v>299900</v>
      </c>
      <c r="N217" s="64">
        <v>0.95</v>
      </c>
      <c r="O217" s="72">
        <f t="shared" si="3"/>
        <v>14995</v>
      </c>
      <c r="P217" s="44" t="s">
        <v>0</v>
      </c>
    </row>
    <row r="218" spans="1:16" x14ac:dyDescent="0.3">
      <c r="A218" s="46" t="s">
        <v>2143</v>
      </c>
      <c r="B218" s="26">
        <v>46093</v>
      </c>
      <c r="C218" s="26">
        <v>46098</v>
      </c>
      <c r="D218" s="71">
        <v>3319</v>
      </c>
      <c r="E218" s="25">
        <v>327</v>
      </c>
      <c r="F218" s="46">
        <v>2</v>
      </c>
      <c r="G218" s="46">
        <v>2</v>
      </c>
      <c r="H218" s="46">
        <v>81433</v>
      </c>
      <c r="I218" s="46" t="s">
        <v>17</v>
      </c>
      <c r="J218" s="46">
        <v>24494826</v>
      </c>
      <c r="K218" s="44" t="s">
        <v>339</v>
      </c>
      <c r="L218" s="44" t="s">
        <v>341</v>
      </c>
      <c r="M218" s="72">
        <v>299900</v>
      </c>
      <c r="N218" s="64">
        <v>0.95</v>
      </c>
      <c r="O218" s="72">
        <f t="shared" si="3"/>
        <v>14995</v>
      </c>
      <c r="P218" s="44" t="s">
        <v>0</v>
      </c>
    </row>
    <row r="219" spans="1:16" x14ac:dyDescent="0.3">
      <c r="A219" s="46" t="s">
        <v>2143</v>
      </c>
      <c r="B219" s="26">
        <v>46093</v>
      </c>
      <c r="C219" s="26">
        <v>46098</v>
      </c>
      <c r="D219" s="71">
        <v>3319</v>
      </c>
      <c r="E219" s="25">
        <v>327</v>
      </c>
      <c r="F219" s="46">
        <v>2</v>
      </c>
      <c r="G219" s="46">
        <v>2</v>
      </c>
      <c r="H219" s="46">
        <v>81433</v>
      </c>
      <c r="I219" s="46" t="s">
        <v>17</v>
      </c>
      <c r="J219" s="46">
        <v>24494835</v>
      </c>
      <c r="K219" s="44" t="s">
        <v>339</v>
      </c>
      <c r="L219" s="44" t="s">
        <v>342</v>
      </c>
      <c r="M219" s="72">
        <v>299900</v>
      </c>
      <c r="N219" s="64">
        <v>0.95</v>
      </c>
      <c r="O219" s="72">
        <f t="shared" si="3"/>
        <v>14995</v>
      </c>
      <c r="P219" s="44" t="s">
        <v>0</v>
      </c>
    </row>
    <row r="220" spans="1:16" x14ac:dyDescent="0.3">
      <c r="A220" s="46" t="s">
        <v>2143</v>
      </c>
      <c r="B220" s="26">
        <v>46093</v>
      </c>
      <c r="C220" s="26">
        <v>46098</v>
      </c>
      <c r="D220" s="71">
        <v>3319</v>
      </c>
      <c r="E220" s="25">
        <v>327</v>
      </c>
      <c r="F220" s="46">
        <v>2</v>
      </c>
      <c r="G220" s="46">
        <v>2</v>
      </c>
      <c r="H220" s="46">
        <v>81433</v>
      </c>
      <c r="I220" s="46" t="s">
        <v>17</v>
      </c>
      <c r="J220" s="46">
        <v>24494844</v>
      </c>
      <c r="K220" s="44" t="s">
        <v>339</v>
      </c>
      <c r="L220" s="44" t="s">
        <v>343</v>
      </c>
      <c r="M220" s="72">
        <v>299900</v>
      </c>
      <c r="N220" s="64">
        <v>0.95</v>
      </c>
      <c r="O220" s="72">
        <f t="shared" si="3"/>
        <v>14995</v>
      </c>
      <c r="P220" s="44" t="s">
        <v>0</v>
      </c>
    </row>
    <row r="221" spans="1:16" x14ac:dyDescent="0.3">
      <c r="A221" s="46" t="s">
        <v>2143</v>
      </c>
      <c r="B221" s="26">
        <v>46093</v>
      </c>
      <c r="C221" s="26">
        <v>46098</v>
      </c>
      <c r="D221" s="71">
        <v>3319</v>
      </c>
      <c r="E221" s="25">
        <v>327</v>
      </c>
      <c r="F221" s="46">
        <v>2</v>
      </c>
      <c r="G221" s="46">
        <v>2</v>
      </c>
      <c r="H221" s="46">
        <v>81433</v>
      </c>
      <c r="I221" s="46" t="s">
        <v>17</v>
      </c>
      <c r="J221" s="46">
        <v>24494853</v>
      </c>
      <c r="K221" s="44" t="s">
        <v>339</v>
      </c>
      <c r="L221" s="44" t="s">
        <v>344</v>
      </c>
      <c r="M221" s="72">
        <v>299900</v>
      </c>
      <c r="N221" s="64">
        <v>0.95</v>
      </c>
      <c r="O221" s="72">
        <f t="shared" si="3"/>
        <v>14995</v>
      </c>
      <c r="P221" s="44" t="s">
        <v>0</v>
      </c>
    </row>
    <row r="222" spans="1:16" x14ac:dyDescent="0.3">
      <c r="A222" s="46" t="s">
        <v>2143</v>
      </c>
      <c r="B222" s="26">
        <v>46093</v>
      </c>
      <c r="C222" s="26">
        <v>46098</v>
      </c>
      <c r="D222" s="71">
        <v>3319</v>
      </c>
      <c r="E222" s="25">
        <v>327</v>
      </c>
      <c r="F222" s="46">
        <v>2</v>
      </c>
      <c r="G222" s="46">
        <v>2</v>
      </c>
      <c r="H222" s="46">
        <v>81433</v>
      </c>
      <c r="I222" s="46" t="s">
        <v>17</v>
      </c>
      <c r="J222" s="46">
        <v>24721446</v>
      </c>
      <c r="K222" s="44" t="s">
        <v>345</v>
      </c>
      <c r="L222" s="44" t="s">
        <v>346</v>
      </c>
      <c r="M222" s="72">
        <v>279900</v>
      </c>
      <c r="N222" s="64">
        <v>0.95</v>
      </c>
      <c r="O222" s="72">
        <f t="shared" si="3"/>
        <v>13995</v>
      </c>
      <c r="P222" s="44" t="s">
        <v>0</v>
      </c>
    </row>
    <row r="223" spans="1:16" x14ac:dyDescent="0.3">
      <c r="A223" s="46" t="s">
        <v>2143</v>
      </c>
      <c r="B223" s="26">
        <v>46093</v>
      </c>
      <c r="C223" s="26">
        <v>46098</v>
      </c>
      <c r="D223" s="71">
        <v>3319</v>
      </c>
      <c r="E223" s="25">
        <v>327</v>
      </c>
      <c r="F223" s="46">
        <v>2</v>
      </c>
      <c r="G223" s="46">
        <v>2</v>
      </c>
      <c r="H223" s="46">
        <v>81433</v>
      </c>
      <c r="I223" s="46" t="s">
        <v>17</v>
      </c>
      <c r="J223" s="46">
        <v>24721455</v>
      </c>
      <c r="K223" s="44" t="s">
        <v>345</v>
      </c>
      <c r="L223" s="44" t="s">
        <v>347</v>
      </c>
      <c r="M223" s="72">
        <v>279900</v>
      </c>
      <c r="N223" s="64">
        <v>0.95</v>
      </c>
      <c r="O223" s="72">
        <f t="shared" si="3"/>
        <v>13995</v>
      </c>
      <c r="P223" s="44" t="s">
        <v>0</v>
      </c>
    </row>
    <row r="224" spans="1:16" x14ac:dyDescent="0.3">
      <c r="A224" s="46" t="s">
        <v>2143</v>
      </c>
      <c r="B224" s="26">
        <v>46093</v>
      </c>
      <c r="C224" s="26">
        <v>46098</v>
      </c>
      <c r="D224" s="71">
        <v>3319</v>
      </c>
      <c r="E224" s="25">
        <v>327</v>
      </c>
      <c r="F224" s="46">
        <v>2</v>
      </c>
      <c r="G224" s="46">
        <v>2</v>
      </c>
      <c r="H224" s="46">
        <v>81433</v>
      </c>
      <c r="I224" s="46" t="s">
        <v>17</v>
      </c>
      <c r="J224" s="46">
        <v>24721473</v>
      </c>
      <c r="K224" s="44" t="s">
        <v>345</v>
      </c>
      <c r="L224" s="44" t="s">
        <v>348</v>
      </c>
      <c r="M224" s="72">
        <v>279900</v>
      </c>
      <c r="N224" s="64">
        <v>0.95</v>
      </c>
      <c r="O224" s="72">
        <f t="shared" si="3"/>
        <v>13995</v>
      </c>
      <c r="P224" s="44" t="s">
        <v>0</v>
      </c>
    </row>
    <row r="225" spans="1:16" x14ac:dyDescent="0.3">
      <c r="A225" s="46" t="s">
        <v>2143</v>
      </c>
      <c r="B225" s="26">
        <v>46093</v>
      </c>
      <c r="C225" s="26">
        <v>46098</v>
      </c>
      <c r="D225" s="71">
        <v>3319</v>
      </c>
      <c r="E225" s="25">
        <v>327</v>
      </c>
      <c r="F225" s="46">
        <v>2</v>
      </c>
      <c r="G225" s="46">
        <v>2</v>
      </c>
      <c r="H225" s="46">
        <v>81433</v>
      </c>
      <c r="I225" s="46" t="s">
        <v>17</v>
      </c>
      <c r="J225" s="46">
        <v>24721482</v>
      </c>
      <c r="K225" s="44" t="s">
        <v>349</v>
      </c>
      <c r="L225" s="44" t="s">
        <v>350</v>
      </c>
      <c r="M225" s="72">
        <v>279900</v>
      </c>
      <c r="N225" s="64">
        <v>0.95</v>
      </c>
      <c r="O225" s="72">
        <f t="shared" si="3"/>
        <v>13995</v>
      </c>
      <c r="P225" s="44" t="s">
        <v>0</v>
      </c>
    </row>
    <row r="226" spans="1:16" x14ac:dyDescent="0.3">
      <c r="A226" s="46" t="s">
        <v>2143</v>
      </c>
      <c r="B226" s="26">
        <v>46093</v>
      </c>
      <c r="C226" s="26">
        <v>46098</v>
      </c>
      <c r="D226" s="71">
        <v>3319</v>
      </c>
      <c r="E226" s="25">
        <v>327</v>
      </c>
      <c r="F226" s="46">
        <v>2</v>
      </c>
      <c r="G226" s="46">
        <v>2</v>
      </c>
      <c r="H226" s="46">
        <v>81433</v>
      </c>
      <c r="I226" s="46" t="s">
        <v>17</v>
      </c>
      <c r="J226" s="46">
        <v>24721491</v>
      </c>
      <c r="K226" s="44" t="s">
        <v>349</v>
      </c>
      <c r="L226" s="44" t="s">
        <v>351</v>
      </c>
      <c r="M226" s="72">
        <v>279900</v>
      </c>
      <c r="N226" s="64">
        <v>0.95</v>
      </c>
      <c r="O226" s="72">
        <f t="shared" si="3"/>
        <v>13995</v>
      </c>
      <c r="P226" s="44" t="s">
        <v>0</v>
      </c>
    </row>
    <row r="227" spans="1:16" x14ac:dyDescent="0.3">
      <c r="A227" s="46" t="s">
        <v>2143</v>
      </c>
      <c r="B227" s="26">
        <v>46093</v>
      </c>
      <c r="C227" s="26">
        <v>46098</v>
      </c>
      <c r="D227" s="71">
        <v>3319</v>
      </c>
      <c r="E227" s="25">
        <v>327</v>
      </c>
      <c r="F227" s="46">
        <v>2</v>
      </c>
      <c r="G227" s="46">
        <v>2</v>
      </c>
      <c r="H227" s="46">
        <v>81433</v>
      </c>
      <c r="I227" s="46" t="s">
        <v>17</v>
      </c>
      <c r="J227" s="46">
        <v>24721526</v>
      </c>
      <c r="K227" s="44" t="s">
        <v>349</v>
      </c>
      <c r="L227" s="44" t="s">
        <v>352</v>
      </c>
      <c r="M227" s="72">
        <v>279900</v>
      </c>
      <c r="N227" s="64">
        <v>0.95</v>
      </c>
      <c r="O227" s="72">
        <f t="shared" si="3"/>
        <v>13995</v>
      </c>
      <c r="P227" s="44" t="s">
        <v>0</v>
      </c>
    </row>
    <row r="228" spans="1:16" x14ac:dyDescent="0.3">
      <c r="A228" s="46" t="s">
        <v>2143</v>
      </c>
      <c r="B228" s="26">
        <v>46093</v>
      </c>
      <c r="C228" s="26">
        <v>46098</v>
      </c>
      <c r="D228" s="71">
        <v>3319</v>
      </c>
      <c r="E228" s="25">
        <v>327</v>
      </c>
      <c r="F228" s="46">
        <v>2</v>
      </c>
      <c r="G228" s="46">
        <v>2</v>
      </c>
      <c r="H228" s="46">
        <v>81433</v>
      </c>
      <c r="I228" s="46" t="s">
        <v>17</v>
      </c>
      <c r="J228" s="46">
        <v>24722365</v>
      </c>
      <c r="K228" s="44" t="s">
        <v>353</v>
      </c>
      <c r="L228" s="44" t="s">
        <v>354</v>
      </c>
      <c r="M228" s="72">
        <v>299900</v>
      </c>
      <c r="N228" s="64">
        <v>0.95</v>
      </c>
      <c r="O228" s="72">
        <f t="shared" si="3"/>
        <v>14995</v>
      </c>
      <c r="P228" s="44" t="s">
        <v>0</v>
      </c>
    </row>
    <row r="229" spans="1:16" x14ac:dyDescent="0.3">
      <c r="A229" s="46" t="s">
        <v>2143</v>
      </c>
      <c r="B229" s="26">
        <v>46093</v>
      </c>
      <c r="C229" s="26">
        <v>46098</v>
      </c>
      <c r="D229" s="71">
        <v>3319</v>
      </c>
      <c r="E229" s="25">
        <v>327</v>
      </c>
      <c r="F229" s="46">
        <v>2</v>
      </c>
      <c r="G229" s="46">
        <v>2</v>
      </c>
      <c r="H229" s="46">
        <v>81433</v>
      </c>
      <c r="I229" s="46" t="s">
        <v>17</v>
      </c>
      <c r="J229" s="46">
        <v>24722374</v>
      </c>
      <c r="K229" s="44" t="s">
        <v>353</v>
      </c>
      <c r="L229" s="44" t="s">
        <v>355</v>
      </c>
      <c r="M229" s="72">
        <v>299900</v>
      </c>
      <c r="N229" s="64">
        <v>0.95</v>
      </c>
      <c r="O229" s="72">
        <f t="shared" si="3"/>
        <v>14995</v>
      </c>
      <c r="P229" s="44" t="s">
        <v>0</v>
      </c>
    </row>
    <row r="230" spans="1:16" x14ac:dyDescent="0.3">
      <c r="A230" s="46" t="s">
        <v>2143</v>
      </c>
      <c r="B230" s="26">
        <v>46093</v>
      </c>
      <c r="C230" s="26">
        <v>46098</v>
      </c>
      <c r="D230" s="71">
        <v>3319</v>
      </c>
      <c r="E230" s="25">
        <v>327</v>
      </c>
      <c r="F230" s="46">
        <v>2</v>
      </c>
      <c r="G230" s="46">
        <v>2</v>
      </c>
      <c r="H230" s="46">
        <v>81433</v>
      </c>
      <c r="I230" s="46" t="s">
        <v>17</v>
      </c>
      <c r="J230" s="46">
        <v>24722383</v>
      </c>
      <c r="K230" s="44" t="s">
        <v>353</v>
      </c>
      <c r="L230" s="44" t="s">
        <v>356</v>
      </c>
      <c r="M230" s="72">
        <v>299900</v>
      </c>
      <c r="N230" s="64">
        <v>0.95</v>
      </c>
      <c r="O230" s="72">
        <f t="shared" si="3"/>
        <v>14995</v>
      </c>
      <c r="P230" s="44" t="s">
        <v>0</v>
      </c>
    </row>
    <row r="231" spans="1:16" x14ac:dyDescent="0.3">
      <c r="A231" s="46" t="s">
        <v>2143</v>
      </c>
      <c r="B231" s="26">
        <v>46093</v>
      </c>
      <c r="C231" s="26">
        <v>46098</v>
      </c>
      <c r="D231" s="71">
        <v>3319</v>
      </c>
      <c r="E231" s="25">
        <v>327</v>
      </c>
      <c r="F231" s="46">
        <v>2</v>
      </c>
      <c r="G231" s="46">
        <v>2</v>
      </c>
      <c r="H231" s="46">
        <v>81433</v>
      </c>
      <c r="I231" s="46" t="s">
        <v>17</v>
      </c>
      <c r="J231" s="46">
        <v>24722392</v>
      </c>
      <c r="K231" s="44" t="s">
        <v>353</v>
      </c>
      <c r="L231" s="44" t="s">
        <v>357</v>
      </c>
      <c r="M231" s="72">
        <v>299900</v>
      </c>
      <c r="N231" s="64">
        <v>0.95</v>
      </c>
      <c r="O231" s="72">
        <f t="shared" si="3"/>
        <v>14995</v>
      </c>
      <c r="P231" s="44" t="s">
        <v>0</v>
      </c>
    </row>
    <row r="232" spans="1:16" x14ac:dyDescent="0.3">
      <c r="A232" s="46" t="s">
        <v>2143</v>
      </c>
      <c r="B232" s="26">
        <v>46093</v>
      </c>
      <c r="C232" s="26">
        <v>46098</v>
      </c>
      <c r="D232" s="71">
        <v>3319</v>
      </c>
      <c r="E232" s="25">
        <v>327</v>
      </c>
      <c r="F232" s="46">
        <v>2</v>
      </c>
      <c r="G232" s="46">
        <v>2</v>
      </c>
      <c r="H232" s="46">
        <v>81433</v>
      </c>
      <c r="I232" s="46" t="s">
        <v>17</v>
      </c>
      <c r="J232" s="46">
        <v>24722409</v>
      </c>
      <c r="K232" s="44" t="s">
        <v>353</v>
      </c>
      <c r="L232" s="44" t="s">
        <v>358</v>
      </c>
      <c r="M232" s="72">
        <v>299900</v>
      </c>
      <c r="N232" s="64">
        <v>0.95</v>
      </c>
      <c r="O232" s="72">
        <f t="shared" si="3"/>
        <v>14995</v>
      </c>
      <c r="P232" s="44" t="s">
        <v>0</v>
      </c>
    </row>
    <row r="233" spans="1:16" x14ac:dyDescent="0.3">
      <c r="A233" s="46" t="s">
        <v>2143</v>
      </c>
      <c r="B233" s="26">
        <v>46093</v>
      </c>
      <c r="C233" s="26">
        <v>46098</v>
      </c>
      <c r="D233" s="71">
        <v>3319</v>
      </c>
      <c r="E233" s="25">
        <v>327</v>
      </c>
      <c r="F233" s="46">
        <v>2</v>
      </c>
      <c r="G233" s="46">
        <v>2</v>
      </c>
      <c r="H233" s="46">
        <v>81433</v>
      </c>
      <c r="I233" s="46" t="s">
        <v>17</v>
      </c>
      <c r="J233" s="46">
        <v>22735588</v>
      </c>
      <c r="K233" s="44" t="s">
        <v>359</v>
      </c>
      <c r="L233" s="44" t="s">
        <v>360</v>
      </c>
      <c r="M233" s="72">
        <v>299900</v>
      </c>
      <c r="N233" s="64">
        <v>0.95</v>
      </c>
      <c r="O233" s="72">
        <f t="shared" si="3"/>
        <v>14995</v>
      </c>
      <c r="P233" s="44" t="s">
        <v>0</v>
      </c>
    </row>
    <row r="234" spans="1:16" x14ac:dyDescent="0.3">
      <c r="A234" s="46" t="s">
        <v>2143</v>
      </c>
      <c r="B234" s="26">
        <v>46093</v>
      </c>
      <c r="C234" s="26">
        <v>46098</v>
      </c>
      <c r="D234" s="71">
        <v>3319</v>
      </c>
      <c r="E234" s="25">
        <v>327</v>
      </c>
      <c r="F234" s="46">
        <v>2</v>
      </c>
      <c r="G234" s="46">
        <v>2</v>
      </c>
      <c r="H234" s="46">
        <v>81433</v>
      </c>
      <c r="I234" s="46" t="s">
        <v>17</v>
      </c>
      <c r="J234" s="46">
        <v>22735597</v>
      </c>
      <c r="K234" s="44" t="s">
        <v>359</v>
      </c>
      <c r="L234" s="44" t="s">
        <v>361</v>
      </c>
      <c r="M234" s="72">
        <v>299900</v>
      </c>
      <c r="N234" s="64">
        <v>0.95</v>
      </c>
      <c r="O234" s="72">
        <f t="shared" si="3"/>
        <v>14995</v>
      </c>
      <c r="P234" s="44" t="s">
        <v>0</v>
      </c>
    </row>
    <row r="235" spans="1:16" x14ac:dyDescent="0.3">
      <c r="A235" s="46" t="s">
        <v>2143</v>
      </c>
      <c r="B235" s="26">
        <v>46093</v>
      </c>
      <c r="C235" s="26">
        <v>46098</v>
      </c>
      <c r="D235" s="71">
        <v>3319</v>
      </c>
      <c r="E235" s="25">
        <v>327</v>
      </c>
      <c r="F235" s="46">
        <v>2</v>
      </c>
      <c r="G235" s="46">
        <v>2</v>
      </c>
      <c r="H235" s="46">
        <v>81433</v>
      </c>
      <c r="I235" s="46" t="s">
        <v>17</v>
      </c>
      <c r="J235" s="46">
        <v>22735604</v>
      </c>
      <c r="K235" s="44" t="s">
        <v>359</v>
      </c>
      <c r="L235" s="44" t="s">
        <v>362</v>
      </c>
      <c r="M235" s="72">
        <v>299900</v>
      </c>
      <c r="N235" s="64">
        <v>0.95</v>
      </c>
      <c r="O235" s="72">
        <f t="shared" si="3"/>
        <v>14995</v>
      </c>
      <c r="P235" s="44" t="s">
        <v>0</v>
      </c>
    </row>
    <row r="236" spans="1:16" x14ac:dyDescent="0.3">
      <c r="A236" s="46" t="s">
        <v>2143</v>
      </c>
      <c r="B236" s="26">
        <v>46093</v>
      </c>
      <c r="C236" s="26">
        <v>46098</v>
      </c>
      <c r="D236" s="71">
        <v>3319</v>
      </c>
      <c r="E236" s="25">
        <v>327</v>
      </c>
      <c r="F236" s="46">
        <v>2</v>
      </c>
      <c r="G236" s="46">
        <v>2</v>
      </c>
      <c r="H236" s="46">
        <v>81433</v>
      </c>
      <c r="I236" s="46" t="s">
        <v>17</v>
      </c>
      <c r="J236" s="46">
        <v>22735631</v>
      </c>
      <c r="K236" s="44" t="s">
        <v>363</v>
      </c>
      <c r="L236" s="44" t="s">
        <v>364</v>
      </c>
      <c r="M236" s="72">
        <v>299900</v>
      </c>
      <c r="N236" s="64">
        <v>0.95</v>
      </c>
      <c r="O236" s="72">
        <f t="shared" si="3"/>
        <v>14995</v>
      </c>
      <c r="P236" s="44" t="s">
        <v>0</v>
      </c>
    </row>
    <row r="237" spans="1:16" x14ac:dyDescent="0.3">
      <c r="A237" s="46" t="s">
        <v>2143</v>
      </c>
      <c r="B237" s="26">
        <v>46093</v>
      </c>
      <c r="C237" s="26">
        <v>46098</v>
      </c>
      <c r="D237" s="71">
        <v>3319</v>
      </c>
      <c r="E237" s="25">
        <v>327</v>
      </c>
      <c r="F237" s="46">
        <v>2</v>
      </c>
      <c r="G237" s="46">
        <v>2</v>
      </c>
      <c r="H237" s="46">
        <v>81433</v>
      </c>
      <c r="I237" s="46" t="s">
        <v>17</v>
      </c>
      <c r="J237" s="46">
        <v>22735640</v>
      </c>
      <c r="K237" s="44" t="s">
        <v>363</v>
      </c>
      <c r="L237" s="44" t="s">
        <v>365</v>
      </c>
      <c r="M237" s="72">
        <v>299900</v>
      </c>
      <c r="N237" s="64">
        <v>0.95</v>
      </c>
      <c r="O237" s="72">
        <f t="shared" si="3"/>
        <v>14995</v>
      </c>
      <c r="P237" s="44" t="s">
        <v>0</v>
      </c>
    </row>
    <row r="238" spans="1:16" x14ac:dyDescent="0.3">
      <c r="A238" s="46" t="s">
        <v>2143</v>
      </c>
      <c r="B238" s="26">
        <v>46093</v>
      </c>
      <c r="C238" s="26">
        <v>46098</v>
      </c>
      <c r="D238" s="71">
        <v>3319</v>
      </c>
      <c r="E238" s="25">
        <v>327</v>
      </c>
      <c r="F238" s="46">
        <v>2</v>
      </c>
      <c r="G238" s="46">
        <v>2</v>
      </c>
      <c r="H238" s="46">
        <v>81433</v>
      </c>
      <c r="I238" s="46" t="s">
        <v>17</v>
      </c>
      <c r="J238" s="46">
        <v>22735659</v>
      </c>
      <c r="K238" s="44" t="s">
        <v>363</v>
      </c>
      <c r="L238" s="44" t="s">
        <v>366</v>
      </c>
      <c r="M238" s="72">
        <v>299900</v>
      </c>
      <c r="N238" s="64">
        <v>0.95</v>
      </c>
      <c r="O238" s="72">
        <f t="shared" si="3"/>
        <v>14995</v>
      </c>
      <c r="P238" s="44" t="s">
        <v>0</v>
      </c>
    </row>
    <row r="239" spans="1:16" x14ac:dyDescent="0.3">
      <c r="A239" s="46" t="s">
        <v>2143</v>
      </c>
      <c r="B239" s="26">
        <v>46093</v>
      </c>
      <c r="C239" s="26">
        <v>46098</v>
      </c>
      <c r="D239" s="71">
        <v>3319</v>
      </c>
      <c r="E239" s="25">
        <v>327</v>
      </c>
      <c r="F239" s="46">
        <v>2</v>
      </c>
      <c r="G239" s="46">
        <v>2</v>
      </c>
      <c r="H239" s="46">
        <v>81433</v>
      </c>
      <c r="I239" s="46" t="s">
        <v>17</v>
      </c>
      <c r="J239" s="46">
        <v>22735668</v>
      </c>
      <c r="K239" s="44" t="s">
        <v>363</v>
      </c>
      <c r="L239" s="44" t="s">
        <v>367</v>
      </c>
      <c r="M239" s="72">
        <v>299900</v>
      </c>
      <c r="N239" s="64">
        <v>0.95</v>
      </c>
      <c r="O239" s="72">
        <f t="shared" si="3"/>
        <v>14995</v>
      </c>
      <c r="P239" s="44" t="s">
        <v>0</v>
      </c>
    </row>
    <row r="240" spans="1:16" x14ac:dyDescent="0.3">
      <c r="A240" s="46" t="s">
        <v>2143</v>
      </c>
      <c r="B240" s="26">
        <v>46093</v>
      </c>
      <c r="C240" s="26">
        <v>46098</v>
      </c>
      <c r="D240" s="71">
        <v>3319</v>
      </c>
      <c r="E240" s="25">
        <v>327</v>
      </c>
      <c r="F240" s="46">
        <v>2</v>
      </c>
      <c r="G240" s="46">
        <v>2</v>
      </c>
      <c r="H240" s="46">
        <v>81433</v>
      </c>
      <c r="I240" s="46" t="s">
        <v>17</v>
      </c>
      <c r="J240" s="46">
        <v>22593731</v>
      </c>
      <c r="K240" s="44" t="s">
        <v>368</v>
      </c>
      <c r="L240" s="44" t="s">
        <v>369</v>
      </c>
      <c r="M240" s="72">
        <v>299900</v>
      </c>
      <c r="N240" s="64">
        <v>0.95</v>
      </c>
      <c r="O240" s="72">
        <f t="shared" si="3"/>
        <v>14995</v>
      </c>
      <c r="P240" s="44" t="s">
        <v>0</v>
      </c>
    </row>
    <row r="241" spans="1:16" x14ac:dyDescent="0.3">
      <c r="A241" s="46" t="s">
        <v>2143</v>
      </c>
      <c r="B241" s="26">
        <v>46093</v>
      </c>
      <c r="C241" s="26">
        <v>46098</v>
      </c>
      <c r="D241" s="71">
        <v>3319</v>
      </c>
      <c r="E241" s="25">
        <v>327</v>
      </c>
      <c r="F241" s="46">
        <v>2</v>
      </c>
      <c r="G241" s="46">
        <v>2</v>
      </c>
      <c r="H241" s="46">
        <v>81433</v>
      </c>
      <c r="I241" s="46" t="s">
        <v>17</v>
      </c>
      <c r="J241" s="46">
        <v>22593740</v>
      </c>
      <c r="K241" s="44" t="s">
        <v>368</v>
      </c>
      <c r="L241" s="44" t="s">
        <v>370</v>
      </c>
      <c r="M241" s="72">
        <v>299900</v>
      </c>
      <c r="N241" s="64">
        <v>0.95</v>
      </c>
      <c r="O241" s="72">
        <f t="shared" si="3"/>
        <v>14995</v>
      </c>
      <c r="P241" s="44" t="s">
        <v>0</v>
      </c>
    </row>
    <row r="242" spans="1:16" x14ac:dyDescent="0.3">
      <c r="A242" s="46" t="s">
        <v>2143</v>
      </c>
      <c r="B242" s="26">
        <v>46093</v>
      </c>
      <c r="C242" s="26">
        <v>46098</v>
      </c>
      <c r="D242" s="71">
        <v>3319</v>
      </c>
      <c r="E242" s="25">
        <v>327</v>
      </c>
      <c r="F242" s="46">
        <v>2</v>
      </c>
      <c r="G242" s="46">
        <v>2</v>
      </c>
      <c r="H242" s="46">
        <v>81433</v>
      </c>
      <c r="I242" s="46" t="s">
        <v>17</v>
      </c>
      <c r="J242" s="46">
        <v>22593777</v>
      </c>
      <c r="K242" s="44" t="s">
        <v>371</v>
      </c>
      <c r="L242" s="44" t="s">
        <v>372</v>
      </c>
      <c r="M242" s="72">
        <v>299900</v>
      </c>
      <c r="N242" s="64">
        <v>0.95</v>
      </c>
      <c r="O242" s="72">
        <f t="shared" si="3"/>
        <v>14995</v>
      </c>
      <c r="P242" s="44" t="s">
        <v>0</v>
      </c>
    </row>
    <row r="243" spans="1:16" x14ac:dyDescent="0.3">
      <c r="A243" s="46" t="s">
        <v>2143</v>
      </c>
      <c r="B243" s="26">
        <v>46093</v>
      </c>
      <c r="C243" s="26">
        <v>46098</v>
      </c>
      <c r="D243" s="71">
        <v>3319</v>
      </c>
      <c r="E243" s="25">
        <v>327</v>
      </c>
      <c r="F243" s="46">
        <v>2</v>
      </c>
      <c r="G243" s="46">
        <v>2</v>
      </c>
      <c r="H243" s="46">
        <v>81433</v>
      </c>
      <c r="I243" s="46" t="s">
        <v>17</v>
      </c>
      <c r="J243" s="46">
        <v>22593786</v>
      </c>
      <c r="K243" s="44" t="s">
        <v>371</v>
      </c>
      <c r="L243" s="44" t="s">
        <v>373</v>
      </c>
      <c r="M243" s="72">
        <v>299900</v>
      </c>
      <c r="N243" s="64">
        <v>0.95</v>
      </c>
      <c r="O243" s="72">
        <f t="shared" si="3"/>
        <v>14995</v>
      </c>
      <c r="P243" s="44" t="s">
        <v>0</v>
      </c>
    </row>
    <row r="244" spans="1:16" x14ac:dyDescent="0.3">
      <c r="A244" s="46" t="s">
        <v>2143</v>
      </c>
      <c r="B244" s="26">
        <v>46093</v>
      </c>
      <c r="C244" s="26">
        <v>46098</v>
      </c>
      <c r="D244" s="71">
        <v>3319</v>
      </c>
      <c r="E244" s="25">
        <v>327</v>
      </c>
      <c r="F244" s="46">
        <v>2</v>
      </c>
      <c r="G244" s="46">
        <v>2</v>
      </c>
      <c r="H244" s="46">
        <v>81433</v>
      </c>
      <c r="I244" s="46" t="s">
        <v>17</v>
      </c>
      <c r="J244" s="46">
        <v>22593795</v>
      </c>
      <c r="K244" s="44" t="s">
        <v>371</v>
      </c>
      <c r="L244" s="44" t="s">
        <v>374</v>
      </c>
      <c r="M244" s="72">
        <v>299900</v>
      </c>
      <c r="N244" s="64">
        <v>0.95</v>
      </c>
      <c r="O244" s="72">
        <f t="shared" si="3"/>
        <v>14995</v>
      </c>
      <c r="P244" s="44" t="s">
        <v>0</v>
      </c>
    </row>
    <row r="245" spans="1:16" x14ac:dyDescent="0.3">
      <c r="A245" s="46" t="s">
        <v>2143</v>
      </c>
      <c r="B245" s="26">
        <v>46093</v>
      </c>
      <c r="C245" s="26">
        <v>46098</v>
      </c>
      <c r="D245" s="71">
        <v>3319</v>
      </c>
      <c r="E245" s="25">
        <v>327</v>
      </c>
      <c r="F245" s="46">
        <v>2</v>
      </c>
      <c r="G245" s="46">
        <v>2</v>
      </c>
      <c r="H245" s="46">
        <v>81433</v>
      </c>
      <c r="I245" s="46" t="s">
        <v>17</v>
      </c>
      <c r="J245" s="46">
        <v>22593839</v>
      </c>
      <c r="K245" s="44" t="s">
        <v>375</v>
      </c>
      <c r="L245" s="44" t="s">
        <v>376</v>
      </c>
      <c r="M245" s="72">
        <v>299900</v>
      </c>
      <c r="N245" s="64">
        <v>0.95</v>
      </c>
      <c r="O245" s="72">
        <f t="shared" si="3"/>
        <v>14995</v>
      </c>
      <c r="P245" s="44" t="s">
        <v>0</v>
      </c>
    </row>
    <row r="246" spans="1:16" x14ac:dyDescent="0.3">
      <c r="A246" s="46" t="s">
        <v>2143</v>
      </c>
      <c r="B246" s="26">
        <v>46093</v>
      </c>
      <c r="C246" s="26">
        <v>46098</v>
      </c>
      <c r="D246" s="71">
        <v>3319</v>
      </c>
      <c r="E246" s="25">
        <v>327</v>
      </c>
      <c r="F246" s="46">
        <v>2</v>
      </c>
      <c r="G246" s="46">
        <v>2</v>
      </c>
      <c r="H246" s="46">
        <v>81433</v>
      </c>
      <c r="I246" s="46" t="s">
        <v>17</v>
      </c>
      <c r="J246" s="46">
        <v>22593857</v>
      </c>
      <c r="K246" s="44" t="s">
        <v>375</v>
      </c>
      <c r="L246" s="44" t="s">
        <v>377</v>
      </c>
      <c r="M246" s="72">
        <v>299900</v>
      </c>
      <c r="N246" s="64">
        <v>0.95</v>
      </c>
      <c r="O246" s="72">
        <f t="shared" si="3"/>
        <v>14995</v>
      </c>
      <c r="P246" s="44" t="s">
        <v>0</v>
      </c>
    </row>
  </sheetData>
  <autoFilter ref="A1:P24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zoomScale="90" zoomScaleNormal="90" workbookViewId="0">
      <selection activeCell="A2" sqref="A2:A131"/>
    </sheetView>
  </sheetViews>
  <sheetFormatPr defaultColWidth="19.44140625" defaultRowHeight="15.6" x14ac:dyDescent="0.3"/>
  <cols>
    <col min="1" max="1" width="24.6640625" style="59" bestFit="1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6640625" style="63" customWidth="1"/>
    <col min="14" max="14" width="8.6640625" style="19" customWidth="1"/>
    <col min="15" max="15" width="15.6640625" style="63" customWidth="1"/>
    <col min="16" max="16" width="15.664062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32" t="s">
        <v>3216</v>
      </c>
      <c r="B2" s="40">
        <v>46093</v>
      </c>
      <c r="C2" s="40">
        <v>46098</v>
      </c>
      <c r="D2" s="32">
        <v>3319</v>
      </c>
      <c r="E2" s="32">
        <v>327</v>
      </c>
      <c r="F2" s="32">
        <v>2</v>
      </c>
      <c r="G2" s="65">
        <v>1</v>
      </c>
      <c r="H2" s="16">
        <v>80700</v>
      </c>
      <c r="I2" s="65" t="s">
        <v>17</v>
      </c>
      <c r="J2" s="60">
        <v>27022160</v>
      </c>
      <c r="K2" s="13" t="s">
        <v>378</v>
      </c>
      <c r="L2" s="13" t="s">
        <v>379</v>
      </c>
      <c r="M2" s="68">
        <v>139900</v>
      </c>
      <c r="N2" s="19">
        <v>0.9</v>
      </c>
      <c r="O2" s="33">
        <f>M2*10%</f>
        <v>13990</v>
      </c>
      <c r="P2" s="32" t="s">
        <v>0</v>
      </c>
    </row>
    <row r="3" spans="1:16" x14ac:dyDescent="0.3">
      <c r="A3" s="32" t="s">
        <v>3216</v>
      </c>
      <c r="B3" s="40">
        <v>46093</v>
      </c>
      <c r="C3" s="40">
        <v>46098</v>
      </c>
      <c r="D3" s="32">
        <v>3319</v>
      </c>
      <c r="E3" s="32">
        <v>327</v>
      </c>
      <c r="F3" s="32">
        <v>2</v>
      </c>
      <c r="G3" s="65">
        <v>1</v>
      </c>
      <c r="H3" s="16">
        <v>80700</v>
      </c>
      <c r="I3" s="65" t="s">
        <v>17</v>
      </c>
      <c r="J3" s="60">
        <v>27022179</v>
      </c>
      <c r="K3" s="13" t="s">
        <v>378</v>
      </c>
      <c r="L3" s="13" t="s">
        <v>380</v>
      </c>
      <c r="M3" s="68">
        <v>139900</v>
      </c>
      <c r="N3" s="19">
        <v>0.9</v>
      </c>
      <c r="O3" s="33">
        <f t="shared" ref="O3:O66" si="0">M3*10%</f>
        <v>13990</v>
      </c>
      <c r="P3" s="32" t="s">
        <v>0</v>
      </c>
    </row>
    <row r="4" spans="1:16" x14ac:dyDescent="0.3">
      <c r="A4" s="32" t="s">
        <v>3216</v>
      </c>
      <c r="B4" s="40">
        <v>46093</v>
      </c>
      <c r="C4" s="40">
        <v>46098</v>
      </c>
      <c r="D4" s="32">
        <v>3319</v>
      </c>
      <c r="E4" s="32">
        <v>327</v>
      </c>
      <c r="F4" s="32">
        <v>2</v>
      </c>
      <c r="G4" s="65">
        <v>1</v>
      </c>
      <c r="H4" s="16">
        <v>80700</v>
      </c>
      <c r="I4" s="65" t="s">
        <v>17</v>
      </c>
      <c r="J4" s="60">
        <v>27022188</v>
      </c>
      <c r="K4" s="13" t="s">
        <v>378</v>
      </c>
      <c r="L4" s="13" t="s">
        <v>381</v>
      </c>
      <c r="M4" s="68">
        <v>139900</v>
      </c>
      <c r="N4" s="19">
        <v>0.9</v>
      </c>
      <c r="O4" s="33">
        <f t="shared" si="0"/>
        <v>13990</v>
      </c>
      <c r="P4" s="32" t="s">
        <v>0</v>
      </c>
    </row>
    <row r="5" spans="1:16" x14ac:dyDescent="0.3">
      <c r="A5" s="32" t="s">
        <v>3216</v>
      </c>
      <c r="B5" s="40">
        <v>46093</v>
      </c>
      <c r="C5" s="40">
        <v>46098</v>
      </c>
      <c r="D5" s="32">
        <v>3319</v>
      </c>
      <c r="E5" s="32">
        <v>327</v>
      </c>
      <c r="F5" s="32">
        <v>2</v>
      </c>
      <c r="G5" s="65">
        <v>1</v>
      </c>
      <c r="H5" s="16">
        <v>80700</v>
      </c>
      <c r="I5" s="65" t="s">
        <v>17</v>
      </c>
      <c r="J5" s="60">
        <v>27022197</v>
      </c>
      <c r="K5" s="13" t="s">
        <v>378</v>
      </c>
      <c r="L5" s="13" t="s">
        <v>382</v>
      </c>
      <c r="M5" s="68">
        <v>139900</v>
      </c>
      <c r="N5" s="19">
        <v>0.9</v>
      </c>
      <c r="O5" s="33">
        <f t="shared" si="0"/>
        <v>13990</v>
      </c>
      <c r="P5" s="32" t="s">
        <v>0</v>
      </c>
    </row>
    <row r="6" spans="1:16" x14ac:dyDescent="0.3">
      <c r="A6" s="32" t="s">
        <v>3216</v>
      </c>
      <c r="B6" s="40">
        <v>46093</v>
      </c>
      <c r="C6" s="40">
        <v>46098</v>
      </c>
      <c r="D6" s="32">
        <v>3319</v>
      </c>
      <c r="E6" s="32">
        <v>327</v>
      </c>
      <c r="F6" s="32">
        <v>2</v>
      </c>
      <c r="G6" s="65">
        <v>1</v>
      </c>
      <c r="H6" s="16">
        <v>80700</v>
      </c>
      <c r="I6" s="65" t="s">
        <v>17</v>
      </c>
      <c r="J6" s="60">
        <v>27022204</v>
      </c>
      <c r="K6" s="13" t="s">
        <v>378</v>
      </c>
      <c r="L6" s="13" t="s">
        <v>383</v>
      </c>
      <c r="M6" s="68">
        <v>139900</v>
      </c>
      <c r="N6" s="19">
        <v>0.9</v>
      </c>
      <c r="O6" s="33">
        <f t="shared" si="0"/>
        <v>13990</v>
      </c>
      <c r="P6" s="32" t="s">
        <v>0</v>
      </c>
    </row>
    <row r="7" spans="1:16" x14ac:dyDescent="0.3">
      <c r="A7" s="32" t="s">
        <v>3216</v>
      </c>
      <c r="B7" s="40">
        <v>46093</v>
      </c>
      <c r="C7" s="40">
        <v>46098</v>
      </c>
      <c r="D7" s="32">
        <v>3319</v>
      </c>
      <c r="E7" s="32">
        <v>327</v>
      </c>
      <c r="F7" s="32">
        <v>2</v>
      </c>
      <c r="G7" s="65">
        <v>1</v>
      </c>
      <c r="H7" s="16">
        <v>80700</v>
      </c>
      <c r="I7" s="65" t="s">
        <v>17</v>
      </c>
      <c r="J7" s="60">
        <v>27022213</v>
      </c>
      <c r="K7" s="13" t="s">
        <v>378</v>
      </c>
      <c r="L7" s="13" t="s">
        <v>384</v>
      </c>
      <c r="M7" s="68">
        <v>139900</v>
      </c>
      <c r="N7" s="19">
        <v>0.9</v>
      </c>
      <c r="O7" s="33">
        <f t="shared" si="0"/>
        <v>13990</v>
      </c>
      <c r="P7" s="32" t="s">
        <v>0</v>
      </c>
    </row>
    <row r="8" spans="1:16" x14ac:dyDescent="0.3">
      <c r="A8" s="32" t="s">
        <v>3216</v>
      </c>
      <c r="B8" s="40">
        <v>46093</v>
      </c>
      <c r="C8" s="40">
        <v>46098</v>
      </c>
      <c r="D8" s="32">
        <v>3319</v>
      </c>
      <c r="E8" s="32">
        <v>327</v>
      </c>
      <c r="F8" s="32">
        <v>2</v>
      </c>
      <c r="G8" s="65">
        <v>1</v>
      </c>
      <c r="H8" s="16">
        <v>80700</v>
      </c>
      <c r="I8" s="65" t="s">
        <v>17</v>
      </c>
      <c r="J8" s="60">
        <v>27033667</v>
      </c>
      <c r="K8" s="13" t="s">
        <v>385</v>
      </c>
      <c r="L8" s="13" t="s">
        <v>386</v>
      </c>
      <c r="M8" s="68">
        <v>179900</v>
      </c>
      <c r="N8" s="19">
        <v>0.9</v>
      </c>
      <c r="O8" s="33">
        <f t="shared" si="0"/>
        <v>17990</v>
      </c>
      <c r="P8" s="32" t="s">
        <v>0</v>
      </c>
    </row>
    <row r="9" spans="1:16" x14ac:dyDescent="0.3">
      <c r="A9" s="32" t="s">
        <v>3216</v>
      </c>
      <c r="B9" s="40">
        <v>46093</v>
      </c>
      <c r="C9" s="40">
        <v>46098</v>
      </c>
      <c r="D9" s="32">
        <v>3319</v>
      </c>
      <c r="E9" s="32">
        <v>327</v>
      </c>
      <c r="F9" s="32">
        <v>2</v>
      </c>
      <c r="G9" s="65">
        <v>1</v>
      </c>
      <c r="H9" s="16">
        <v>80700</v>
      </c>
      <c r="I9" s="65" t="s">
        <v>17</v>
      </c>
      <c r="J9" s="60">
        <v>27033676</v>
      </c>
      <c r="K9" s="13" t="s">
        <v>385</v>
      </c>
      <c r="L9" s="13" t="s">
        <v>387</v>
      </c>
      <c r="M9" s="68">
        <v>179900</v>
      </c>
      <c r="N9" s="19">
        <v>0.9</v>
      </c>
      <c r="O9" s="33">
        <f t="shared" si="0"/>
        <v>17990</v>
      </c>
      <c r="P9" s="32" t="s">
        <v>0</v>
      </c>
    </row>
    <row r="10" spans="1:16" x14ac:dyDescent="0.3">
      <c r="A10" s="32" t="s">
        <v>3216</v>
      </c>
      <c r="B10" s="40">
        <v>46093</v>
      </c>
      <c r="C10" s="40">
        <v>46098</v>
      </c>
      <c r="D10" s="32">
        <v>3319</v>
      </c>
      <c r="E10" s="32">
        <v>327</v>
      </c>
      <c r="F10" s="32">
        <v>2</v>
      </c>
      <c r="G10" s="65">
        <v>1</v>
      </c>
      <c r="H10" s="16">
        <v>80700</v>
      </c>
      <c r="I10" s="65" t="s">
        <v>17</v>
      </c>
      <c r="J10" s="60">
        <v>27033685</v>
      </c>
      <c r="K10" s="13" t="s">
        <v>385</v>
      </c>
      <c r="L10" s="13" t="s">
        <v>388</v>
      </c>
      <c r="M10" s="68">
        <v>179900</v>
      </c>
      <c r="N10" s="19">
        <v>0.9</v>
      </c>
      <c r="O10" s="33">
        <f t="shared" si="0"/>
        <v>17990</v>
      </c>
      <c r="P10" s="32" t="s">
        <v>0</v>
      </c>
    </row>
    <row r="11" spans="1:16" x14ac:dyDescent="0.3">
      <c r="A11" s="32" t="s">
        <v>3216</v>
      </c>
      <c r="B11" s="40">
        <v>46093</v>
      </c>
      <c r="C11" s="40">
        <v>46098</v>
      </c>
      <c r="D11" s="32">
        <v>3319</v>
      </c>
      <c r="E11" s="32">
        <v>327</v>
      </c>
      <c r="F11" s="32">
        <v>2</v>
      </c>
      <c r="G11" s="65">
        <v>1</v>
      </c>
      <c r="H11" s="16">
        <v>80700</v>
      </c>
      <c r="I11" s="65" t="s">
        <v>17</v>
      </c>
      <c r="J11" s="60">
        <v>27033694</v>
      </c>
      <c r="K11" s="13" t="s">
        <v>385</v>
      </c>
      <c r="L11" s="13" t="s">
        <v>389</v>
      </c>
      <c r="M11" s="68">
        <v>179900</v>
      </c>
      <c r="N11" s="19">
        <v>0.9</v>
      </c>
      <c r="O11" s="33">
        <f t="shared" si="0"/>
        <v>17990</v>
      </c>
      <c r="P11" s="32" t="s">
        <v>0</v>
      </c>
    </row>
    <row r="12" spans="1:16" x14ac:dyDescent="0.3">
      <c r="A12" s="32" t="s">
        <v>3216</v>
      </c>
      <c r="B12" s="40">
        <v>46093</v>
      </c>
      <c r="C12" s="40">
        <v>46098</v>
      </c>
      <c r="D12" s="32">
        <v>3319</v>
      </c>
      <c r="E12" s="32">
        <v>327</v>
      </c>
      <c r="F12" s="32">
        <v>2</v>
      </c>
      <c r="G12" s="65">
        <v>1</v>
      </c>
      <c r="H12" s="16">
        <v>80700</v>
      </c>
      <c r="I12" s="65" t="s">
        <v>17</v>
      </c>
      <c r="J12" s="60">
        <v>27033701</v>
      </c>
      <c r="K12" s="13" t="s">
        <v>385</v>
      </c>
      <c r="L12" s="13" t="s">
        <v>390</v>
      </c>
      <c r="M12" s="68">
        <v>179900</v>
      </c>
      <c r="N12" s="19">
        <v>0.9</v>
      </c>
      <c r="O12" s="33">
        <f t="shared" si="0"/>
        <v>17990</v>
      </c>
      <c r="P12" s="32" t="s">
        <v>0</v>
      </c>
    </row>
    <row r="13" spans="1:16" x14ac:dyDescent="0.3">
      <c r="A13" s="32" t="s">
        <v>3216</v>
      </c>
      <c r="B13" s="40">
        <v>46093</v>
      </c>
      <c r="C13" s="40">
        <v>46098</v>
      </c>
      <c r="D13" s="32">
        <v>3319</v>
      </c>
      <c r="E13" s="32">
        <v>327</v>
      </c>
      <c r="F13" s="32">
        <v>2</v>
      </c>
      <c r="G13" s="65">
        <v>1</v>
      </c>
      <c r="H13" s="16">
        <v>80700</v>
      </c>
      <c r="I13" s="65" t="s">
        <v>17</v>
      </c>
      <c r="J13" s="60">
        <v>27033710</v>
      </c>
      <c r="K13" s="13" t="s">
        <v>385</v>
      </c>
      <c r="L13" s="13" t="s">
        <v>391</v>
      </c>
      <c r="M13" s="68">
        <v>179900</v>
      </c>
      <c r="N13" s="19">
        <v>0.9</v>
      </c>
      <c r="O13" s="33">
        <f t="shared" si="0"/>
        <v>17990</v>
      </c>
      <c r="P13" s="32" t="s">
        <v>0</v>
      </c>
    </row>
    <row r="14" spans="1:16" x14ac:dyDescent="0.3">
      <c r="A14" s="32" t="s">
        <v>3216</v>
      </c>
      <c r="B14" s="40">
        <v>46093</v>
      </c>
      <c r="C14" s="40">
        <v>46098</v>
      </c>
      <c r="D14" s="32">
        <v>3319</v>
      </c>
      <c r="E14" s="32">
        <v>327</v>
      </c>
      <c r="F14" s="32">
        <v>2</v>
      </c>
      <c r="G14" s="65">
        <v>1</v>
      </c>
      <c r="H14" s="16">
        <v>80700</v>
      </c>
      <c r="I14" s="65" t="s">
        <v>17</v>
      </c>
      <c r="J14" s="60">
        <v>27033729</v>
      </c>
      <c r="K14" s="13" t="s">
        <v>385</v>
      </c>
      <c r="L14" s="13" t="s">
        <v>392</v>
      </c>
      <c r="M14" s="68">
        <v>179900</v>
      </c>
      <c r="N14" s="19">
        <v>0.9</v>
      </c>
      <c r="O14" s="33">
        <f t="shared" si="0"/>
        <v>17990</v>
      </c>
      <c r="P14" s="32" t="s">
        <v>0</v>
      </c>
    </row>
    <row r="15" spans="1:16" x14ac:dyDescent="0.3">
      <c r="A15" s="32" t="s">
        <v>3216</v>
      </c>
      <c r="B15" s="40">
        <v>46093</v>
      </c>
      <c r="C15" s="40">
        <v>46098</v>
      </c>
      <c r="D15" s="32">
        <v>3319</v>
      </c>
      <c r="E15" s="32">
        <v>327</v>
      </c>
      <c r="F15" s="32">
        <v>2</v>
      </c>
      <c r="G15" s="65">
        <v>1</v>
      </c>
      <c r="H15" s="16">
        <v>81011</v>
      </c>
      <c r="I15" s="65" t="s">
        <v>17</v>
      </c>
      <c r="J15" s="60">
        <v>24372190</v>
      </c>
      <c r="K15" s="13" t="s">
        <v>393</v>
      </c>
      <c r="L15" s="13" t="s">
        <v>394</v>
      </c>
      <c r="M15" s="68">
        <v>129900</v>
      </c>
      <c r="N15" s="19">
        <v>0.9</v>
      </c>
      <c r="O15" s="33">
        <f t="shared" si="0"/>
        <v>12990</v>
      </c>
      <c r="P15" s="32" t="s">
        <v>0</v>
      </c>
    </row>
    <row r="16" spans="1:16" x14ac:dyDescent="0.3">
      <c r="A16" s="32" t="s">
        <v>3216</v>
      </c>
      <c r="B16" s="40">
        <v>46093</v>
      </c>
      <c r="C16" s="40">
        <v>46098</v>
      </c>
      <c r="D16" s="32">
        <v>3319</v>
      </c>
      <c r="E16" s="32">
        <v>327</v>
      </c>
      <c r="F16" s="32">
        <v>2</v>
      </c>
      <c r="G16" s="65">
        <v>1</v>
      </c>
      <c r="H16" s="16">
        <v>81011</v>
      </c>
      <c r="I16" s="65" t="s">
        <v>17</v>
      </c>
      <c r="J16" s="60">
        <v>24372207</v>
      </c>
      <c r="K16" s="13" t="s">
        <v>393</v>
      </c>
      <c r="L16" s="13" t="s">
        <v>395</v>
      </c>
      <c r="M16" s="68">
        <v>129900</v>
      </c>
      <c r="N16" s="19">
        <v>0.9</v>
      </c>
      <c r="O16" s="33">
        <f t="shared" si="0"/>
        <v>12990</v>
      </c>
      <c r="P16" s="32" t="s">
        <v>0</v>
      </c>
    </row>
    <row r="17" spans="1:16" x14ac:dyDescent="0.3">
      <c r="A17" s="32" t="s">
        <v>3216</v>
      </c>
      <c r="B17" s="40">
        <v>46093</v>
      </c>
      <c r="C17" s="40">
        <v>46098</v>
      </c>
      <c r="D17" s="32">
        <v>3319</v>
      </c>
      <c r="E17" s="32">
        <v>327</v>
      </c>
      <c r="F17" s="32">
        <v>2</v>
      </c>
      <c r="G17" s="65">
        <v>1</v>
      </c>
      <c r="H17" s="65">
        <v>81011</v>
      </c>
      <c r="I17" s="65" t="s">
        <v>17</v>
      </c>
      <c r="J17" s="66">
        <v>24372216</v>
      </c>
      <c r="K17" s="17" t="s">
        <v>393</v>
      </c>
      <c r="L17" s="15" t="s">
        <v>396</v>
      </c>
      <c r="M17" s="68">
        <v>129900</v>
      </c>
      <c r="N17" s="19">
        <v>0.9</v>
      </c>
      <c r="O17" s="33">
        <f t="shared" si="0"/>
        <v>12990</v>
      </c>
      <c r="P17" s="32" t="s">
        <v>0</v>
      </c>
    </row>
    <row r="18" spans="1:16" x14ac:dyDescent="0.3">
      <c r="A18" s="32" t="s">
        <v>3216</v>
      </c>
      <c r="B18" s="40">
        <v>46093</v>
      </c>
      <c r="C18" s="40">
        <v>46098</v>
      </c>
      <c r="D18" s="32">
        <v>3319</v>
      </c>
      <c r="E18" s="32">
        <v>327</v>
      </c>
      <c r="F18" s="32">
        <v>2</v>
      </c>
      <c r="G18" s="65">
        <v>1</v>
      </c>
      <c r="H18" s="65">
        <v>81011</v>
      </c>
      <c r="I18" s="65" t="s">
        <v>17</v>
      </c>
      <c r="J18" s="66">
        <v>24372225</v>
      </c>
      <c r="K18" s="17" t="s">
        <v>393</v>
      </c>
      <c r="L18" s="15" t="s">
        <v>397</v>
      </c>
      <c r="M18" s="68">
        <v>129900</v>
      </c>
      <c r="N18" s="19">
        <v>0.9</v>
      </c>
      <c r="O18" s="33">
        <f t="shared" si="0"/>
        <v>12990</v>
      </c>
      <c r="P18" s="32" t="s">
        <v>0</v>
      </c>
    </row>
    <row r="19" spans="1:16" x14ac:dyDescent="0.3">
      <c r="A19" s="32" t="s">
        <v>3216</v>
      </c>
      <c r="B19" s="40">
        <v>46093</v>
      </c>
      <c r="C19" s="40">
        <v>46098</v>
      </c>
      <c r="D19" s="32">
        <v>3319</v>
      </c>
      <c r="E19" s="32">
        <v>327</v>
      </c>
      <c r="F19" s="32">
        <v>2</v>
      </c>
      <c r="G19" s="65">
        <v>1</v>
      </c>
      <c r="H19" s="65">
        <v>81433</v>
      </c>
      <c r="I19" s="65" t="s">
        <v>17</v>
      </c>
      <c r="J19" s="66">
        <v>26459996</v>
      </c>
      <c r="K19" s="17" t="s">
        <v>398</v>
      </c>
      <c r="L19" s="15" t="s">
        <v>399</v>
      </c>
      <c r="M19" s="68">
        <v>199900</v>
      </c>
      <c r="N19" s="19">
        <v>0.9</v>
      </c>
      <c r="O19" s="33">
        <f t="shared" si="0"/>
        <v>19990</v>
      </c>
      <c r="P19" s="32" t="s">
        <v>0</v>
      </c>
    </row>
    <row r="20" spans="1:16" x14ac:dyDescent="0.3">
      <c r="A20" s="32" t="s">
        <v>3216</v>
      </c>
      <c r="B20" s="40">
        <v>46093</v>
      </c>
      <c r="C20" s="40">
        <v>46098</v>
      </c>
      <c r="D20" s="32">
        <v>3319</v>
      </c>
      <c r="E20" s="32">
        <v>327</v>
      </c>
      <c r="F20" s="32">
        <v>2</v>
      </c>
      <c r="G20" s="65">
        <v>1</v>
      </c>
      <c r="H20" s="65">
        <v>81433</v>
      </c>
      <c r="I20" s="65" t="s">
        <v>17</v>
      </c>
      <c r="J20" s="66">
        <v>26460000</v>
      </c>
      <c r="K20" s="17" t="s">
        <v>398</v>
      </c>
      <c r="L20" s="15" t="s">
        <v>400</v>
      </c>
      <c r="M20" s="68">
        <v>199900</v>
      </c>
      <c r="N20" s="19">
        <v>0.9</v>
      </c>
      <c r="O20" s="33">
        <f t="shared" si="0"/>
        <v>19990</v>
      </c>
      <c r="P20" s="32" t="s">
        <v>0</v>
      </c>
    </row>
    <row r="21" spans="1:16" x14ac:dyDescent="0.3">
      <c r="A21" s="32" t="s">
        <v>3216</v>
      </c>
      <c r="B21" s="40">
        <v>46093</v>
      </c>
      <c r="C21" s="40">
        <v>46098</v>
      </c>
      <c r="D21" s="32">
        <v>3319</v>
      </c>
      <c r="E21" s="32">
        <v>327</v>
      </c>
      <c r="F21" s="32">
        <v>2</v>
      </c>
      <c r="G21" s="65">
        <v>1</v>
      </c>
      <c r="H21" s="65">
        <v>81433</v>
      </c>
      <c r="I21" s="65" t="s">
        <v>17</v>
      </c>
      <c r="J21" s="66">
        <v>26460019</v>
      </c>
      <c r="K21" s="17" t="s">
        <v>398</v>
      </c>
      <c r="L21" s="15" t="s">
        <v>401</v>
      </c>
      <c r="M21" s="68">
        <v>199900</v>
      </c>
      <c r="N21" s="19">
        <v>0.9</v>
      </c>
      <c r="O21" s="33">
        <f t="shared" si="0"/>
        <v>19990</v>
      </c>
      <c r="P21" s="32" t="s">
        <v>0</v>
      </c>
    </row>
    <row r="22" spans="1:16" x14ac:dyDescent="0.3">
      <c r="A22" s="32" t="s">
        <v>3216</v>
      </c>
      <c r="B22" s="40">
        <v>46093</v>
      </c>
      <c r="C22" s="40">
        <v>46098</v>
      </c>
      <c r="D22" s="32">
        <v>3319</v>
      </c>
      <c r="E22" s="32">
        <v>327</v>
      </c>
      <c r="F22" s="32">
        <v>2</v>
      </c>
      <c r="G22" s="65">
        <v>1</v>
      </c>
      <c r="H22" s="65">
        <v>81433</v>
      </c>
      <c r="I22" s="65" t="s">
        <v>17</v>
      </c>
      <c r="J22" s="66">
        <v>26460028</v>
      </c>
      <c r="K22" s="17" t="s">
        <v>398</v>
      </c>
      <c r="L22" s="15" t="s">
        <v>402</v>
      </c>
      <c r="M22" s="68">
        <v>199900</v>
      </c>
      <c r="N22" s="19">
        <v>0.9</v>
      </c>
      <c r="O22" s="33">
        <f t="shared" si="0"/>
        <v>19990</v>
      </c>
      <c r="P22" s="32" t="s">
        <v>0</v>
      </c>
    </row>
    <row r="23" spans="1:16" x14ac:dyDescent="0.3">
      <c r="A23" s="32" t="s">
        <v>3216</v>
      </c>
      <c r="B23" s="40">
        <v>46093</v>
      </c>
      <c r="C23" s="40">
        <v>46098</v>
      </c>
      <c r="D23" s="32">
        <v>3319</v>
      </c>
      <c r="E23" s="32">
        <v>327</v>
      </c>
      <c r="F23" s="32">
        <v>2</v>
      </c>
      <c r="G23" s="65">
        <v>1</v>
      </c>
      <c r="H23" s="65">
        <v>81433</v>
      </c>
      <c r="I23" s="65" t="s">
        <v>17</v>
      </c>
      <c r="J23" s="66">
        <v>26460037</v>
      </c>
      <c r="K23" s="17" t="s">
        <v>398</v>
      </c>
      <c r="L23" s="15" t="s">
        <v>403</v>
      </c>
      <c r="M23" s="68">
        <v>199900</v>
      </c>
      <c r="N23" s="19">
        <v>0.9</v>
      </c>
      <c r="O23" s="33">
        <f t="shared" si="0"/>
        <v>19990</v>
      </c>
      <c r="P23" s="32" t="s">
        <v>0</v>
      </c>
    </row>
    <row r="24" spans="1:16" x14ac:dyDescent="0.3">
      <c r="A24" s="32" t="s">
        <v>3216</v>
      </c>
      <c r="B24" s="40">
        <v>46093</v>
      </c>
      <c r="C24" s="40">
        <v>46098</v>
      </c>
      <c r="D24" s="32">
        <v>3319</v>
      </c>
      <c r="E24" s="32">
        <v>327</v>
      </c>
      <c r="F24" s="32">
        <v>2</v>
      </c>
      <c r="G24" s="65">
        <v>1</v>
      </c>
      <c r="H24" s="65">
        <v>81433</v>
      </c>
      <c r="I24" s="65" t="s">
        <v>17</v>
      </c>
      <c r="J24" s="66">
        <v>26460046</v>
      </c>
      <c r="K24" s="17" t="s">
        <v>404</v>
      </c>
      <c r="L24" s="15" t="s">
        <v>405</v>
      </c>
      <c r="M24" s="68">
        <v>199900</v>
      </c>
      <c r="N24" s="19">
        <v>0.9</v>
      </c>
      <c r="O24" s="33">
        <f t="shared" si="0"/>
        <v>19990</v>
      </c>
      <c r="P24" s="32" t="s">
        <v>0</v>
      </c>
    </row>
    <row r="25" spans="1:16" x14ac:dyDescent="0.3">
      <c r="A25" s="32" t="s">
        <v>3216</v>
      </c>
      <c r="B25" s="40">
        <v>46093</v>
      </c>
      <c r="C25" s="40">
        <v>46098</v>
      </c>
      <c r="D25" s="32">
        <v>3319</v>
      </c>
      <c r="E25" s="32">
        <v>327</v>
      </c>
      <c r="F25" s="32">
        <v>2</v>
      </c>
      <c r="G25" s="65">
        <v>1</v>
      </c>
      <c r="H25" s="65">
        <v>81433</v>
      </c>
      <c r="I25" s="65" t="s">
        <v>17</v>
      </c>
      <c r="J25" s="66">
        <v>26460055</v>
      </c>
      <c r="K25" s="17" t="s">
        <v>404</v>
      </c>
      <c r="L25" s="15" t="s">
        <v>406</v>
      </c>
      <c r="M25" s="68">
        <v>199900</v>
      </c>
      <c r="N25" s="19">
        <v>0.9</v>
      </c>
      <c r="O25" s="33">
        <f t="shared" si="0"/>
        <v>19990</v>
      </c>
      <c r="P25" s="32" t="s">
        <v>0</v>
      </c>
    </row>
    <row r="26" spans="1:16" x14ac:dyDescent="0.3">
      <c r="A26" s="32" t="s">
        <v>3216</v>
      </c>
      <c r="B26" s="40">
        <v>46093</v>
      </c>
      <c r="C26" s="40">
        <v>46098</v>
      </c>
      <c r="D26" s="32">
        <v>3319</v>
      </c>
      <c r="E26" s="32">
        <v>327</v>
      </c>
      <c r="F26" s="32">
        <v>2</v>
      </c>
      <c r="G26" s="65">
        <v>1</v>
      </c>
      <c r="H26" s="65">
        <v>81433</v>
      </c>
      <c r="I26" s="65" t="s">
        <v>17</v>
      </c>
      <c r="J26" s="66">
        <v>26460064</v>
      </c>
      <c r="K26" s="17" t="s">
        <v>404</v>
      </c>
      <c r="L26" s="15" t="s">
        <v>407</v>
      </c>
      <c r="M26" s="68">
        <v>199900</v>
      </c>
      <c r="N26" s="19">
        <v>0.9</v>
      </c>
      <c r="O26" s="33">
        <f t="shared" si="0"/>
        <v>19990</v>
      </c>
      <c r="P26" s="32" t="s">
        <v>0</v>
      </c>
    </row>
    <row r="27" spans="1:16" x14ac:dyDescent="0.3">
      <c r="A27" s="32" t="s">
        <v>3216</v>
      </c>
      <c r="B27" s="40">
        <v>46093</v>
      </c>
      <c r="C27" s="40">
        <v>46098</v>
      </c>
      <c r="D27" s="32">
        <v>3319</v>
      </c>
      <c r="E27" s="32">
        <v>327</v>
      </c>
      <c r="F27" s="32">
        <v>2</v>
      </c>
      <c r="G27" s="65">
        <v>1</v>
      </c>
      <c r="H27" s="65">
        <v>81433</v>
      </c>
      <c r="I27" s="65" t="s">
        <v>17</v>
      </c>
      <c r="J27" s="66">
        <v>26460073</v>
      </c>
      <c r="K27" s="17" t="s">
        <v>404</v>
      </c>
      <c r="L27" s="15" t="s">
        <v>408</v>
      </c>
      <c r="M27" s="68">
        <v>199900</v>
      </c>
      <c r="N27" s="19">
        <v>0.9</v>
      </c>
      <c r="O27" s="33">
        <f t="shared" si="0"/>
        <v>19990</v>
      </c>
      <c r="P27" s="32" t="s">
        <v>0</v>
      </c>
    </row>
    <row r="28" spans="1:16" x14ac:dyDescent="0.3">
      <c r="A28" s="32" t="s">
        <v>3216</v>
      </c>
      <c r="B28" s="40">
        <v>46093</v>
      </c>
      <c r="C28" s="40">
        <v>46098</v>
      </c>
      <c r="D28" s="32">
        <v>3319</v>
      </c>
      <c r="E28" s="32">
        <v>327</v>
      </c>
      <c r="F28" s="32">
        <v>2</v>
      </c>
      <c r="G28" s="65">
        <v>1</v>
      </c>
      <c r="H28" s="65">
        <v>81433</v>
      </c>
      <c r="I28" s="65" t="s">
        <v>17</v>
      </c>
      <c r="J28" s="66">
        <v>26460082</v>
      </c>
      <c r="K28" s="17" t="s">
        <v>404</v>
      </c>
      <c r="L28" s="15" t="s">
        <v>409</v>
      </c>
      <c r="M28" s="68">
        <v>199900</v>
      </c>
      <c r="N28" s="19">
        <v>0.9</v>
      </c>
      <c r="O28" s="33">
        <f t="shared" si="0"/>
        <v>19990</v>
      </c>
      <c r="P28" s="32" t="s">
        <v>0</v>
      </c>
    </row>
    <row r="29" spans="1:16" x14ac:dyDescent="0.3">
      <c r="A29" s="32" t="s">
        <v>3216</v>
      </c>
      <c r="B29" s="40">
        <v>46093</v>
      </c>
      <c r="C29" s="40">
        <v>46098</v>
      </c>
      <c r="D29" s="32">
        <v>3319</v>
      </c>
      <c r="E29" s="32">
        <v>327</v>
      </c>
      <c r="F29" s="32">
        <v>2</v>
      </c>
      <c r="G29" s="65">
        <v>1</v>
      </c>
      <c r="H29" s="65">
        <v>81433</v>
      </c>
      <c r="I29" s="65" t="s">
        <v>17</v>
      </c>
      <c r="J29" s="66">
        <v>26460411</v>
      </c>
      <c r="K29" s="17" t="s">
        <v>410</v>
      </c>
      <c r="L29" s="15" t="s">
        <v>411</v>
      </c>
      <c r="M29" s="68">
        <v>199900</v>
      </c>
      <c r="N29" s="19">
        <v>0.9</v>
      </c>
      <c r="O29" s="33">
        <f t="shared" si="0"/>
        <v>19990</v>
      </c>
      <c r="P29" s="32" t="s">
        <v>0</v>
      </c>
    </row>
    <row r="30" spans="1:16" x14ac:dyDescent="0.3">
      <c r="A30" s="32" t="s">
        <v>3216</v>
      </c>
      <c r="B30" s="40">
        <v>46093</v>
      </c>
      <c r="C30" s="40">
        <v>46098</v>
      </c>
      <c r="D30" s="32">
        <v>3319</v>
      </c>
      <c r="E30" s="32">
        <v>327</v>
      </c>
      <c r="F30" s="32">
        <v>2</v>
      </c>
      <c r="G30" s="65">
        <v>1</v>
      </c>
      <c r="H30" s="65">
        <v>81433</v>
      </c>
      <c r="I30" s="65" t="s">
        <v>17</v>
      </c>
      <c r="J30" s="66">
        <v>26460420</v>
      </c>
      <c r="K30" s="17" t="s">
        <v>410</v>
      </c>
      <c r="L30" s="15" t="s">
        <v>412</v>
      </c>
      <c r="M30" s="68">
        <v>199900</v>
      </c>
      <c r="N30" s="19">
        <v>0.9</v>
      </c>
      <c r="O30" s="33">
        <f t="shared" si="0"/>
        <v>19990</v>
      </c>
      <c r="P30" s="32" t="s">
        <v>0</v>
      </c>
    </row>
    <row r="31" spans="1:16" x14ac:dyDescent="0.3">
      <c r="A31" s="32" t="s">
        <v>3216</v>
      </c>
      <c r="B31" s="40">
        <v>46093</v>
      </c>
      <c r="C31" s="40">
        <v>46098</v>
      </c>
      <c r="D31" s="32">
        <v>3319</v>
      </c>
      <c r="E31" s="32">
        <v>327</v>
      </c>
      <c r="F31" s="32">
        <v>2</v>
      </c>
      <c r="G31" s="65">
        <v>1</v>
      </c>
      <c r="H31" s="65">
        <v>81433</v>
      </c>
      <c r="I31" s="65" t="s">
        <v>17</v>
      </c>
      <c r="J31" s="66">
        <v>26460439</v>
      </c>
      <c r="K31" s="17" t="s">
        <v>410</v>
      </c>
      <c r="L31" s="15" t="s">
        <v>413</v>
      </c>
      <c r="M31" s="68">
        <v>199900</v>
      </c>
      <c r="N31" s="19">
        <v>0.9</v>
      </c>
      <c r="O31" s="33">
        <f t="shared" si="0"/>
        <v>19990</v>
      </c>
      <c r="P31" s="32" t="s">
        <v>0</v>
      </c>
    </row>
    <row r="32" spans="1:16" x14ac:dyDescent="0.3">
      <c r="A32" s="32" t="s">
        <v>3216</v>
      </c>
      <c r="B32" s="40">
        <v>46093</v>
      </c>
      <c r="C32" s="40">
        <v>46098</v>
      </c>
      <c r="D32" s="32">
        <v>3319</v>
      </c>
      <c r="E32" s="32">
        <v>327</v>
      </c>
      <c r="F32" s="32">
        <v>2</v>
      </c>
      <c r="G32" s="65">
        <v>1</v>
      </c>
      <c r="H32" s="65">
        <v>81433</v>
      </c>
      <c r="I32" s="65" t="s">
        <v>17</v>
      </c>
      <c r="J32" s="66">
        <v>26460448</v>
      </c>
      <c r="K32" s="17" t="s">
        <v>410</v>
      </c>
      <c r="L32" s="15" t="s">
        <v>414</v>
      </c>
      <c r="M32" s="68">
        <v>199900</v>
      </c>
      <c r="N32" s="19">
        <v>0.9</v>
      </c>
      <c r="O32" s="33">
        <f t="shared" si="0"/>
        <v>19990</v>
      </c>
      <c r="P32" s="32" t="s">
        <v>0</v>
      </c>
    </row>
    <row r="33" spans="1:16" x14ac:dyDescent="0.3">
      <c r="A33" s="32" t="s">
        <v>3216</v>
      </c>
      <c r="B33" s="40">
        <v>46093</v>
      </c>
      <c r="C33" s="40">
        <v>46098</v>
      </c>
      <c r="D33" s="32">
        <v>3319</v>
      </c>
      <c r="E33" s="32">
        <v>327</v>
      </c>
      <c r="F33" s="32">
        <v>2</v>
      </c>
      <c r="G33" s="65">
        <v>1</v>
      </c>
      <c r="H33" s="65">
        <v>81433</v>
      </c>
      <c r="I33" s="65" t="s">
        <v>17</v>
      </c>
      <c r="J33" s="66">
        <v>26460457</v>
      </c>
      <c r="K33" s="17" t="s">
        <v>410</v>
      </c>
      <c r="L33" s="15" t="s">
        <v>415</v>
      </c>
      <c r="M33" s="68">
        <v>199900</v>
      </c>
      <c r="N33" s="19">
        <v>0.9</v>
      </c>
      <c r="O33" s="33">
        <f t="shared" si="0"/>
        <v>19990</v>
      </c>
      <c r="P33" s="32" t="s">
        <v>0</v>
      </c>
    </row>
    <row r="34" spans="1:16" x14ac:dyDescent="0.3">
      <c r="A34" s="32" t="s">
        <v>3216</v>
      </c>
      <c r="B34" s="40">
        <v>46093</v>
      </c>
      <c r="C34" s="40">
        <v>46098</v>
      </c>
      <c r="D34" s="32">
        <v>3319</v>
      </c>
      <c r="E34" s="32">
        <v>327</v>
      </c>
      <c r="F34" s="32">
        <v>2</v>
      </c>
      <c r="G34" s="65">
        <v>1</v>
      </c>
      <c r="H34" s="65">
        <v>81433</v>
      </c>
      <c r="I34" s="65" t="s">
        <v>17</v>
      </c>
      <c r="J34" s="66">
        <v>26460466</v>
      </c>
      <c r="K34" s="17" t="s">
        <v>416</v>
      </c>
      <c r="L34" s="15" t="s">
        <v>417</v>
      </c>
      <c r="M34" s="68">
        <v>199900</v>
      </c>
      <c r="N34" s="19">
        <v>0.9</v>
      </c>
      <c r="O34" s="33">
        <f t="shared" si="0"/>
        <v>19990</v>
      </c>
      <c r="P34" s="32" t="s">
        <v>0</v>
      </c>
    </row>
    <row r="35" spans="1:16" x14ac:dyDescent="0.3">
      <c r="A35" s="32" t="s">
        <v>3216</v>
      </c>
      <c r="B35" s="40">
        <v>46093</v>
      </c>
      <c r="C35" s="40">
        <v>46098</v>
      </c>
      <c r="D35" s="32">
        <v>3319</v>
      </c>
      <c r="E35" s="32">
        <v>327</v>
      </c>
      <c r="F35" s="32">
        <v>2</v>
      </c>
      <c r="G35" s="65">
        <v>1</v>
      </c>
      <c r="H35" s="65">
        <v>81433</v>
      </c>
      <c r="I35" s="65" t="s">
        <v>17</v>
      </c>
      <c r="J35" s="66">
        <v>26460475</v>
      </c>
      <c r="K35" s="17" t="s">
        <v>416</v>
      </c>
      <c r="L35" s="15" t="s">
        <v>418</v>
      </c>
      <c r="M35" s="68">
        <v>199900</v>
      </c>
      <c r="N35" s="19">
        <v>0.9</v>
      </c>
      <c r="O35" s="33">
        <f t="shared" si="0"/>
        <v>19990</v>
      </c>
      <c r="P35" s="32" t="s">
        <v>0</v>
      </c>
    </row>
    <row r="36" spans="1:16" x14ac:dyDescent="0.3">
      <c r="A36" s="32" t="s">
        <v>3216</v>
      </c>
      <c r="B36" s="40">
        <v>46093</v>
      </c>
      <c r="C36" s="40">
        <v>46098</v>
      </c>
      <c r="D36" s="32">
        <v>3319</v>
      </c>
      <c r="E36" s="32">
        <v>327</v>
      </c>
      <c r="F36" s="32">
        <v>2</v>
      </c>
      <c r="G36" s="65">
        <v>1</v>
      </c>
      <c r="H36" s="65">
        <v>81433</v>
      </c>
      <c r="I36" s="65" t="s">
        <v>17</v>
      </c>
      <c r="J36" s="66">
        <v>26460484</v>
      </c>
      <c r="K36" s="17" t="s">
        <v>416</v>
      </c>
      <c r="L36" s="15" t="s">
        <v>419</v>
      </c>
      <c r="M36" s="68">
        <v>199900</v>
      </c>
      <c r="N36" s="19">
        <v>0.9</v>
      </c>
      <c r="O36" s="33">
        <f t="shared" si="0"/>
        <v>19990</v>
      </c>
      <c r="P36" s="32" t="s">
        <v>0</v>
      </c>
    </row>
    <row r="37" spans="1:16" x14ac:dyDescent="0.3">
      <c r="A37" s="32" t="s">
        <v>3216</v>
      </c>
      <c r="B37" s="40">
        <v>46093</v>
      </c>
      <c r="C37" s="40">
        <v>46098</v>
      </c>
      <c r="D37" s="32">
        <v>3319</v>
      </c>
      <c r="E37" s="32">
        <v>327</v>
      </c>
      <c r="F37" s="32">
        <v>2</v>
      </c>
      <c r="G37" s="65">
        <v>1</v>
      </c>
      <c r="H37" s="65">
        <v>81433</v>
      </c>
      <c r="I37" s="65" t="s">
        <v>17</v>
      </c>
      <c r="J37" s="66">
        <v>26460493</v>
      </c>
      <c r="K37" s="17" t="s">
        <v>416</v>
      </c>
      <c r="L37" s="15" t="s">
        <v>420</v>
      </c>
      <c r="M37" s="68">
        <v>199900</v>
      </c>
      <c r="N37" s="19">
        <v>0.9</v>
      </c>
      <c r="O37" s="33">
        <f t="shared" si="0"/>
        <v>19990</v>
      </c>
      <c r="P37" s="32" t="s">
        <v>0</v>
      </c>
    </row>
    <row r="38" spans="1:16" x14ac:dyDescent="0.3">
      <c r="A38" s="32" t="s">
        <v>3216</v>
      </c>
      <c r="B38" s="40">
        <v>46093</v>
      </c>
      <c r="C38" s="40">
        <v>46098</v>
      </c>
      <c r="D38" s="32">
        <v>3319</v>
      </c>
      <c r="E38" s="32">
        <v>327</v>
      </c>
      <c r="F38" s="32">
        <v>2</v>
      </c>
      <c r="G38" s="65">
        <v>1</v>
      </c>
      <c r="H38" s="65">
        <v>81433</v>
      </c>
      <c r="I38" s="65" t="s">
        <v>17</v>
      </c>
      <c r="J38" s="66">
        <v>26460500</v>
      </c>
      <c r="K38" s="17" t="s">
        <v>416</v>
      </c>
      <c r="L38" s="15" t="s">
        <v>421</v>
      </c>
      <c r="M38" s="68">
        <v>199900</v>
      </c>
      <c r="N38" s="19">
        <v>0.9</v>
      </c>
      <c r="O38" s="33">
        <f t="shared" si="0"/>
        <v>19990</v>
      </c>
      <c r="P38" s="32" t="s">
        <v>0</v>
      </c>
    </row>
    <row r="39" spans="1:16" x14ac:dyDescent="0.3">
      <c r="A39" s="32" t="s">
        <v>3216</v>
      </c>
      <c r="B39" s="40">
        <v>46093</v>
      </c>
      <c r="C39" s="40">
        <v>46098</v>
      </c>
      <c r="D39" s="32">
        <v>3319</v>
      </c>
      <c r="E39" s="32">
        <v>327</v>
      </c>
      <c r="F39" s="32">
        <v>2</v>
      </c>
      <c r="G39" s="65">
        <v>1</v>
      </c>
      <c r="H39" s="65">
        <v>81433</v>
      </c>
      <c r="I39" s="65" t="s">
        <v>17</v>
      </c>
      <c r="J39" s="66">
        <v>26460519</v>
      </c>
      <c r="K39" s="17" t="s">
        <v>422</v>
      </c>
      <c r="L39" s="15" t="s">
        <v>423</v>
      </c>
      <c r="M39" s="68">
        <v>199900</v>
      </c>
      <c r="N39" s="19">
        <v>0.9</v>
      </c>
      <c r="O39" s="33">
        <f t="shared" si="0"/>
        <v>19990</v>
      </c>
      <c r="P39" s="32" t="s">
        <v>0</v>
      </c>
    </row>
    <row r="40" spans="1:16" x14ac:dyDescent="0.3">
      <c r="A40" s="32" t="s">
        <v>3216</v>
      </c>
      <c r="B40" s="40">
        <v>46093</v>
      </c>
      <c r="C40" s="40">
        <v>46098</v>
      </c>
      <c r="D40" s="32">
        <v>3319</v>
      </c>
      <c r="E40" s="32">
        <v>327</v>
      </c>
      <c r="F40" s="32">
        <v>2</v>
      </c>
      <c r="G40" s="65">
        <v>1</v>
      </c>
      <c r="H40" s="65">
        <v>81433</v>
      </c>
      <c r="I40" s="65" t="s">
        <v>17</v>
      </c>
      <c r="J40" s="66">
        <v>26460528</v>
      </c>
      <c r="K40" s="17" t="s">
        <v>422</v>
      </c>
      <c r="L40" s="15" t="s">
        <v>424</v>
      </c>
      <c r="M40" s="68">
        <v>199900</v>
      </c>
      <c r="N40" s="19">
        <v>0.9</v>
      </c>
      <c r="O40" s="33">
        <f t="shared" si="0"/>
        <v>19990</v>
      </c>
      <c r="P40" s="32" t="s">
        <v>0</v>
      </c>
    </row>
    <row r="41" spans="1:16" x14ac:dyDescent="0.3">
      <c r="A41" s="32" t="s">
        <v>3216</v>
      </c>
      <c r="B41" s="40">
        <v>46093</v>
      </c>
      <c r="C41" s="40">
        <v>46098</v>
      </c>
      <c r="D41" s="32">
        <v>3319</v>
      </c>
      <c r="E41" s="32">
        <v>327</v>
      </c>
      <c r="F41" s="32">
        <v>2</v>
      </c>
      <c r="G41" s="65">
        <v>1</v>
      </c>
      <c r="H41" s="65">
        <v>81433</v>
      </c>
      <c r="I41" s="65" t="s">
        <v>17</v>
      </c>
      <c r="J41" s="66">
        <v>26460537</v>
      </c>
      <c r="K41" s="17" t="s">
        <v>422</v>
      </c>
      <c r="L41" s="15" t="s">
        <v>425</v>
      </c>
      <c r="M41" s="68">
        <v>199900</v>
      </c>
      <c r="N41" s="19">
        <v>0.9</v>
      </c>
      <c r="O41" s="33">
        <f t="shared" si="0"/>
        <v>19990</v>
      </c>
      <c r="P41" s="32" t="s">
        <v>0</v>
      </c>
    </row>
    <row r="42" spans="1:16" x14ac:dyDescent="0.3">
      <c r="A42" s="32" t="s">
        <v>3216</v>
      </c>
      <c r="B42" s="40">
        <v>46093</v>
      </c>
      <c r="C42" s="40">
        <v>46098</v>
      </c>
      <c r="D42" s="32">
        <v>3319</v>
      </c>
      <c r="E42" s="32">
        <v>327</v>
      </c>
      <c r="F42" s="32">
        <v>2</v>
      </c>
      <c r="G42" s="65">
        <v>1</v>
      </c>
      <c r="H42" s="65">
        <v>81433</v>
      </c>
      <c r="I42" s="65" t="s">
        <v>17</v>
      </c>
      <c r="J42" s="66">
        <v>26460546</v>
      </c>
      <c r="K42" s="17" t="s">
        <v>422</v>
      </c>
      <c r="L42" s="15" t="s">
        <v>426</v>
      </c>
      <c r="M42" s="68">
        <v>199900</v>
      </c>
      <c r="N42" s="19">
        <v>0.9</v>
      </c>
      <c r="O42" s="33">
        <f t="shared" si="0"/>
        <v>19990</v>
      </c>
      <c r="P42" s="32" t="s">
        <v>0</v>
      </c>
    </row>
    <row r="43" spans="1:16" x14ac:dyDescent="0.3">
      <c r="A43" s="32" t="s">
        <v>3216</v>
      </c>
      <c r="B43" s="40">
        <v>46093</v>
      </c>
      <c r="C43" s="40">
        <v>46098</v>
      </c>
      <c r="D43" s="32">
        <v>3319</v>
      </c>
      <c r="E43" s="32">
        <v>327</v>
      </c>
      <c r="F43" s="32">
        <v>2</v>
      </c>
      <c r="G43" s="65">
        <v>1</v>
      </c>
      <c r="H43" s="65">
        <v>81433</v>
      </c>
      <c r="I43" s="65" t="s">
        <v>17</v>
      </c>
      <c r="J43" s="66">
        <v>26460555</v>
      </c>
      <c r="K43" s="17" t="s">
        <v>422</v>
      </c>
      <c r="L43" s="15" t="s">
        <v>427</v>
      </c>
      <c r="M43" s="68">
        <v>199900</v>
      </c>
      <c r="N43" s="19">
        <v>0.9</v>
      </c>
      <c r="O43" s="33">
        <f t="shared" si="0"/>
        <v>19990</v>
      </c>
      <c r="P43" s="32" t="s">
        <v>0</v>
      </c>
    </row>
    <row r="44" spans="1:16" x14ac:dyDescent="0.3">
      <c r="A44" s="32" t="s">
        <v>3216</v>
      </c>
      <c r="B44" s="40">
        <v>46093</v>
      </c>
      <c r="C44" s="40">
        <v>46098</v>
      </c>
      <c r="D44" s="32">
        <v>3319</v>
      </c>
      <c r="E44" s="32">
        <v>327</v>
      </c>
      <c r="F44" s="32">
        <v>2</v>
      </c>
      <c r="G44" s="65">
        <v>1</v>
      </c>
      <c r="H44" s="65">
        <v>81433</v>
      </c>
      <c r="I44" s="65" t="s">
        <v>17</v>
      </c>
      <c r="J44" s="66">
        <v>26460868</v>
      </c>
      <c r="K44" s="17" t="s">
        <v>428</v>
      </c>
      <c r="L44" s="15" t="s">
        <v>429</v>
      </c>
      <c r="M44" s="68">
        <v>259900</v>
      </c>
      <c r="N44" s="19">
        <v>0.9</v>
      </c>
      <c r="O44" s="33">
        <f t="shared" si="0"/>
        <v>25990</v>
      </c>
      <c r="P44" s="32" t="s">
        <v>0</v>
      </c>
    </row>
    <row r="45" spans="1:16" x14ac:dyDescent="0.3">
      <c r="A45" s="32" t="s">
        <v>3216</v>
      </c>
      <c r="B45" s="40">
        <v>46093</v>
      </c>
      <c r="C45" s="40">
        <v>46098</v>
      </c>
      <c r="D45" s="32">
        <v>3319</v>
      </c>
      <c r="E45" s="32">
        <v>327</v>
      </c>
      <c r="F45" s="32">
        <v>2</v>
      </c>
      <c r="G45" s="65">
        <v>1</v>
      </c>
      <c r="H45" s="65">
        <v>81433</v>
      </c>
      <c r="I45" s="65" t="s">
        <v>17</v>
      </c>
      <c r="J45" s="66">
        <v>26460877</v>
      </c>
      <c r="K45" s="17" t="s">
        <v>428</v>
      </c>
      <c r="L45" s="15" t="s">
        <v>430</v>
      </c>
      <c r="M45" s="68">
        <v>259900</v>
      </c>
      <c r="N45" s="19">
        <v>0.9</v>
      </c>
      <c r="O45" s="33">
        <f t="shared" si="0"/>
        <v>25990</v>
      </c>
      <c r="P45" s="32" t="s">
        <v>0</v>
      </c>
    </row>
    <row r="46" spans="1:16" x14ac:dyDescent="0.3">
      <c r="A46" s="32" t="s">
        <v>3216</v>
      </c>
      <c r="B46" s="40">
        <v>46093</v>
      </c>
      <c r="C46" s="40">
        <v>46098</v>
      </c>
      <c r="D46" s="32">
        <v>3319</v>
      </c>
      <c r="E46" s="32">
        <v>327</v>
      </c>
      <c r="F46" s="32">
        <v>2</v>
      </c>
      <c r="G46" s="65">
        <v>1</v>
      </c>
      <c r="H46" s="65">
        <v>81433</v>
      </c>
      <c r="I46" s="65" t="s">
        <v>17</v>
      </c>
      <c r="J46" s="66">
        <v>26460886</v>
      </c>
      <c r="K46" s="17" t="s">
        <v>428</v>
      </c>
      <c r="L46" s="15" t="s">
        <v>431</v>
      </c>
      <c r="M46" s="68">
        <v>259900</v>
      </c>
      <c r="N46" s="19">
        <v>0.9</v>
      </c>
      <c r="O46" s="33">
        <f t="shared" si="0"/>
        <v>25990</v>
      </c>
      <c r="P46" s="32" t="s">
        <v>0</v>
      </c>
    </row>
    <row r="47" spans="1:16" x14ac:dyDescent="0.3">
      <c r="A47" s="32" t="s">
        <v>3216</v>
      </c>
      <c r="B47" s="40">
        <v>46093</v>
      </c>
      <c r="C47" s="40">
        <v>46098</v>
      </c>
      <c r="D47" s="32">
        <v>3319</v>
      </c>
      <c r="E47" s="32">
        <v>327</v>
      </c>
      <c r="F47" s="32">
        <v>2</v>
      </c>
      <c r="G47" s="65">
        <v>1</v>
      </c>
      <c r="H47" s="65">
        <v>81433</v>
      </c>
      <c r="I47" s="65" t="s">
        <v>17</v>
      </c>
      <c r="J47" s="66">
        <v>26460895</v>
      </c>
      <c r="K47" s="17" t="s">
        <v>428</v>
      </c>
      <c r="L47" s="15" t="s">
        <v>432</v>
      </c>
      <c r="M47" s="68">
        <v>259900</v>
      </c>
      <c r="N47" s="19">
        <v>0.9</v>
      </c>
      <c r="O47" s="33">
        <f t="shared" si="0"/>
        <v>25990</v>
      </c>
      <c r="P47" s="32" t="s">
        <v>0</v>
      </c>
    </row>
    <row r="48" spans="1:16" x14ac:dyDescent="0.3">
      <c r="A48" s="32" t="s">
        <v>3216</v>
      </c>
      <c r="B48" s="40">
        <v>46093</v>
      </c>
      <c r="C48" s="40">
        <v>46098</v>
      </c>
      <c r="D48" s="32">
        <v>3319</v>
      </c>
      <c r="E48" s="32">
        <v>327</v>
      </c>
      <c r="F48" s="32">
        <v>2</v>
      </c>
      <c r="G48" s="65">
        <v>1</v>
      </c>
      <c r="H48" s="65">
        <v>81433</v>
      </c>
      <c r="I48" s="65" t="s">
        <v>17</v>
      </c>
      <c r="J48" s="66">
        <v>26460902</v>
      </c>
      <c r="K48" s="17" t="s">
        <v>428</v>
      </c>
      <c r="L48" s="15" t="s">
        <v>433</v>
      </c>
      <c r="M48" s="68">
        <v>259900</v>
      </c>
      <c r="N48" s="19">
        <v>0.9</v>
      </c>
      <c r="O48" s="33">
        <f t="shared" si="0"/>
        <v>25990</v>
      </c>
      <c r="P48" s="32" t="s">
        <v>0</v>
      </c>
    </row>
    <row r="49" spans="1:16" x14ac:dyDescent="0.3">
      <c r="A49" s="32" t="s">
        <v>3216</v>
      </c>
      <c r="B49" s="40">
        <v>46093</v>
      </c>
      <c r="C49" s="40">
        <v>46098</v>
      </c>
      <c r="D49" s="32">
        <v>3319</v>
      </c>
      <c r="E49" s="32">
        <v>327</v>
      </c>
      <c r="F49" s="32">
        <v>2</v>
      </c>
      <c r="G49" s="65">
        <v>1</v>
      </c>
      <c r="H49" s="65">
        <v>81433</v>
      </c>
      <c r="I49" s="65" t="s">
        <v>17</v>
      </c>
      <c r="J49" s="66">
        <v>26460911</v>
      </c>
      <c r="K49" s="17" t="s">
        <v>434</v>
      </c>
      <c r="L49" s="15" t="s">
        <v>435</v>
      </c>
      <c r="M49" s="68">
        <v>259900</v>
      </c>
      <c r="N49" s="19">
        <v>0.9</v>
      </c>
      <c r="O49" s="33">
        <f t="shared" si="0"/>
        <v>25990</v>
      </c>
      <c r="P49" s="32" t="s">
        <v>0</v>
      </c>
    </row>
    <row r="50" spans="1:16" x14ac:dyDescent="0.3">
      <c r="A50" s="32" t="s">
        <v>3216</v>
      </c>
      <c r="B50" s="40">
        <v>46093</v>
      </c>
      <c r="C50" s="40">
        <v>46098</v>
      </c>
      <c r="D50" s="32">
        <v>3319</v>
      </c>
      <c r="E50" s="32">
        <v>327</v>
      </c>
      <c r="F50" s="32">
        <v>2</v>
      </c>
      <c r="G50" s="65">
        <v>1</v>
      </c>
      <c r="H50" s="65">
        <v>81433</v>
      </c>
      <c r="I50" s="65" t="s">
        <v>17</v>
      </c>
      <c r="J50" s="66">
        <v>26460920</v>
      </c>
      <c r="K50" s="17" t="s">
        <v>434</v>
      </c>
      <c r="L50" s="15" t="s">
        <v>436</v>
      </c>
      <c r="M50" s="68">
        <v>259900</v>
      </c>
      <c r="N50" s="19">
        <v>0.9</v>
      </c>
      <c r="O50" s="33">
        <f t="shared" si="0"/>
        <v>25990</v>
      </c>
      <c r="P50" s="32" t="s">
        <v>0</v>
      </c>
    </row>
    <row r="51" spans="1:16" x14ac:dyDescent="0.3">
      <c r="A51" s="32" t="s">
        <v>3216</v>
      </c>
      <c r="B51" s="40">
        <v>46093</v>
      </c>
      <c r="C51" s="40">
        <v>46098</v>
      </c>
      <c r="D51" s="32">
        <v>3319</v>
      </c>
      <c r="E51" s="32">
        <v>327</v>
      </c>
      <c r="F51" s="32">
        <v>2</v>
      </c>
      <c r="G51" s="65">
        <v>1</v>
      </c>
      <c r="H51" s="65">
        <v>81433</v>
      </c>
      <c r="I51" s="65" t="s">
        <v>17</v>
      </c>
      <c r="J51" s="66">
        <v>26460948</v>
      </c>
      <c r="K51" s="17" t="s">
        <v>434</v>
      </c>
      <c r="L51" s="15" t="s">
        <v>437</v>
      </c>
      <c r="M51" s="68">
        <v>259900</v>
      </c>
      <c r="N51" s="19">
        <v>0.9</v>
      </c>
      <c r="O51" s="33">
        <f t="shared" si="0"/>
        <v>25990</v>
      </c>
      <c r="P51" s="32" t="s">
        <v>0</v>
      </c>
    </row>
    <row r="52" spans="1:16" x14ac:dyDescent="0.3">
      <c r="A52" s="32" t="s">
        <v>3216</v>
      </c>
      <c r="B52" s="40">
        <v>46093</v>
      </c>
      <c r="C52" s="40">
        <v>46098</v>
      </c>
      <c r="D52" s="32">
        <v>3319</v>
      </c>
      <c r="E52" s="32">
        <v>327</v>
      </c>
      <c r="F52" s="32">
        <v>2</v>
      </c>
      <c r="G52" s="65">
        <v>1</v>
      </c>
      <c r="H52" s="65">
        <v>81433</v>
      </c>
      <c r="I52" s="65" t="s">
        <v>17</v>
      </c>
      <c r="J52" s="66">
        <v>26460957</v>
      </c>
      <c r="K52" s="17" t="s">
        <v>434</v>
      </c>
      <c r="L52" s="15" t="s">
        <v>438</v>
      </c>
      <c r="M52" s="68">
        <v>259900</v>
      </c>
      <c r="N52" s="19">
        <v>0.9</v>
      </c>
      <c r="O52" s="33">
        <f t="shared" si="0"/>
        <v>25990</v>
      </c>
      <c r="P52" s="32" t="s">
        <v>0</v>
      </c>
    </row>
    <row r="53" spans="1:16" x14ac:dyDescent="0.3">
      <c r="A53" s="32" t="s">
        <v>3216</v>
      </c>
      <c r="B53" s="40">
        <v>46093</v>
      </c>
      <c r="C53" s="40">
        <v>46098</v>
      </c>
      <c r="D53" s="32">
        <v>3319</v>
      </c>
      <c r="E53" s="32">
        <v>327</v>
      </c>
      <c r="F53" s="32">
        <v>2</v>
      </c>
      <c r="G53" s="65">
        <v>1</v>
      </c>
      <c r="H53" s="65">
        <v>81433</v>
      </c>
      <c r="I53" s="65" t="s">
        <v>17</v>
      </c>
      <c r="J53" s="66">
        <v>26461090</v>
      </c>
      <c r="K53" s="17" t="s">
        <v>439</v>
      </c>
      <c r="L53" s="15" t="s">
        <v>440</v>
      </c>
      <c r="M53" s="68">
        <v>199900</v>
      </c>
      <c r="N53" s="19">
        <v>0.9</v>
      </c>
      <c r="O53" s="33">
        <f t="shared" si="0"/>
        <v>19990</v>
      </c>
      <c r="P53" s="32" t="s">
        <v>0</v>
      </c>
    </row>
    <row r="54" spans="1:16" x14ac:dyDescent="0.3">
      <c r="A54" s="32" t="s">
        <v>3216</v>
      </c>
      <c r="B54" s="40">
        <v>46093</v>
      </c>
      <c r="C54" s="40">
        <v>46098</v>
      </c>
      <c r="D54" s="32">
        <v>3319</v>
      </c>
      <c r="E54" s="32">
        <v>327</v>
      </c>
      <c r="F54" s="32">
        <v>2</v>
      </c>
      <c r="G54" s="65">
        <v>1</v>
      </c>
      <c r="H54" s="65">
        <v>81433</v>
      </c>
      <c r="I54" s="65" t="s">
        <v>17</v>
      </c>
      <c r="J54" s="66">
        <v>26461107</v>
      </c>
      <c r="K54" s="17" t="s">
        <v>439</v>
      </c>
      <c r="L54" s="15" t="s">
        <v>441</v>
      </c>
      <c r="M54" s="68">
        <v>199900</v>
      </c>
      <c r="N54" s="19">
        <v>0.9</v>
      </c>
      <c r="O54" s="33">
        <f t="shared" si="0"/>
        <v>19990</v>
      </c>
      <c r="P54" s="32" t="s">
        <v>0</v>
      </c>
    </row>
    <row r="55" spans="1:16" x14ac:dyDescent="0.3">
      <c r="A55" s="32" t="s">
        <v>3216</v>
      </c>
      <c r="B55" s="40">
        <v>46093</v>
      </c>
      <c r="C55" s="40">
        <v>46098</v>
      </c>
      <c r="D55" s="32">
        <v>3319</v>
      </c>
      <c r="E55" s="32">
        <v>327</v>
      </c>
      <c r="F55" s="32">
        <v>2</v>
      </c>
      <c r="G55" s="65">
        <v>1</v>
      </c>
      <c r="H55" s="65">
        <v>81433</v>
      </c>
      <c r="I55" s="31" t="s">
        <v>17</v>
      </c>
      <c r="J55" s="66">
        <v>26461116</v>
      </c>
      <c r="K55" s="17" t="s">
        <v>439</v>
      </c>
      <c r="L55" s="15" t="s">
        <v>442</v>
      </c>
      <c r="M55" s="68">
        <v>199900</v>
      </c>
      <c r="N55" s="19">
        <v>0.9</v>
      </c>
      <c r="O55" s="33">
        <f t="shared" si="0"/>
        <v>19990</v>
      </c>
      <c r="P55" s="32" t="s">
        <v>0</v>
      </c>
    </row>
    <row r="56" spans="1:16" x14ac:dyDescent="0.3">
      <c r="A56" s="32" t="s">
        <v>3216</v>
      </c>
      <c r="B56" s="40">
        <v>46093</v>
      </c>
      <c r="C56" s="40">
        <v>46098</v>
      </c>
      <c r="D56" s="32">
        <v>3319</v>
      </c>
      <c r="E56" s="32">
        <v>327</v>
      </c>
      <c r="F56" s="32">
        <v>2</v>
      </c>
      <c r="G56" s="65">
        <v>1</v>
      </c>
      <c r="H56" s="65">
        <v>81433</v>
      </c>
      <c r="I56" s="31" t="s">
        <v>17</v>
      </c>
      <c r="J56" s="66">
        <v>26461125</v>
      </c>
      <c r="K56" s="17" t="s">
        <v>439</v>
      </c>
      <c r="L56" s="15" t="s">
        <v>443</v>
      </c>
      <c r="M56" s="68">
        <v>199900</v>
      </c>
      <c r="N56" s="19">
        <v>0.9</v>
      </c>
      <c r="O56" s="33">
        <f t="shared" si="0"/>
        <v>19990</v>
      </c>
      <c r="P56" s="32" t="s">
        <v>0</v>
      </c>
    </row>
    <row r="57" spans="1:16" x14ac:dyDescent="0.3">
      <c r="A57" s="32" t="s">
        <v>3216</v>
      </c>
      <c r="B57" s="40">
        <v>46093</v>
      </c>
      <c r="C57" s="40">
        <v>46098</v>
      </c>
      <c r="D57" s="32">
        <v>3319</v>
      </c>
      <c r="E57" s="32">
        <v>327</v>
      </c>
      <c r="F57" s="32">
        <v>2</v>
      </c>
      <c r="G57" s="65">
        <v>1</v>
      </c>
      <c r="H57" s="65">
        <v>81433</v>
      </c>
      <c r="I57" s="31" t="s">
        <v>17</v>
      </c>
      <c r="J57" s="66">
        <v>26461134</v>
      </c>
      <c r="K57" s="17" t="s">
        <v>439</v>
      </c>
      <c r="L57" s="15" t="s">
        <v>444</v>
      </c>
      <c r="M57" s="68">
        <v>199900</v>
      </c>
      <c r="N57" s="19">
        <v>0.9</v>
      </c>
      <c r="O57" s="33">
        <f t="shared" si="0"/>
        <v>19990</v>
      </c>
      <c r="P57" s="32" t="s">
        <v>0</v>
      </c>
    </row>
    <row r="58" spans="1:16" x14ac:dyDescent="0.3">
      <c r="A58" s="32" t="s">
        <v>3216</v>
      </c>
      <c r="B58" s="40">
        <v>46093</v>
      </c>
      <c r="C58" s="40">
        <v>46098</v>
      </c>
      <c r="D58" s="32">
        <v>3319</v>
      </c>
      <c r="E58" s="32">
        <v>327</v>
      </c>
      <c r="F58" s="32">
        <v>2</v>
      </c>
      <c r="G58" s="65">
        <v>1</v>
      </c>
      <c r="H58" s="65">
        <v>81433</v>
      </c>
      <c r="I58" s="31" t="s">
        <v>17</v>
      </c>
      <c r="J58" s="66">
        <v>26461143</v>
      </c>
      <c r="K58" s="17" t="s">
        <v>445</v>
      </c>
      <c r="L58" s="15" t="s">
        <v>446</v>
      </c>
      <c r="M58" s="68">
        <v>199900</v>
      </c>
      <c r="N58" s="19">
        <v>0.9</v>
      </c>
      <c r="O58" s="33">
        <f t="shared" si="0"/>
        <v>19990</v>
      </c>
      <c r="P58" s="32" t="s">
        <v>0</v>
      </c>
    </row>
    <row r="59" spans="1:16" x14ac:dyDescent="0.3">
      <c r="A59" s="32" t="s">
        <v>3216</v>
      </c>
      <c r="B59" s="40">
        <v>46093</v>
      </c>
      <c r="C59" s="40">
        <v>46098</v>
      </c>
      <c r="D59" s="32">
        <v>3319</v>
      </c>
      <c r="E59" s="32">
        <v>327</v>
      </c>
      <c r="F59" s="32">
        <v>2</v>
      </c>
      <c r="G59" s="65">
        <v>1</v>
      </c>
      <c r="H59" s="65">
        <v>81433</v>
      </c>
      <c r="I59" s="31" t="s">
        <v>17</v>
      </c>
      <c r="J59" s="66">
        <v>26461152</v>
      </c>
      <c r="K59" s="17" t="s">
        <v>445</v>
      </c>
      <c r="L59" s="15" t="s">
        <v>447</v>
      </c>
      <c r="M59" s="68">
        <v>199900</v>
      </c>
      <c r="N59" s="19">
        <v>0.9</v>
      </c>
      <c r="O59" s="33">
        <f t="shared" si="0"/>
        <v>19990</v>
      </c>
      <c r="P59" s="32" t="s">
        <v>0</v>
      </c>
    </row>
    <row r="60" spans="1:16" x14ac:dyDescent="0.3">
      <c r="A60" s="32" t="s">
        <v>3216</v>
      </c>
      <c r="B60" s="40">
        <v>46093</v>
      </c>
      <c r="C60" s="40">
        <v>46098</v>
      </c>
      <c r="D60" s="32">
        <v>3319</v>
      </c>
      <c r="E60" s="32">
        <v>327</v>
      </c>
      <c r="F60" s="32">
        <v>2</v>
      </c>
      <c r="G60" s="31">
        <v>1</v>
      </c>
      <c r="H60" s="31">
        <v>81433</v>
      </c>
      <c r="I60" s="31" t="s">
        <v>17</v>
      </c>
      <c r="J60" s="67">
        <v>26461161</v>
      </c>
      <c r="K60" s="18" t="s">
        <v>445</v>
      </c>
      <c r="L60" s="14" t="s">
        <v>448</v>
      </c>
      <c r="M60" s="69">
        <v>199900</v>
      </c>
      <c r="N60" s="19">
        <v>0.9</v>
      </c>
      <c r="O60" s="33">
        <f t="shared" si="0"/>
        <v>19990</v>
      </c>
      <c r="P60" s="32" t="s">
        <v>0</v>
      </c>
    </row>
    <row r="61" spans="1:16" x14ac:dyDescent="0.3">
      <c r="A61" s="32" t="s">
        <v>3216</v>
      </c>
      <c r="B61" s="40">
        <v>46093</v>
      </c>
      <c r="C61" s="40">
        <v>46098</v>
      </c>
      <c r="D61" s="32">
        <v>3319</v>
      </c>
      <c r="E61" s="32">
        <v>327</v>
      </c>
      <c r="F61" s="32">
        <v>2</v>
      </c>
      <c r="G61" s="31">
        <v>1</v>
      </c>
      <c r="H61" s="31">
        <v>81433</v>
      </c>
      <c r="I61" s="31" t="s">
        <v>17</v>
      </c>
      <c r="J61" s="67">
        <v>26461170</v>
      </c>
      <c r="K61" s="18" t="s">
        <v>445</v>
      </c>
      <c r="L61" s="14" t="s">
        <v>449</v>
      </c>
      <c r="M61" s="69">
        <v>199900</v>
      </c>
      <c r="N61" s="19">
        <v>0.9</v>
      </c>
      <c r="O61" s="33">
        <f t="shared" si="0"/>
        <v>19990</v>
      </c>
      <c r="P61" s="32" t="s">
        <v>0</v>
      </c>
    </row>
    <row r="62" spans="1:16" x14ac:dyDescent="0.3">
      <c r="A62" s="32" t="s">
        <v>3216</v>
      </c>
      <c r="B62" s="40">
        <v>46093</v>
      </c>
      <c r="C62" s="40">
        <v>46098</v>
      </c>
      <c r="D62" s="32">
        <v>3319</v>
      </c>
      <c r="E62" s="32">
        <v>327</v>
      </c>
      <c r="F62" s="32">
        <v>2</v>
      </c>
      <c r="G62" s="31">
        <v>1</v>
      </c>
      <c r="H62" s="31">
        <v>81433</v>
      </c>
      <c r="I62" s="31" t="s">
        <v>17</v>
      </c>
      <c r="J62" s="67">
        <v>26461189</v>
      </c>
      <c r="K62" s="18" t="s">
        <v>445</v>
      </c>
      <c r="L62" s="14" t="s">
        <v>450</v>
      </c>
      <c r="M62" s="69">
        <v>199900</v>
      </c>
      <c r="N62" s="19">
        <v>0.9</v>
      </c>
      <c r="O62" s="33">
        <f t="shared" si="0"/>
        <v>19990</v>
      </c>
      <c r="P62" s="32" t="s">
        <v>0</v>
      </c>
    </row>
    <row r="63" spans="1:16" x14ac:dyDescent="0.3">
      <c r="A63" s="32" t="s">
        <v>3216</v>
      </c>
      <c r="B63" s="40">
        <v>46093</v>
      </c>
      <c r="C63" s="40">
        <v>46098</v>
      </c>
      <c r="D63" s="32">
        <v>3319</v>
      </c>
      <c r="E63" s="32">
        <v>327</v>
      </c>
      <c r="F63" s="32">
        <v>2</v>
      </c>
      <c r="G63" s="31">
        <v>1</v>
      </c>
      <c r="H63" s="31">
        <v>81433</v>
      </c>
      <c r="I63" s="31" t="s">
        <v>17</v>
      </c>
      <c r="J63" s="67">
        <v>26461330</v>
      </c>
      <c r="K63" s="18" t="s">
        <v>451</v>
      </c>
      <c r="L63" s="14" t="s">
        <v>452</v>
      </c>
      <c r="M63" s="69">
        <v>199900</v>
      </c>
      <c r="N63" s="19">
        <v>0.9</v>
      </c>
      <c r="O63" s="33">
        <f t="shared" si="0"/>
        <v>19990</v>
      </c>
      <c r="P63" s="32" t="s">
        <v>0</v>
      </c>
    </row>
    <row r="64" spans="1:16" x14ac:dyDescent="0.3">
      <c r="A64" s="32" t="s">
        <v>3216</v>
      </c>
      <c r="B64" s="40">
        <v>46093</v>
      </c>
      <c r="C64" s="40">
        <v>46098</v>
      </c>
      <c r="D64" s="32">
        <v>3319</v>
      </c>
      <c r="E64" s="32">
        <v>327</v>
      </c>
      <c r="F64" s="32">
        <v>2</v>
      </c>
      <c r="G64" s="31">
        <v>1</v>
      </c>
      <c r="H64" s="31">
        <v>81433</v>
      </c>
      <c r="I64" s="31" t="s">
        <v>17</v>
      </c>
      <c r="J64" s="67">
        <v>26461349</v>
      </c>
      <c r="K64" s="18" t="s">
        <v>451</v>
      </c>
      <c r="L64" s="14" t="s">
        <v>453</v>
      </c>
      <c r="M64" s="69">
        <v>199900</v>
      </c>
      <c r="N64" s="19">
        <v>0.9</v>
      </c>
      <c r="O64" s="33">
        <f t="shared" si="0"/>
        <v>19990</v>
      </c>
      <c r="P64" s="32" t="s">
        <v>0</v>
      </c>
    </row>
    <row r="65" spans="1:16" x14ac:dyDescent="0.3">
      <c r="A65" s="32" t="s">
        <v>3216</v>
      </c>
      <c r="B65" s="40">
        <v>46093</v>
      </c>
      <c r="C65" s="40">
        <v>46098</v>
      </c>
      <c r="D65" s="32">
        <v>3319</v>
      </c>
      <c r="E65" s="32">
        <v>327</v>
      </c>
      <c r="F65" s="32">
        <v>2</v>
      </c>
      <c r="G65" s="31">
        <v>1</v>
      </c>
      <c r="H65" s="31">
        <v>81433</v>
      </c>
      <c r="I65" s="31" t="s">
        <v>17</v>
      </c>
      <c r="J65" s="67">
        <v>26461358</v>
      </c>
      <c r="K65" s="18" t="s">
        <v>451</v>
      </c>
      <c r="L65" s="14" t="s">
        <v>454</v>
      </c>
      <c r="M65" s="69">
        <v>199900</v>
      </c>
      <c r="N65" s="19">
        <v>0.9</v>
      </c>
      <c r="O65" s="33">
        <f t="shared" si="0"/>
        <v>19990</v>
      </c>
      <c r="P65" s="32" t="s">
        <v>0</v>
      </c>
    </row>
    <row r="66" spans="1:16" x14ac:dyDescent="0.3">
      <c r="A66" s="32" t="s">
        <v>3216</v>
      </c>
      <c r="B66" s="40">
        <v>46093</v>
      </c>
      <c r="C66" s="40">
        <v>46098</v>
      </c>
      <c r="D66" s="32">
        <v>3319</v>
      </c>
      <c r="E66" s="32">
        <v>327</v>
      </c>
      <c r="F66" s="32">
        <v>2</v>
      </c>
      <c r="G66" s="31">
        <v>1</v>
      </c>
      <c r="H66" s="31">
        <v>81433</v>
      </c>
      <c r="I66" s="31" t="s">
        <v>17</v>
      </c>
      <c r="J66" s="67">
        <v>26461367</v>
      </c>
      <c r="K66" s="18" t="s">
        <v>451</v>
      </c>
      <c r="L66" s="14" t="s">
        <v>455</v>
      </c>
      <c r="M66" s="69">
        <v>199900</v>
      </c>
      <c r="N66" s="19">
        <v>0.9</v>
      </c>
      <c r="O66" s="33">
        <f t="shared" si="0"/>
        <v>19990</v>
      </c>
      <c r="P66" s="32" t="s">
        <v>0</v>
      </c>
    </row>
    <row r="67" spans="1:16" x14ac:dyDescent="0.3">
      <c r="A67" s="32" t="s">
        <v>3216</v>
      </c>
      <c r="B67" s="40">
        <v>46093</v>
      </c>
      <c r="C67" s="40">
        <v>46098</v>
      </c>
      <c r="D67" s="32">
        <v>3319</v>
      </c>
      <c r="E67" s="32">
        <v>327</v>
      </c>
      <c r="F67" s="32">
        <v>2</v>
      </c>
      <c r="G67" s="31">
        <v>1</v>
      </c>
      <c r="H67" s="31">
        <v>81433</v>
      </c>
      <c r="I67" s="31" t="s">
        <v>17</v>
      </c>
      <c r="J67" s="67">
        <v>26461376</v>
      </c>
      <c r="K67" s="18" t="s">
        <v>451</v>
      </c>
      <c r="L67" s="14" t="s">
        <v>456</v>
      </c>
      <c r="M67" s="69">
        <v>199900</v>
      </c>
      <c r="N67" s="19">
        <v>0.9</v>
      </c>
      <c r="O67" s="33">
        <f t="shared" ref="O67:O130" si="1">M67*10%</f>
        <v>19990</v>
      </c>
      <c r="P67" s="32" t="s">
        <v>0</v>
      </c>
    </row>
    <row r="68" spans="1:16" x14ac:dyDescent="0.3">
      <c r="A68" s="32" t="s">
        <v>3216</v>
      </c>
      <c r="B68" s="40">
        <v>46093</v>
      </c>
      <c r="C68" s="40">
        <v>46098</v>
      </c>
      <c r="D68" s="32">
        <v>3319</v>
      </c>
      <c r="E68" s="32">
        <v>327</v>
      </c>
      <c r="F68" s="32">
        <v>2</v>
      </c>
      <c r="G68" s="31">
        <v>1</v>
      </c>
      <c r="H68" s="31">
        <v>81433</v>
      </c>
      <c r="I68" s="31" t="s">
        <v>17</v>
      </c>
      <c r="J68" s="67">
        <v>26461385</v>
      </c>
      <c r="K68" s="18" t="s">
        <v>457</v>
      </c>
      <c r="L68" s="14" t="s">
        <v>458</v>
      </c>
      <c r="M68" s="69">
        <v>199900</v>
      </c>
      <c r="N68" s="19">
        <v>0.9</v>
      </c>
      <c r="O68" s="33">
        <f t="shared" si="1"/>
        <v>19990</v>
      </c>
      <c r="P68" s="32" t="s">
        <v>0</v>
      </c>
    </row>
    <row r="69" spans="1:16" x14ac:dyDescent="0.3">
      <c r="A69" s="32" t="s">
        <v>3216</v>
      </c>
      <c r="B69" s="40">
        <v>46093</v>
      </c>
      <c r="C69" s="40">
        <v>46098</v>
      </c>
      <c r="D69" s="32">
        <v>3319</v>
      </c>
      <c r="E69" s="32">
        <v>327</v>
      </c>
      <c r="F69" s="32">
        <v>2</v>
      </c>
      <c r="G69" s="31">
        <v>1</v>
      </c>
      <c r="H69" s="31">
        <v>81433</v>
      </c>
      <c r="I69" s="31" t="s">
        <v>17</v>
      </c>
      <c r="J69" s="67">
        <v>26461394</v>
      </c>
      <c r="K69" s="18" t="s">
        <v>457</v>
      </c>
      <c r="L69" s="14" t="s">
        <v>459</v>
      </c>
      <c r="M69" s="69">
        <v>199900</v>
      </c>
      <c r="N69" s="19">
        <v>0.9</v>
      </c>
      <c r="O69" s="33">
        <f t="shared" si="1"/>
        <v>19990</v>
      </c>
      <c r="P69" s="32" t="s">
        <v>0</v>
      </c>
    </row>
    <row r="70" spans="1:16" x14ac:dyDescent="0.3">
      <c r="A70" s="32" t="s">
        <v>3216</v>
      </c>
      <c r="B70" s="40">
        <v>46093</v>
      </c>
      <c r="C70" s="40">
        <v>46098</v>
      </c>
      <c r="D70" s="32">
        <v>3319</v>
      </c>
      <c r="E70" s="32">
        <v>327</v>
      </c>
      <c r="F70" s="32">
        <v>2</v>
      </c>
      <c r="G70" s="31">
        <v>1</v>
      </c>
      <c r="H70" s="31">
        <v>81433</v>
      </c>
      <c r="I70" s="31" t="s">
        <v>17</v>
      </c>
      <c r="J70" s="67">
        <v>26461401</v>
      </c>
      <c r="K70" s="18" t="s">
        <v>457</v>
      </c>
      <c r="L70" s="14" t="s">
        <v>460</v>
      </c>
      <c r="M70" s="69">
        <v>199900</v>
      </c>
      <c r="N70" s="19">
        <v>0.9</v>
      </c>
      <c r="O70" s="33">
        <f t="shared" si="1"/>
        <v>19990</v>
      </c>
      <c r="P70" s="32" t="s">
        <v>0</v>
      </c>
    </row>
    <row r="71" spans="1:16" x14ac:dyDescent="0.3">
      <c r="A71" s="32" t="s">
        <v>3216</v>
      </c>
      <c r="B71" s="40">
        <v>46093</v>
      </c>
      <c r="C71" s="40">
        <v>46098</v>
      </c>
      <c r="D71" s="32">
        <v>3319</v>
      </c>
      <c r="E71" s="32">
        <v>327</v>
      </c>
      <c r="F71" s="32">
        <v>2</v>
      </c>
      <c r="G71" s="31">
        <v>1</v>
      </c>
      <c r="H71" s="31">
        <v>81433</v>
      </c>
      <c r="I71" s="31" t="s">
        <v>17</v>
      </c>
      <c r="J71" s="67">
        <v>26461410</v>
      </c>
      <c r="K71" s="18" t="s">
        <v>457</v>
      </c>
      <c r="L71" s="14" t="s">
        <v>461</v>
      </c>
      <c r="M71" s="69">
        <v>199900</v>
      </c>
      <c r="N71" s="19">
        <v>0.9</v>
      </c>
      <c r="O71" s="33">
        <f t="shared" si="1"/>
        <v>19990</v>
      </c>
      <c r="P71" s="32" t="s">
        <v>0</v>
      </c>
    </row>
    <row r="72" spans="1:16" x14ac:dyDescent="0.3">
      <c r="A72" s="32" t="s">
        <v>3216</v>
      </c>
      <c r="B72" s="40">
        <v>46093</v>
      </c>
      <c r="C72" s="40">
        <v>46098</v>
      </c>
      <c r="D72" s="32">
        <v>3319</v>
      </c>
      <c r="E72" s="32">
        <v>327</v>
      </c>
      <c r="F72" s="32">
        <v>2</v>
      </c>
      <c r="G72" s="31">
        <v>1</v>
      </c>
      <c r="H72" s="31">
        <v>81433</v>
      </c>
      <c r="I72" s="31" t="s">
        <v>17</v>
      </c>
      <c r="J72" s="67">
        <v>26461429</v>
      </c>
      <c r="K72" s="18" t="s">
        <v>457</v>
      </c>
      <c r="L72" s="14" t="s">
        <v>462</v>
      </c>
      <c r="M72" s="69">
        <v>199900</v>
      </c>
      <c r="N72" s="19">
        <v>0.9</v>
      </c>
      <c r="O72" s="33">
        <f t="shared" si="1"/>
        <v>19990</v>
      </c>
      <c r="P72" s="32" t="s">
        <v>0</v>
      </c>
    </row>
    <row r="73" spans="1:16" x14ac:dyDescent="0.3">
      <c r="A73" s="32" t="s">
        <v>3216</v>
      </c>
      <c r="B73" s="40">
        <v>46093</v>
      </c>
      <c r="C73" s="40">
        <v>46098</v>
      </c>
      <c r="D73" s="32">
        <v>3319</v>
      </c>
      <c r="E73" s="32">
        <v>327</v>
      </c>
      <c r="F73" s="32">
        <v>2</v>
      </c>
      <c r="G73" s="31">
        <v>1</v>
      </c>
      <c r="H73" s="31">
        <v>81433</v>
      </c>
      <c r="I73" s="31" t="s">
        <v>17</v>
      </c>
      <c r="J73" s="67">
        <v>26462544</v>
      </c>
      <c r="K73" s="18" t="s">
        <v>463</v>
      </c>
      <c r="L73" s="14" t="s">
        <v>464</v>
      </c>
      <c r="M73" s="69">
        <v>199900</v>
      </c>
      <c r="N73" s="19">
        <v>0.9</v>
      </c>
      <c r="O73" s="33">
        <f t="shared" si="1"/>
        <v>19990</v>
      </c>
      <c r="P73" s="32" t="s">
        <v>0</v>
      </c>
    </row>
    <row r="74" spans="1:16" x14ac:dyDescent="0.3">
      <c r="A74" s="32" t="s">
        <v>3216</v>
      </c>
      <c r="B74" s="40">
        <v>46093</v>
      </c>
      <c r="C74" s="40">
        <v>46098</v>
      </c>
      <c r="D74" s="32">
        <v>3319</v>
      </c>
      <c r="E74" s="32">
        <v>327</v>
      </c>
      <c r="F74" s="32">
        <v>2</v>
      </c>
      <c r="G74" s="31">
        <v>1</v>
      </c>
      <c r="H74" s="31">
        <v>81433</v>
      </c>
      <c r="I74" s="31" t="s">
        <v>17</v>
      </c>
      <c r="J74" s="67">
        <v>26462553</v>
      </c>
      <c r="K74" s="18" t="s">
        <v>463</v>
      </c>
      <c r="L74" s="14" t="s">
        <v>465</v>
      </c>
      <c r="M74" s="69">
        <v>199900</v>
      </c>
      <c r="N74" s="19">
        <v>0.9</v>
      </c>
      <c r="O74" s="33">
        <f t="shared" si="1"/>
        <v>19990</v>
      </c>
      <c r="P74" s="32" t="s">
        <v>0</v>
      </c>
    </row>
    <row r="75" spans="1:16" x14ac:dyDescent="0.3">
      <c r="A75" s="32" t="s">
        <v>3216</v>
      </c>
      <c r="B75" s="40">
        <v>46093</v>
      </c>
      <c r="C75" s="40">
        <v>46098</v>
      </c>
      <c r="D75" s="32">
        <v>3319</v>
      </c>
      <c r="E75" s="32">
        <v>327</v>
      </c>
      <c r="F75" s="32">
        <v>2</v>
      </c>
      <c r="G75" s="31">
        <v>1</v>
      </c>
      <c r="H75" s="31">
        <v>81433</v>
      </c>
      <c r="I75" s="31" t="s">
        <v>17</v>
      </c>
      <c r="J75" s="67">
        <v>26462562</v>
      </c>
      <c r="K75" s="18" t="s">
        <v>463</v>
      </c>
      <c r="L75" s="14" t="s">
        <v>466</v>
      </c>
      <c r="M75" s="69">
        <v>199900</v>
      </c>
      <c r="N75" s="19">
        <v>0.9</v>
      </c>
      <c r="O75" s="33">
        <f t="shared" si="1"/>
        <v>19990</v>
      </c>
      <c r="P75" s="32" t="s">
        <v>0</v>
      </c>
    </row>
    <row r="76" spans="1:16" x14ac:dyDescent="0.3">
      <c r="A76" s="32" t="s">
        <v>3216</v>
      </c>
      <c r="B76" s="40">
        <v>46093</v>
      </c>
      <c r="C76" s="40">
        <v>46098</v>
      </c>
      <c r="D76" s="32">
        <v>3319</v>
      </c>
      <c r="E76" s="32">
        <v>327</v>
      </c>
      <c r="F76" s="32">
        <v>2</v>
      </c>
      <c r="G76" s="31">
        <v>1</v>
      </c>
      <c r="H76" s="31">
        <v>81433</v>
      </c>
      <c r="I76" s="31" t="s">
        <v>17</v>
      </c>
      <c r="J76" s="67">
        <v>26462571</v>
      </c>
      <c r="K76" s="18" t="s">
        <v>463</v>
      </c>
      <c r="L76" s="14" t="s">
        <v>467</v>
      </c>
      <c r="M76" s="69">
        <v>199900</v>
      </c>
      <c r="N76" s="19">
        <v>0.9</v>
      </c>
      <c r="O76" s="33">
        <f t="shared" si="1"/>
        <v>19990</v>
      </c>
      <c r="P76" s="32" t="s">
        <v>0</v>
      </c>
    </row>
    <row r="77" spans="1:16" x14ac:dyDescent="0.3">
      <c r="A77" s="32" t="s">
        <v>3216</v>
      </c>
      <c r="B77" s="40">
        <v>46093</v>
      </c>
      <c r="C77" s="40">
        <v>46098</v>
      </c>
      <c r="D77" s="32">
        <v>3319</v>
      </c>
      <c r="E77" s="32">
        <v>327</v>
      </c>
      <c r="F77" s="32">
        <v>2</v>
      </c>
      <c r="G77" s="31">
        <v>1</v>
      </c>
      <c r="H77" s="31">
        <v>81433</v>
      </c>
      <c r="I77" s="31" t="s">
        <v>17</v>
      </c>
      <c r="J77" s="67">
        <v>26462580</v>
      </c>
      <c r="K77" s="18" t="s">
        <v>463</v>
      </c>
      <c r="L77" s="14" t="s">
        <v>468</v>
      </c>
      <c r="M77" s="69">
        <v>199900</v>
      </c>
      <c r="N77" s="19">
        <v>0.9</v>
      </c>
      <c r="O77" s="33">
        <f t="shared" si="1"/>
        <v>19990</v>
      </c>
      <c r="P77" s="32" t="s">
        <v>0</v>
      </c>
    </row>
    <row r="78" spans="1:16" x14ac:dyDescent="0.3">
      <c r="A78" s="32" t="s">
        <v>3216</v>
      </c>
      <c r="B78" s="40">
        <v>46093</v>
      </c>
      <c r="C78" s="40">
        <v>46098</v>
      </c>
      <c r="D78" s="32">
        <v>3319</v>
      </c>
      <c r="E78" s="32">
        <v>327</v>
      </c>
      <c r="F78" s="32">
        <v>2</v>
      </c>
      <c r="G78" s="31">
        <v>1</v>
      </c>
      <c r="H78" s="31">
        <v>81433</v>
      </c>
      <c r="I78" s="31" t="s">
        <v>17</v>
      </c>
      <c r="J78" s="67">
        <v>26462599</v>
      </c>
      <c r="K78" s="18" t="s">
        <v>469</v>
      </c>
      <c r="L78" s="14" t="s">
        <v>470</v>
      </c>
      <c r="M78" s="69">
        <v>199900</v>
      </c>
      <c r="N78" s="19">
        <v>0.9</v>
      </c>
      <c r="O78" s="33">
        <f t="shared" si="1"/>
        <v>19990</v>
      </c>
      <c r="P78" s="32" t="s">
        <v>0</v>
      </c>
    </row>
    <row r="79" spans="1:16" x14ac:dyDescent="0.3">
      <c r="A79" s="32" t="s">
        <v>3216</v>
      </c>
      <c r="B79" s="40">
        <v>46093</v>
      </c>
      <c r="C79" s="40">
        <v>46098</v>
      </c>
      <c r="D79" s="32">
        <v>3319</v>
      </c>
      <c r="E79" s="32">
        <v>327</v>
      </c>
      <c r="F79" s="32">
        <v>2</v>
      </c>
      <c r="G79" s="31">
        <v>1</v>
      </c>
      <c r="H79" s="31">
        <v>81433</v>
      </c>
      <c r="I79" s="31" t="s">
        <v>17</v>
      </c>
      <c r="J79" s="67">
        <v>26462606</v>
      </c>
      <c r="K79" s="18" t="s">
        <v>469</v>
      </c>
      <c r="L79" s="14" t="s">
        <v>471</v>
      </c>
      <c r="M79" s="69">
        <v>199900</v>
      </c>
      <c r="N79" s="19">
        <v>0.9</v>
      </c>
      <c r="O79" s="33">
        <f t="shared" si="1"/>
        <v>19990</v>
      </c>
      <c r="P79" s="32" t="s">
        <v>0</v>
      </c>
    </row>
    <row r="80" spans="1:16" x14ac:dyDescent="0.3">
      <c r="A80" s="32" t="s">
        <v>3216</v>
      </c>
      <c r="B80" s="40">
        <v>46093</v>
      </c>
      <c r="C80" s="40">
        <v>46098</v>
      </c>
      <c r="D80" s="32">
        <v>3319</v>
      </c>
      <c r="E80" s="32">
        <v>327</v>
      </c>
      <c r="F80" s="32">
        <v>2</v>
      </c>
      <c r="G80" s="31">
        <v>1</v>
      </c>
      <c r="H80" s="31">
        <v>81433</v>
      </c>
      <c r="I80" s="31" t="s">
        <v>17</v>
      </c>
      <c r="J80" s="67">
        <v>26462615</v>
      </c>
      <c r="K80" s="18" t="s">
        <v>469</v>
      </c>
      <c r="L80" s="14" t="s">
        <v>472</v>
      </c>
      <c r="M80" s="69">
        <v>199900</v>
      </c>
      <c r="N80" s="19">
        <v>0.9</v>
      </c>
      <c r="O80" s="33">
        <f t="shared" si="1"/>
        <v>19990</v>
      </c>
      <c r="P80" s="32" t="s">
        <v>0</v>
      </c>
    </row>
    <row r="81" spans="1:16" x14ac:dyDescent="0.3">
      <c r="A81" s="32" t="s">
        <v>3216</v>
      </c>
      <c r="B81" s="40">
        <v>46093</v>
      </c>
      <c r="C81" s="40">
        <v>46098</v>
      </c>
      <c r="D81" s="32">
        <v>3319</v>
      </c>
      <c r="E81" s="32">
        <v>327</v>
      </c>
      <c r="F81" s="32">
        <v>2</v>
      </c>
      <c r="G81" s="31">
        <v>1</v>
      </c>
      <c r="H81" s="31">
        <v>81433</v>
      </c>
      <c r="I81" s="31" t="s">
        <v>17</v>
      </c>
      <c r="J81" s="67">
        <v>26462624</v>
      </c>
      <c r="K81" s="18" t="s">
        <v>469</v>
      </c>
      <c r="L81" s="14" t="s">
        <v>473</v>
      </c>
      <c r="M81" s="69">
        <v>199900</v>
      </c>
      <c r="N81" s="19">
        <v>0.9</v>
      </c>
      <c r="O81" s="33">
        <f t="shared" si="1"/>
        <v>19990</v>
      </c>
      <c r="P81" s="32" t="s">
        <v>0</v>
      </c>
    </row>
    <row r="82" spans="1:16" x14ac:dyDescent="0.3">
      <c r="A82" s="32" t="s">
        <v>3216</v>
      </c>
      <c r="B82" s="40">
        <v>46093</v>
      </c>
      <c r="C82" s="40">
        <v>46098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67">
        <v>26462633</v>
      </c>
      <c r="K82" s="18" t="s">
        <v>469</v>
      </c>
      <c r="L82" s="14" t="s">
        <v>474</v>
      </c>
      <c r="M82" s="69">
        <v>199900</v>
      </c>
      <c r="N82" s="19">
        <v>0.9</v>
      </c>
      <c r="O82" s="33">
        <f t="shared" si="1"/>
        <v>19990</v>
      </c>
      <c r="P82" s="32" t="s">
        <v>0</v>
      </c>
    </row>
    <row r="83" spans="1:16" x14ac:dyDescent="0.3">
      <c r="A83" s="32" t="s">
        <v>3216</v>
      </c>
      <c r="B83" s="40">
        <v>46093</v>
      </c>
      <c r="C83" s="40">
        <v>46098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67">
        <v>26463525</v>
      </c>
      <c r="K83" s="18" t="s">
        <v>475</v>
      </c>
      <c r="L83" s="14" t="s">
        <v>476</v>
      </c>
      <c r="M83" s="69">
        <v>239900</v>
      </c>
      <c r="N83" s="19">
        <v>0.9</v>
      </c>
      <c r="O83" s="33">
        <f t="shared" si="1"/>
        <v>23990</v>
      </c>
      <c r="P83" s="32" t="s">
        <v>0</v>
      </c>
    </row>
    <row r="84" spans="1:16" x14ac:dyDescent="0.3">
      <c r="A84" s="32" t="s">
        <v>3216</v>
      </c>
      <c r="B84" s="40">
        <v>46093</v>
      </c>
      <c r="C84" s="40">
        <v>46098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67">
        <v>26463534</v>
      </c>
      <c r="K84" s="18" t="s">
        <v>475</v>
      </c>
      <c r="L84" s="14" t="s">
        <v>477</v>
      </c>
      <c r="M84" s="69">
        <v>239900</v>
      </c>
      <c r="N84" s="19">
        <v>0.9</v>
      </c>
      <c r="O84" s="33">
        <f t="shared" si="1"/>
        <v>23990</v>
      </c>
      <c r="P84" s="32" t="s">
        <v>0</v>
      </c>
    </row>
    <row r="85" spans="1:16" x14ac:dyDescent="0.3">
      <c r="A85" s="32" t="s">
        <v>3216</v>
      </c>
      <c r="B85" s="40">
        <v>46093</v>
      </c>
      <c r="C85" s="40">
        <v>46098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67">
        <v>26463543</v>
      </c>
      <c r="K85" s="18" t="s">
        <v>475</v>
      </c>
      <c r="L85" s="14" t="s">
        <v>478</v>
      </c>
      <c r="M85" s="69">
        <v>239900</v>
      </c>
      <c r="N85" s="19">
        <v>0.9</v>
      </c>
      <c r="O85" s="33">
        <f t="shared" si="1"/>
        <v>23990</v>
      </c>
      <c r="P85" s="32" t="s">
        <v>0</v>
      </c>
    </row>
    <row r="86" spans="1:16" x14ac:dyDescent="0.3">
      <c r="A86" s="32" t="s">
        <v>3216</v>
      </c>
      <c r="B86" s="40">
        <v>46093</v>
      </c>
      <c r="C86" s="40">
        <v>46098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67">
        <v>26463552</v>
      </c>
      <c r="K86" s="18" t="s">
        <v>475</v>
      </c>
      <c r="L86" s="14" t="s">
        <v>479</v>
      </c>
      <c r="M86" s="69">
        <v>239900</v>
      </c>
      <c r="N86" s="19">
        <v>0.9</v>
      </c>
      <c r="O86" s="33">
        <f t="shared" si="1"/>
        <v>23990</v>
      </c>
      <c r="P86" s="32" t="s">
        <v>0</v>
      </c>
    </row>
    <row r="87" spans="1:16" x14ac:dyDescent="0.3">
      <c r="A87" s="32" t="s">
        <v>3216</v>
      </c>
      <c r="B87" s="40">
        <v>46093</v>
      </c>
      <c r="C87" s="40">
        <v>46098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67">
        <v>26463561</v>
      </c>
      <c r="K87" s="18" t="s">
        <v>475</v>
      </c>
      <c r="L87" s="14" t="s">
        <v>480</v>
      </c>
      <c r="M87" s="69">
        <v>239900</v>
      </c>
      <c r="N87" s="19">
        <v>0.9</v>
      </c>
      <c r="O87" s="33">
        <f t="shared" si="1"/>
        <v>23990</v>
      </c>
      <c r="P87" s="32" t="s">
        <v>0</v>
      </c>
    </row>
    <row r="88" spans="1:16" x14ac:dyDescent="0.3">
      <c r="A88" s="32" t="s">
        <v>3216</v>
      </c>
      <c r="B88" s="40">
        <v>46093</v>
      </c>
      <c r="C88" s="40">
        <v>46098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67">
        <v>26463570</v>
      </c>
      <c r="K88" s="18" t="s">
        <v>481</v>
      </c>
      <c r="L88" s="14" t="s">
        <v>482</v>
      </c>
      <c r="M88" s="69">
        <v>239900</v>
      </c>
      <c r="N88" s="19">
        <v>0.9</v>
      </c>
      <c r="O88" s="33">
        <f t="shared" si="1"/>
        <v>23990</v>
      </c>
      <c r="P88" s="32" t="s">
        <v>0</v>
      </c>
    </row>
    <row r="89" spans="1:16" x14ac:dyDescent="0.3">
      <c r="A89" s="32" t="s">
        <v>3216</v>
      </c>
      <c r="B89" s="40">
        <v>46093</v>
      </c>
      <c r="C89" s="40">
        <v>46098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67">
        <v>26463589</v>
      </c>
      <c r="K89" s="18" t="s">
        <v>481</v>
      </c>
      <c r="L89" s="14" t="s">
        <v>483</v>
      </c>
      <c r="M89" s="69">
        <v>239900</v>
      </c>
      <c r="N89" s="19">
        <v>0.9</v>
      </c>
      <c r="O89" s="33">
        <f t="shared" si="1"/>
        <v>23990</v>
      </c>
      <c r="P89" s="32" t="s">
        <v>0</v>
      </c>
    </row>
    <row r="90" spans="1:16" x14ac:dyDescent="0.3">
      <c r="A90" s="32" t="s">
        <v>3216</v>
      </c>
      <c r="B90" s="40">
        <v>46093</v>
      </c>
      <c r="C90" s="40">
        <v>46098</v>
      </c>
      <c r="D90" s="32">
        <v>3319</v>
      </c>
      <c r="E90" s="32">
        <v>327</v>
      </c>
      <c r="F90" s="32">
        <v>2</v>
      </c>
      <c r="G90" s="65">
        <v>1</v>
      </c>
      <c r="H90" s="65">
        <v>81433</v>
      </c>
      <c r="I90" s="65" t="s">
        <v>17</v>
      </c>
      <c r="J90" s="66">
        <v>26463598</v>
      </c>
      <c r="K90" s="17" t="s">
        <v>481</v>
      </c>
      <c r="L90" s="15" t="s">
        <v>484</v>
      </c>
      <c r="M90" s="68">
        <v>239900</v>
      </c>
      <c r="N90" s="19">
        <v>0.9</v>
      </c>
      <c r="O90" s="33">
        <f t="shared" si="1"/>
        <v>23990</v>
      </c>
      <c r="P90" s="32" t="s">
        <v>0</v>
      </c>
    </row>
    <row r="91" spans="1:16" x14ac:dyDescent="0.3">
      <c r="A91" s="32" t="s">
        <v>3216</v>
      </c>
      <c r="B91" s="40">
        <v>46093</v>
      </c>
      <c r="C91" s="40">
        <v>46098</v>
      </c>
      <c r="D91" s="32">
        <v>3319</v>
      </c>
      <c r="E91" s="32">
        <v>327</v>
      </c>
      <c r="F91" s="32">
        <v>2</v>
      </c>
      <c r="G91" s="65">
        <v>1</v>
      </c>
      <c r="H91" s="65">
        <v>81433</v>
      </c>
      <c r="I91" s="65" t="s">
        <v>17</v>
      </c>
      <c r="J91" s="66">
        <v>26463605</v>
      </c>
      <c r="K91" s="17" t="s">
        <v>481</v>
      </c>
      <c r="L91" s="15" t="s">
        <v>485</v>
      </c>
      <c r="M91" s="68">
        <v>239900</v>
      </c>
      <c r="N91" s="19">
        <v>0.9</v>
      </c>
      <c r="O91" s="33">
        <f t="shared" si="1"/>
        <v>23990</v>
      </c>
      <c r="P91" s="32" t="s">
        <v>0</v>
      </c>
    </row>
    <row r="92" spans="1:16" x14ac:dyDescent="0.3">
      <c r="A92" s="32" t="s">
        <v>3216</v>
      </c>
      <c r="B92" s="40">
        <v>46093</v>
      </c>
      <c r="C92" s="40">
        <v>46098</v>
      </c>
      <c r="D92" s="32">
        <v>3319</v>
      </c>
      <c r="E92" s="32">
        <v>327</v>
      </c>
      <c r="F92" s="32">
        <v>2</v>
      </c>
      <c r="G92" s="65">
        <v>1</v>
      </c>
      <c r="H92" s="65">
        <v>81433</v>
      </c>
      <c r="I92" s="65" t="s">
        <v>17</v>
      </c>
      <c r="J92" s="66">
        <v>26463614</v>
      </c>
      <c r="K92" s="17" t="s">
        <v>481</v>
      </c>
      <c r="L92" s="15" t="s">
        <v>486</v>
      </c>
      <c r="M92" s="68">
        <v>239900</v>
      </c>
      <c r="N92" s="19">
        <v>0.9</v>
      </c>
      <c r="O92" s="33">
        <f t="shared" si="1"/>
        <v>23990</v>
      </c>
      <c r="P92" s="32" t="s">
        <v>0</v>
      </c>
    </row>
    <row r="93" spans="1:16" x14ac:dyDescent="0.3">
      <c r="A93" s="32" t="s">
        <v>3216</v>
      </c>
      <c r="B93" s="40">
        <v>46093</v>
      </c>
      <c r="C93" s="40">
        <v>46098</v>
      </c>
      <c r="D93" s="32">
        <v>3319</v>
      </c>
      <c r="E93" s="32">
        <v>327</v>
      </c>
      <c r="F93" s="32">
        <v>2</v>
      </c>
      <c r="G93" s="65">
        <v>1</v>
      </c>
      <c r="H93" s="65">
        <v>81433</v>
      </c>
      <c r="I93" s="65" t="s">
        <v>17</v>
      </c>
      <c r="J93" s="66">
        <v>27022320</v>
      </c>
      <c r="K93" s="17" t="s">
        <v>487</v>
      </c>
      <c r="L93" s="15" t="s">
        <v>488</v>
      </c>
      <c r="M93" s="68">
        <v>259900</v>
      </c>
      <c r="N93" s="19">
        <v>0.9</v>
      </c>
      <c r="O93" s="33">
        <f t="shared" si="1"/>
        <v>25990</v>
      </c>
      <c r="P93" s="32" t="s">
        <v>0</v>
      </c>
    </row>
    <row r="94" spans="1:16" x14ac:dyDescent="0.3">
      <c r="A94" s="32" t="s">
        <v>3216</v>
      </c>
      <c r="B94" s="40">
        <v>46093</v>
      </c>
      <c r="C94" s="40">
        <v>46098</v>
      </c>
      <c r="D94" s="32">
        <v>3319</v>
      </c>
      <c r="E94" s="32">
        <v>327</v>
      </c>
      <c r="F94" s="32">
        <v>2</v>
      </c>
      <c r="G94" s="65">
        <v>1</v>
      </c>
      <c r="H94" s="65">
        <v>81433</v>
      </c>
      <c r="I94" s="65" t="s">
        <v>17</v>
      </c>
      <c r="J94" s="66">
        <v>27022339</v>
      </c>
      <c r="K94" s="17" t="s">
        <v>487</v>
      </c>
      <c r="L94" s="15" t="s">
        <v>489</v>
      </c>
      <c r="M94" s="68">
        <v>259900</v>
      </c>
      <c r="N94" s="19">
        <v>0.9</v>
      </c>
      <c r="O94" s="33">
        <f t="shared" si="1"/>
        <v>25990</v>
      </c>
      <c r="P94" s="32" t="s">
        <v>0</v>
      </c>
    </row>
    <row r="95" spans="1:16" x14ac:dyDescent="0.3">
      <c r="A95" s="32" t="s">
        <v>3216</v>
      </c>
      <c r="B95" s="40">
        <v>46093</v>
      </c>
      <c r="C95" s="40">
        <v>46098</v>
      </c>
      <c r="D95" s="32">
        <v>3319</v>
      </c>
      <c r="E95" s="32">
        <v>327</v>
      </c>
      <c r="F95" s="32">
        <v>2</v>
      </c>
      <c r="G95" s="65">
        <v>1</v>
      </c>
      <c r="H95" s="65">
        <v>81433</v>
      </c>
      <c r="I95" s="65" t="s">
        <v>17</v>
      </c>
      <c r="J95" s="66">
        <v>27022348</v>
      </c>
      <c r="K95" s="17" t="s">
        <v>487</v>
      </c>
      <c r="L95" s="15" t="s">
        <v>490</v>
      </c>
      <c r="M95" s="68">
        <v>259900</v>
      </c>
      <c r="N95" s="19">
        <v>0.9</v>
      </c>
      <c r="O95" s="33">
        <f t="shared" si="1"/>
        <v>25990</v>
      </c>
      <c r="P95" s="32" t="s">
        <v>0</v>
      </c>
    </row>
    <row r="96" spans="1:16" x14ac:dyDescent="0.3">
      <c r="A96" s="32" t="s">
        <v>3216</v>
      </c>
      <c r="B96" s="40">
        <v>46093</v>
      </c>
      <c r="C96" s="40">
        <v>46098</v>
      </c>
      <c r="D96" s="32">
        <v>3319</v>
      </c>
      <c r="E96" s="32">
        <v>327</v>
      </c>
      <c r="F96" s="32">
        <v>2</v>
      </c>
      <c r="G96" s="65">
        <v>1</v>
      </c>
      <c r="H96" s="65">
        <v>81433</v>
      </c>
      <c r="I96" s="65" t="s">
        <v>17</v>
      </c>
      <c r="J96" s="66">
        <v>27022357</v>
      </c>
      <c r="K96" s="17" t="s">
        <v>487</v>
      </c>
      <c r="L96" s="15" t="s">
        <v>491</v>
      </c>
      <c r="M96" s="68">
        <v>259900</v>
      </c>
      <c r="N96" s="19">
        <v>0.9</v>
      </c>
      <c r="O96" s="33">
        <f t="shared" si="1"/>
        <v>25990</v>
      </c>
      <c r="P96" s="32" t="s">
        <v>0</v>
      </c>
    </row>
    <row r="97" spans="1:16" x14ac:dyDescent="0.3">
      <c r="A97" s="32" t="s">
        <v>3216</v>
      </c>
      <c r="B97" s="40">
        <v>46093</v>
      </c>
      <c r="C97" s="40">
        <v>46098</v>
      </c>
      <c r="D97" s="32">
        <v>3319</v>
      </c>
      <c r="E97" s="32">
        <v>327</v>
      </c>
      <c r="F97" s="32">
        <v>2</v>
      </c>
      <c r="G97" s="65">
        <v>1</v>
      </c>
      <c r="H97" s="65">
        <v>81433</v>
      </c>
      <c r="I97" s="65" t="s">
        <v>17</v>
      </c>
      <c r="J97" s="66">
        <v>27022366</v>
      </c>
      <c r="K97" s="17" t="s">
        <v>487</v>
      </c>
      <c r="L97" s="15" t="s">
        <v>492</v>
      </c>
      <c r="M97" s="68">
        <v>259900</v>
      </c>
      <c r="N97" s="19">
        <v>0.9</v>
      </c>
      <c r="O97" s="33">
        <f t="shared" si="1"/>
        <v>25990</v>
      </c>
      <c r="P97" s="32" t="s">
        <v>0</v>
      </c>
    </row>
    <row r="98" spans="1:16" x14ac:dyDescent="0.3">
      <c r="A98" s="32" t="s">
        <v>3216</v>
      </c>
      <c r="B98" s="40">
        <v>46093</v>
      </c>
      <c r="C98" s="40">
        <v>46098</v>
      </c>
      <c r="D98" s="32">
        <v>3319</v>
      </c>
      <c r="E98" s="32">
        <v>327</v>
      </c>
      <c r="F98" s="32">
        <v>2</v>
      </c>
      <c r="G98" s="65">
        <v>1</v>
      </c>
      <c r="H98" s="65">
        <v>81433</v>
      </c>
      <c r="I98" s="65" t="s">
        <v>17</v>
      </c>
      <c r="J98" s="66">
        <v>27022375</v>
      </c>
      <c r="K98" s="17" t="s">
        <v>487</v>
      </c>
      <c r="L98" s="15" t="s">
        <v>493</v>
      </c>
      <c r="M98" s="68">
        <v>259900</v>
      </c>
      <c r="N98" s="19">
        <v>0.9</v>
      </c>
      <c r="O98" s="33">
        <f t="shared" si="1"/>
        <v>25990</v>
      </c>
      <c r="P98" s="32" t="s">
        <v>0</v>
      </c>
    </row>
    <row r="99" spans="1:16" x14ac:dyDescent="0.3">
      <c r="A99" s="32" t="s">
        <v>3216</v>
      </c>
      <c r="B99" s="40">
        <v>46093</v>
      </c>
      <c r="C99" s="40">
        <v>46098</v>
      </c>
      <c r="D99" s="32">
        <v>3319</v>
      </c>
      <c r="E99" s="32">
        <v>327</v>
      </c>
      <c r="F99" s="32">
        <v>2</v>
      </c>
      <c r="G99" s="65">
        <v>1</v>
      </c>
      <c r="H99" s="65">
        <v>81433</v>
      </c>
      <c r="I99" s="65" t="s">
        <v>17</v>
      </c>
      <c r="J99" s="66">
        <v>27022384</v>
      </c>
      <c r="K99" s="17" t="s">
        <v>487</v>
      </c>
      <c r="L99" s="15" t="s">
        <v>494</v>
      </c>
      <c r="M99" s="68">
        <v>259900</v>
      </c>
      <c r="N99" s="19">
        <v>0.9</v>
      </c>
      <c r="O99" s="33">
        <f t="shared" si="1"/>
        <v>25990</v>
      </c>
      <c r="P99" s="32" t="s">
        <v>0</v>
      </c>
    </row>
    <row r="100" spans="1:16" x14ac:dyDescent="0.3">
      <c r="A100" s="32" t="s">
        <v>3216</v>
      </c>
      <c r="B100" s="40">
        <v>46093</v>
      </c>
      <c r="C100" s="40">
        <v>46098</v>
      </c>
      <c r="D100" s="32">
        <v>3319</v>
      </c>
      <c r="E100" s="32">
        <v>327</v>
      </c>
      <c r="F100" s="32">
        <v>2</v>
      </c>
      <c r="G100" s="65">
        <v>1</v>
      </c>
      <c r="H100" s="65">
        <v>81433</v>
      </c>
      <c r="I100" s="65" t="s">
        <v>17</v>
      </c>
      <c r="J100" s="66">
        <v>27022393</v>
      </c>
      <c r="K100" s="17" t="s">
        <v>487</v>
      </c>
      <c r="L100" s="15" t="s">
        <v>495</v>
      </c>
      <c r="M100" s="68">
        <v>259900</v>
      </c>
      <c r="N100" s="19">
        <v>0.9</v>
      </c>
      <c r="O100" s="33">
        <f t="shared" si="1"/>
        <v>25990</v>
      </c>
      <c r="P100" s="32" t="s">
        <v>0</v>
      </c>
    </row>
    <row r="101" spans="1:16" x14ac:dyDescent="0.3">
      <c r="A101" s="32" t="s">
        <v>3216</v>
      </c>
      <c r="B101" s="40">
        <v>46093</v>
      </c>
      <c r="C101" s="40">
        <v>46098</v>
      </c>
      <c r="D101" s="32">
        <v>3319</v>
      </c>
      <c r="E101" s="32">
        <v>327</v>
      </c>
      <c r="F101" s="32">
        <v>2</v>
      </c>
      <c r="G101" s="65">
        <v>1</v>
      </c>
      <c r="H101" s="65">
        <v>81433</v>
      </c>
      <c r="I101" s="65" t="s">
        <v>17</v>
      </c>
      <c r="J101" s="66">
        <v>27022400</v>
      </c>
      <c r="K101" s="17" t="s">
        <v>487</v>
      </c>
      <c r="L101" s="15" t="s">
        <v>496</v>
      </c>
      <c r="M101" s="68">
        <v>259900</v>
      </c>
      <c r="N101" s="19">
        <v>0.9</v>
      </c>
      <c r="O101" s="33">
        <f t="shared" si="1"/>
        <v>25990</v>
      </c>
      <c r="P101" s="32" t="s">
        <v>0</v>
      </c>
    </row>
    <row r="102" spans="1:16" x14ac:dyDescent="0.3">
      <c r="A102" s="32" t="s">
        <v>3216</v>
      </c>
      <c r="B102" s="40">
        <v>46093</v>
      </c>
      <c r="C102" s="40">
        <v>46098</v>
      </c>
      <c r="D102" s="32">
        <v>3319</v>
      </c>
      <c r="E102" s="32">
        <v>327</v>
      </c>
      <c r="F102" s="32">
        <v>2</v>
      </c>
      <c r="G102" s="65">
        <v>1</v>
      </c>
      <c r="H102" s="65">
        <v>81433</v>
      </c>
      <c r="I102" s="65" t="s">
        <v>17</v>
      </c>
      <c r="J102" s="66">
        <v>27022419</v>
      </c>
      <c r="K102" s="17" t="s">
        <v>487</v>
      </c>
      <c r="L102" s="15" t="s">
        <v>497</v>
      </c>
      <c r="M102" s="68">
        <v>259900</v>
      </c>
      <c r="N102" s="19">
        <v>0.9</v>
      </c>
      <c r="O102" s="33">
        <f t="shared" si="1"/>
        <v>25990</v>
      </c>
      <c r="P102" s="32" t="s">
        <v>0</v>
      </c>
    </row>
    <row r="103" spans="1:16" x14ac:dyDescent="0.3">
      <c r="A103" s="32" t="s">
        <v>3216</v>
      </c>
      <c r="B103" s="40">
        <v>46093</v>
      </c>
      <c r="C103" s="40">
        <v>46098</v>
      </c>
      <c r="D103" s="32">
        <v>3319</v>
      </c>
      <c r="E103" s="32">
        <v>327</v>
      </c>
      <c r="F103" s="32">
        <v>2</v>
      </c>
      <c r="G103" s="65">
        <v>1</v>
      </c>
      <c r="H103" s="65">
        <v>81433</v>
      </c>
      <c r="I103" s="65" t="s">
        <v>17</v>
      </c>
      <c r="J103" s="66">
        <v>27055152</v>
      </c>
      <c r="K103" s="17" t="s">
        <v>498</v>
      </c>
      <c r="L103" s="15" t="s">
        <v>499</v>
      </c>
      <c r="M103" s="68">
        <v>199900</v>
      </c>
      <c r="N103" s="19">
        <v>0.9</v>
      </c>
      <c r="O103" s="33">
        <f t="shared" si="1"/>
        <v>19990</v>
      </c>
      <c r="P103" s="32" t="s">
        <v>0</v>
      </c>
    </row>
    <row r="104" spans="1:16" x14ac:dyDescent="0.3">
      <c r="A104" s="32" t="s">
        <v>3216</v>
      </c>
      <c r="B104" s="40">
        <v>46093</v>
      </c>
      <c r="C104" s="40">
        <v>46098</v>
      </c>
      <c r="D104" s="32">
        <v>3319</v>
      </c>
      <c r="E104" s="32">
        <v>327</v>
      </c>
      <c r="F104" s="32">
        <v>2</v>
      </c>
      <c r="G104" s="65">
        <v>1</v>
      </c>
      <c r="H104" s="65">
        <v>81433</v>
      </c>
      <c r="I104" s="65" t="s">
        <v>17</v>
      </c>
      <c r="J104" s="66">
        <v>27055161</v>
      </c>
      <c r="K104" s="17" t="s">
        <v>498</v>
      </c>
      <c r="L104" s="15" t="s">
        <v>500</v>
      </c>
      <c r="M104" s="68">
        <v>199900</v>
      </c>
      <c r="N104" s="19">
        <v>0.9</v>
      </c>
      <c r="O104" s="33">
        <f t="shared" si="1"/>
        <v>19990</v>
      </c>
      <c r="P104" s="32" t="s">
        <v>0</v>
      </c>
    </row>
    <row r="105" spans="1:16" x14ac:dyDescent="0.3">
      <c r="A105" s="32" t="s">
        <v>3216</v>
      </c>
      <c r="B105" s="40">
        <v>46093</v>
      </c>
      <c r="C105" s="40">
        <v>46098</v>
      </c>
      <c r="D105" s="32">
        <v>3319</v>
      </c>
      <c r="E105" s="32">
        <v>327</v>
      </c>
      <c r="F105" s="32">
        <v>2</v>
      </c>
      <c r="G105" s="65">
        <v>1</v>
      </c>
      <c r="H105" s="65">
        <v>81433</v>
      </c>
      <c r="I105" s="65" t="s">
        <v>17</v>
      </c>
      <c r="J105" s="66">
        <v>27055170</v>
      </c>
      <c r="K105" s="17" t="s">
        <v>498</v>
      </c>
      <c r="L105" s="15" t="s">
        <v>501</v>
      </c>
      <c r="M105" s="68">
        <v>199900</v>
      </c>
      <c r="N105" s="19">
        <v>0.9</v>
      </c>
      <c r="O105" s="33">
        <f t="shared" si="1"/>
        <v>19990</v>
      </c>
      <c r="P105" s="32" t="s">
        <v>0</v>
      </c>
    </row>
    <row r="106" spans="1:16" x14ac:dyDescent="0.3">
      <c r="A106" s="32" t="s">
        <v>3216</v>
      </c>
      <c r="B106" s="40">
        <v>46093</v>
      </c>
      <c r="C106" s="40">
        <v>46098</v>
      </c>
      <c r="D106" s="32">
        <v>3319</v>
      </c>
      <c r="E106" s="32">
        <v>327</v>
      </c>
      <c r="F106" s="32">
        <v>2</v>
      </c>
      <c r="G106" s="65">
        <v>1</v>
      </c>
      <c r="H106" s="65">
        <v>81433</v>
      </c>
      <c r="I106" s="65" t="s">
        <v>17</v>
      </c>
      <c r="J106" s="66">
        <v>27055189</v>
      </c>
      <c r="K106" s="17" t="s">
        <v>498</v>
      </c>
      <c r="L106" s="15" t="s">
        <v>502</v>
      </c>
      <c r="M106" s="68">
        <v>199900</v>
      </c>
      <c r="N106" s="19">
        <v>0.9</v>
      </c>
      <c r="O106" s="33">
        <f t="shared" si="1"/>
        <v>19990</v>
      </c>
      <c r="P106" s="32" t="s">
        <v>0</v>
      </c>
    </row>
    <row r="107" spans="1:16" x14ac:dyDescent="0.3">
      <c r="A107" s="32" t="s">
        <v>3216</v>
      </c>
      <c r="B107" s="40">
        <v>46093</v>
      </c>
      <c r="C107" s="40">
        <v>46098</v>
      </c>
      <c r="D107" s="32">
        <v>3319</v>
      </c>
      <c r="E107" s="32">
        <v>327</v>
      </c>
      <c r="F107" s="32">
        <v>2</v>
      </c>
      <c r="G107" s="65">
        <v>1</v>
      </c>
      <c r="H107" s="65">
        <v>81433</v>
      </c>
      <c r="I107" s="65" t="s">
        <v>17</v>
      </c>
      <c r="J107" s="66">
        <v>27055205</v>
      </c>
      <c r="K107" s="17" t="s">
        <v>498</v>
      </c>
      <c r="L107" s="15" t="s">
        <v>503</v>
      </c>
      <c r="M107" s="68">
        <v>199900</v>
      </c>
      <c r="N107" s="19">
        <v>0.9</v>
      </c>
      <c r="O107" s="33">
        <f t="shared" si="1"/>
        <v>19990</v>
      </c>
      <c r="P107" s="32" t="s">
        <v>0</v>
      </c>
    </row>
    <row r="108" spans="1:16" x14ac:dyDescent="0.3">
      <c r="A108" s="32" t="s">
        <v>3216</v>
      </c>
      <c r="B108" s="40">
        <v>46093</v>
      </c>
      <c r="C108" s="40">
        <v>46098</v>
      </c>
      <c r="D108" s="32">
        <v>3319</v>
      </c>
      <c r="E108" s="32">
        <v>327</v>
      </c>
      <c r="F108" s="32">
        <v>2</v>
      </c>
      <c r="G108" s="65">
        <v>1</v>
      </c>
      <c r="H108" s="65">
        <v>81433</v>
      </c>
      <c r="I108" s="65" t="s">
        <v>17</v>
      </c>
      <c r="J108" s="66">
        <v>27055214</v>
      </c>
      <c r="K108" s="17" t="s">
        <v>498</v>
      </c>
      <c r="L108" s="15" t="s">
        <v>504</v>
      </c>
      <c r="M108" s="68">
        <v>199900</v>
      </c>
      <c r="N108" s="19">
        <v>0.9</v>
      </c>
      <c r="O108" s="33">
        <f t="shared" si="1"/>
        <v>19990</v>
      </c>
      <c r="P108" s="32" t="s">
        <v>0</v>
      </c>
    </row>
    <row r="109" spans="1:16" x14ac:dyDescent="0.3">
      <c r="A109" s="32" t="s">
        <v>3216</v>
      </c>
      <c r="B109" s="40">
        <v>46093</v>
      </c>
      <c r="C109" s="40">
        <v>46098</v>
      </c>
      <c r="D109" s="32">
        <v>3319</v>
      </c>
      <c r="E109" s="32">
        <v>327</v>
      </c>
      <c r="F109" s="32">
        <v>2</v>
      </c>
      <c r="G109" s="65">
        <v>1</v>
      </c>
      <c r="H109" s="65">
        <v>81433</v>
      </c>
      <c r="I109" s="65" t="s">
        <v>17</v>
      </c>
      <c r="J109" s="66">
        <v>27055223</v>
      </c>
      <c r="K109" s="17" t="s">
        <v>498</v>
      </c>
      <c r="L109" s="15" t="s">
        <v>505</v>
      </c>
      <c r="M109" s="68">
        <v>199900</v>
      </c>
      <c r="N109" s="19">
        <v>0.9</v>
      </c>
      <c r="O109" s="33">
        <f t="shared" si="1"/>
        <v>19990</v>
      </c>
      <c r="P109" s="32" t="s">
        <v>0</v>
      </c>
    </row>
    <row r="110" spans="1:16" x14ac:dyDescent="0.3">
      <c r="A110" s="32" t="s">
        <v>3216</v>
      </c>
      <c r="B110" s="40">
        <v>46093</v>
      </c>
      <c r="C110" s="40">
        <v>46098</v>
      </c>
      <c r="D110" s="32">
        <v>3319</v>
      </c>
      <c r="E110" s="32">
        <v>327</v>
      </c>
      <c r="F110" s="32">
        <v>2</v>
      </c>
      <c r="G110" s="65">
        <v>1</v>
      </c>
      <c r="H110" s="65">
        <v>81433</v>
      </c>
      <c r="I110" s="65" t="s">
        <v>17</v>
      </c>
      <c r="J110" s="66">
        <v>27055232</v>
      </c>
      <c r="K110" s="17" t="s">
        <v>498</v>
      </c>
      <c r="L110" s="15" t="s">
        <v>506</v>
      </c>
      <c r="M110" s="68">
        <v>199900</v>
      </c>
      <c r="N110" s="19">
        <v>0.9</v>
      </c>
      <c r="O110" s="33">
        <f t="shared" si="1"/>
        <v>19990</v>
      </c>
      <c r="P110" s="32" t="s">
        <v>0</v>
      </c>
    </row>
    <row r="111" spans="1:16" x14ac:dyDescent="0.3">
      <c r="A111" s="32" t="s">
        <v>3216</v>
      </c>
      <c r="B111" s="40">
        <v>46093</v>
      </c>
      <c r="C111" s="40">
        <v>46098</v>
      </c>
      <c r="D111" s="32">
        <v>3319</v>
      </c>
      <c r="E111" s="32">
        <v>327</v>
      </c>
      <c r="F111" s="32">
        <v>2</v>
      </c>
      <c r="G111" s="65">
        <v>1</v>
      </c>
      <c r="H111" s="65">
        <v>81433</v>
      </c>
      <c r="I111" s="65" t="s">
        <v>17</v>
      </c>
      <c r="J111" s="66">
        <v>27055241</v>
      </c>
      <c r="K111" s="17" t="s">
        <v>498</v>
      </c>
      <c r="L111" s="15" t="s">
        <v>507</v>
      </c>
      <c r="M111" s="68">
        <v>199900</v>
      </c>
      <c r="N111" s="19">
        <v>0.9</v>
      </c>
      <c r="O111" s="33">
        <f t="shared" si="1"/>
        <v>19990</v>
      </c>
      <c r="P111" s="32" t="s">
        <v>0</v>
      </c>
    </row>
    <row r="112" spans="1:16" x14ac:dyDescent="0.3">
      <c r="A112" s="32" t="s">
        <v>3216</v>
      </c>
      <c r="B112" s="40">
        <v>46093</v>
      </c>
      <c r="C112" s="40">
        <v>46098</v>
      </c>
      <c r="D112" s="32">
        <v>3319</v>
      </c>
      <c r="E112" s="32">
        <v>327</v>
      </c>
      <c r="F112" s="32">
        <v>2</v>
      </c>
      <c r="G112" s="65">
        <v>1</v>
      </c>
      <c r="H112" s="65">
        <v>81433</v>
      </c>
      <c r="I112" s="65" t="s">
        <v>17</v>
      </c>
      <c r="J112" s="66">
        <v>27847074</v>
      </c>
      <c r="K112" s="17" t="s">
        <v>508</v>
      </c>
      <c r="L112" s="15" t="s">
        <v>509</v>
      </c>
      <c r="M112" s="68">
        <v>279900</v>
      </c>
      <c r="N112" s="19">
        <v>0.9</v>
      </c>
      <c r="O112" s="33">
        <f t="shared" si="1"/>
        <v>27990</v>
      </c>
      <c r="P112" s="32" t="s">
        <v>0</v>
      </c>
    </row>
    <row r="113" spans="1:16" x14ac:dyDescent="0.3">
      <c r="A113" s="32" t="s">
        <v>3216</v>
      </c>
      <c r="B113" s="40">
        <v>46093</v>
      </c>
      <c r="C113" s="40">
        <v>46098</v>
      </c>
      <c r="D113" s="32">
        <v>3319</v>
      </c>
      <c r="E113" s="32">
        <v>327</v>
      </c>
      <c r="F113" s="32">
        <v>2</v>
      </c>
      <c r="G113" s="65">
        <v>1</v>
      </c>
      <c r="H113" s="65">
        <v>81433</v>
      </c>
      <c r="I113" s="65" t="s">
        <v>17</v>
      </c>
      <c r="J113" s="66">
        <v>27847083</v>
      </c>
      <c r="K113" s="17" t="s">
        <v>508</v>
      </c>
      <c r="L113" s="15" t="s">
        <v>510</v>
      </c>
      <c r="M113" s="68">
        <v>279900</v>
      </c>
      <c r="N113" s="19">
        <v>0.9</v>
      </c>
      <c r="O113" s="33">
        <f t="shared" si="1"/>
        <v>27990</v>
      </c>
      <c r="P113" s="32" t="s">
        <v>0</v>
      </c>
    </row>
    <row r="114" spans="1:16" x14ac:dyDescent="0.3">
      <c r="A114" s="32" t="s">
        <v>3216</v>
      </c>
      <c r="B114" s="40">
        <v>46093</v>
      </c>
      <c r="C114" s="40">
        <v>46098</v>
      </c>
      <c r="D114" s="32">
        <v>3319</v>
      </c>
      <c r="E114" s="32">
        <v>327</v>
      </c>
      <c r="F114" s="32">
        <v>2</v>
      </c>
      <c r="G114" s="65">
        <v>1</v>
      </c>
      <c r="H114" s="65">
        <v>81433</v>
      </c>
      <c r="I114" s="65" t="s">
        <v>17</v>
      </c>
      <c r="J114" s="66">
        <v>27847092</v>
      </c>
      <c r="K114" s="17" t="s">
        <v>508</v>
      </c>
      <c r="L114" s="15" t="s">
        <v>511</v>
      </c>
      <c r="M114" s="68">
        <v>279900</v>
      </c>
      <c r="N114" s="19">
        <v>0.9</v>
      </c>
      <c r="O114" s="33">
        <f t="shared" si="1"/>
        <v>27990</v>
      </c>
      <c r="P114" s="32" t="s">
        <v>0</v>
      </c>
    </row>
    <row r="115" spans="1:16" x14ac:dyDescent="0.3">
      <c r="A115" s="32" t="s">
        <v>3216</v>
      </c>
      <c r="B115" s="40">
        <v>46093</v>
      </c>
      <c r="C115" s="40">
        <v>46098</v>
      </c>
      <c r="D115" s="32">
        <v>3319</v>
      </c>
      <c r="E115" s="32">
        <v>327</v>
      </c>
      <c r="F115" s="32">
        <v>2</v>
      </c>
      <c r="G115" s="65">
        <v>1</v>
      </c>
      <c r="H115" s="65">
        <v>81433</v>
      </c>
      <c r="I115" s="65" t="s">
        <v>17</v>
      </c>
      <c r="J115" s="66">
        <v>27847109</v>
      </c>
      <c r="K115" s="17" t="s">
        <v>508</v>
      </c>
      <c r="L115" s="15" t="s">
        <v>512</v>
      </c>
      <c r="M115" s="68">
        <v>279900</v>
      </c>
      <c r="N115" s="19">
        <v>0.9</v>
      </c>
      <c r="O115" s="33">
        <f t="shared" si="1"/>
        <v>27990</v>
      </c>
      <c r="P115" s="32" t="s">
        <v>0</v>
      </c>
    </row>
    <row r="116" spans="1:16" x14ac:dyDescent="0.3">
      <c r="A116" s="32" t="s">
        <v>3216</v>
      </c>
      <c r="B116" s="40">
        <v>46093</v>
      </c>
      <c r="C116" s="40">
        <v>46098</v>
      </c>
      <c r="D116" s="32">
        <v>3319</v>
      </c>
      <c r="E116" s="32">
        <v>327</v>
      </c>
      <c r="F116" s="32">
        <v>2</v>
      </c>
      <c r="G116" s="65">
        <v>1</v>
      </c>
      <c r="H116" s="65">
        <v>81433</v>
      </c>
      <c r="I116" s="65" t="s">
        <v>17</v>
      </c>
      <c r="J116" s="66">
        <v>27847118</v>
      </c>
      <c r="K116" s="17" t="s">
        <v>508</v>
      </c>
      <c r="L116" s="15" t="s">
        <v>513</v>
      </c>
      <c r="M116" s="68">
        <v>279900</v>
      </c>
      <c r="N116" s="19">
        <v>0.9</v>
      </c>
      <c r="O116" s="33">
        <f t="shared" si="1"/>
        <v>27990</v>
      </c>
      <c r="P116" s="32" t="s">
        <v>0</v>
      </c>
    </row>
    <row r="117" spans="1:16" x14ac:dyDescent="0.3">
      <c r="A117" s="32" t="s">
        <v>3216</v>
      </c>
      <c r="B117" s="40">
        <v>46093</v>
      </c>
      <c r="C117" s="40">
        <v>46098</v>
      </c>
      <c r="D117" s="32">
        <v>3319</v>
      </c>
      <c r="E117" s="32">
        <v>327</v>
      </c>
      <c r="F117" s="32">
        <v>2</v>
      </c>
      <c r="G117" s="65">
        <v>2</v>
      </c>
      <c r="H117" s="65">
        <v>81433</v>
      </c>
      <c r="I117" s="65" t="s">
        <v>17</v>
      </c>
      <c r="J117" s="66">
        <v>26777017</v>
      </c>
      <c r="K117" s="17" t="s">
        <v>514</v>
      </c>
      <c r="L117" s="15" t="s">
        <v>515</v>
      </c>
      <c r="M117" s="68">
        <v>319900</v>
      </c>
      <c r="N117" s="19">
        <v>0.9</v>
      </c>
      <c r="O117" s="33">
        <f t="shared" si="1"/>
        <v>31990</v>
      </c>
      <c r="P117" s="32" t="s">
        <v>0</v>
      </c>
    </row>
    <row r="118" spans="1:16" x14ac:dyDescent="0.3">
      <c r="A118" s="32" t="s">
        <v>3216</v>
      </c>
      <c r="B118" s="40">
        <v>46093</v>
      </c>
      <c r="C118" s="40">
        <v>46098</v>
      </c>
      <c r="D118" s="32">
        <v>3319</v>
      </c>
      <c r="E118" s="32">
        <v>327</v>
      </c>
      <c r="F118" s="32">
        <v>2</v>
      </c>
      <c r="G118" s="65">
        <v>2</v>
      </c>
      <c r="H118" s="65">
        <v>81433</v>
      </c>
      <c r="I118" s="65" t="s">
        <v>17</v>
      </c>
      <c r="J118" s="66">
        <v>26777026</v>
      </c>
      <c r="K118" s="17" t="s">
        <v>514</v>
      </c>
      <c r="L118" s="15" t="s">
        <v>516</v>
      </c>
      <c r="M118" s="68">
        <v>319900</v>
      </c>
      <c r="N118" s="19">
        <v>0.9</v>
      </c>
      <c r="O118" s="33">
        <f t="shared" si="1"/>
        <v>31990</v>
      </c>
      <c r="P118" s="32" t="s">
        <v>0</v>
      </c>
    </row>
    <row r="119" spans="1:16" x14ac:dyDescent="0.3">
      <c r="A119" s="32" t="s">
        <v>3216</v>
      </c>
      <c r="B119" s="40">
        <v>46093</v>
      </c>
      <c r="C119" s="40">
        <v>46098</v>
      </c>
      <c r="D119" s="32">
        <v>3319</v>
      </c>
      <c r="E119" s="32">
        <v>327</v>
      </c>
      <c r="F119" s="32">
        <v>2</v>
      </c>
      <c r="G119" s="65">
        <v>2</v>
      </c>
      <c r="H119" s="65">
        <v>81433</v>
      </c>
      <c r="I119" s="65" t="s">
        <v>17</v>
      </c>
      <c r="J119" s="66">
        <v>26777035</v>
      </c>
      <c r="K119" s="17" t="s">
        <v>514</v>
      </c>
      <c r="L119" s="15" t="s">
        <v>517</v>
      </c>
      <c r="M119" s="68">
        <v>319900</v>
      </c>
      <c r="N119" s="19">
        <v>0.9</v>
      </c>
      <c r="O119" s="33">
        <f t="shared" si="1"/>
        <v>31990</v>
      </c>
      <c r="P119" s="32" t="s">
        <v>0</v>
      </c>
    </row>
    <row r="120" spans="1:16" x14ac:dyDescent="0.3">
      <c r="A120" s="32" t="s">
        <v>3216</v>
      </c>
      <c r="B120" s="40">
        <v>46093</v>
      </c>
      <c r="C120" s="40">
        <v>46098</v>
      </c>
      <c r="D120" s="32">
        <v>3319</v>
      </c>
      <c r="E120" s="32">
        <v>327</v>
      </c>
      <c r="F120" s="32">
        <v>2</v>
      </c>
      <c r="G120" s="65">
        <v>2</v>
      </c>
      <c r="H120" s="65">
        <v>81433</v>
      </c>
      <c r="I120" s="65" t="s">
        <v>17</v>
      </c>
      <c r="J120" s="66">
        <v>26777044</v>
      </c>
      <c r="K120" s="17" t="s">
        <v>514</v>
      </c>
      <c r="L120" s="15" t="s">
        <v>518</v>
      </c>
      <c r="M120" s="68">
        <v>319900</v>
      </c>
      <c r="N120" s="19">
        <v>0.9</v>
      </c>
      <c r="O120" s="33">
        <f t="shared" si="1"/>
        <v>31990</v>
      </c>
      <c r="P120" s="32" t="s">
        <v>0</v>
      </c>
    </row>
    <row r="121" spans="1:16" x14ac:dyDescent="0.3">
      <c r="A121" s="32" t="s">
        <v>3216</v>
      </c>
      <c r="B121" s="40">
        <v>46093</v>
      </c>
      <c r="C121" s="40">
        <v>46098</v>
      </c>
      <c r="D121" s="32">
        <v>3319</v>
      </c>
      <c r="E121" s="32">
        <v>327</v>
      </c>
      <c r="F121" s="32">
        <v>2</v>
      </c>
      <c r="G121" s="65">
        <v>2</v>
      </c>
      <c r="H121" s="65">
        <v>81433</v>
      </c>
      <c r="I121" s="65" t="s">
        <v>17</v>
      </c>
      <c r="J121" s="66">
        <v>26777053</v>
      </c>
      <c r="K121" s="17" t="s">
        <v>514</v>
      </c>
      <c r="L121" s="15" t="s">
        <v>519</v>
      </c>
      <c r="M121" s="68">
        <v>319900</v>
      </c>
      <c r="N121" s="19">
        <v>0.9</v>
      </c>
      <c r="O121" s="33">
        <f t="shared" si="1"/>
        <v>31990</v>
      </c>
      <c r="P121" s="32" t="s">
        <v>0</v>
      </c>
    </row>
    <row r="122" spans="1:16" x14ac:dyDescent="0.3">
      <c r="A122" s="32" t="s">
        <v>3216</v>
      </c>
      <c r="B122" s="40">
        <v>46093</v>
      </c>
      <c r="C122" s="40">
        <v>46098</v>
      </c>
      <c r="D122" s="32">
        <v>3319</v>
      </c>
      <c r="E122" s="32">
        <v>327</v>
      </c>
      <c r="F122" s="32">
        <v>2</v>
      </c>
      <c r="G122" s="65">
        <v>1</v>
      </c>
      <c r="H122" s="65">
        <v>81433</v>
      </c>
      <c r="I122" s="65" t="s">
        <v>17</v>
      </c>
      <c r="J122" s="66">
        <v>26736810</v>
      </c>
      <c r="K122" s="17" t="s">
        <v>520</v>
      </c>
      <c r="L122" s="15" t="s">
        <v>521</v>
      </c>
      <c r="M122" s="68">
        <v>199900</v>
      </c>
      <c r="N122" s="19">
        <v>0.9</v>
      </c>
      <c r="O122" s="33">
        <f t="shared" si="1"/>
        <v>19990</v>
      </c>
      <c r="P122" s="32" t="s">
        <v>0</v>
      </c>
    </row>
    <row r="123" spans="1:16" x14ac:dyDescent="0.3">
      <c r="A123" s="32" t="s">
        <v>3216</v>
      </c>
      <c r="B123" s="40">
        <v>46093</v>
      </c>
      <c r="C123" s="40">
        <v>46098</v>
      </c>
      <c r="D123" s="32">
        <v>3319</v>
      </c>
      <c r="E123" s="32">
        <v>327</v>
      </c>
      <c r="F123" s="32">
        <v>2</v>
      </c>
      <c r="G123" s="65">
        <v>1</v>
      </c>
      <c r="H123" s="65">
        <v>81433</v>
      </c>
      <c r="I123" s="65" t="s">
        <v>17</v>
      </c>
      <c r="J123" s="66">
        <v>26736829</v>
      </c>
      <c r="K123" s="17" t="s">
        <v>520</v>
      </c>
      <c r="L123" s="15" t="s">
        <v>522</v>
      </c>
      <c r="M123" s="68">
        <v>199900</v>
      </c>
      <c r="N123" s="19">
        <v>0.9</v>
      </c>
      <c r="O123" s="33">
        <f t="shared" si="1"/>
        <v>19990</v>
      </c>
      <c r="P123" s="32" t="s">
        <v>0</v>
      </c>
    </row>
    <row r="124" spans="1:16" x14ac:dyDescent="0.3">
      <c r="A124" s="32" t="s">
        <v>3216</v>
      </c>
      <c r="B124" s="40">
        <v>46093</v>
      </c>
      <c r="C124" s="40">
        <v>46098</v>
      </c>
      <c r="D124" s="32">
        <v>3319</v>
      </c>
      <c r="E124" s="32">
        <v>327</v>
      </c>
      <c r="F124" s="32">
        <v>2</v>
      </c>
      <c r="G124" s="65">
        <v>1</v>
      </c>
      <c r="H124" s="65">
        <v>81433</v>
      </c>
      <c r="I124" s="65" t="s">
        <v>17</v>
      </c>
      <c r="J124" s="66">
        <v>26736838</v>
      </c>
      <c r="K124" s="17" t="s">
        <v>520</v>
      </c>
      <c r="L124" s="15" t="s">
        <v>523</v>
      </c>
      <c r="M124" s="68">
        <v>199900</v>
      </c>
      <c r="N124" s="19">
        <v>0.9</v>
      </c>
      <c r="O124" s="33">
        <f t="shared" si="1"/>
        <v>19990</v>
      </c>
      <c r="P124" s="32" t="s">
        <v>0</v>
      </c>
    </row>
    <row r="125" spans="1:16" x14ac:dyDescent="0.3">
      <c r="A125" s="32" t="s">
        <v>3216</v>
      </c>
      <c r="B125" s="40">
        <v>46093</v>
      </c>
      <c r="C125" s="40">
        <v>46098</v>
      </c>
      <c r="D125" s="32">
        <v>3319</v>
      </c>
      <c r="E125" s="32">
        <v>327</v>
      </c>
      <c r="F125" s="32">
        <v>2</v>
      </c>
      <c r="G125" s="65">
        <v>1</v>
      </c>
      <c r="H125" s="65">
        <v>81433</v>
      </c>
      <c r="I125" s="65" t="s">
        <v>17</v>
      </c>
      <c r="J125" s="66">
        <v>26736847</v>
      </c>
      <c r="K125" s="17" t="s">
        <v>520</v>
      </c>
      <c r="L125" s="15" t="s">
        <v>524</v>
      </c>
      <c r="M125" s="68">
        <v>199900</v>
      </c>
      <c r="N125" s="19">
        <v>0.9</v>
      </c>
      <c r="O125" s="33">
        <f t="shared" si="1"/>
        <v>19990</v>
      </c>
      <c r="P125" s="32" t="s">
        <v>0</v>
      </c>
    </row>
    <row r="126" spans="1:16" x14ac:dyDescent="0.3">
      <c r="A126" s="32" t="s">
        <v>3216</v>
      </c>
      <c r="B126" s="40">
        <v>46093</v>
      </c>
      <c r="C126" s="40">
        <v>46098</v>
      </c>
      <c r="D126" s="32">
        <v>3319</v>
      </c>
      <c r="E126" s="32">
        <v>327</v>
      </c>
      <c r="F126" s="32">
        <v>2</v>
      </c>
      <c r="G126" s="65">
        <v>1</v>
      </c>
      <c r="H126" s="65">
        <v>81433</v>
      </c>
      <c r="I126" s="65" t="s">
        <v>17</v>
      </c>
      <c r="J126" s="66">
        <v>26736856</v>
      </c>
      <c r="K126" s="17" t="s">
        <v>520</v>
      </c>
      <c r="L126" s="15" t="s">
        <v>525</v>
      </c>
      <c r="M126" s="68">
        <v>199900</v>
      </c>
      <c r="N126" s="19">
        <v>0.9</v>
      </c>
      <c r="O126" s="33">
        <f t="shared" si="1"/>
        <v>19990</v>
      </c>
      <c r="P126" s="32" t="s">
        <v>0</v>
      </c>
    </row>
    <row r="127" spans="1:16" x14ac:dyDescent="0.3">
      <c r="A127" s="32" t="s">
        <v>3216</v>
      </c>
      <c r="B127" s="40">
        <v>46093</v>
      </c>
      <c r="C127" s="40">
        <v>46098</v>
      </c>
      <c r="D127" s="32">
        <v>3319</v>
      </c>
      <c r="E127" s="32">
        <v>327</v>
      </c>
      <c r="F127" s="32">
        <v>2</v>
      </c>
      <c r="G127" s="65">
        <v>1</v>
      </c>
      <c r="H127" s="65">
        <v>81433</v>
      </c>
      <c r="I127" s="65" t="s">
        <v>17</v>
      </c>
      <c r="J127" s="66">
        <v>26736865</v>
      </c>
      <c r="K127" s="17" t="s">
        <v>520</v>
      </c>
      <c r="L127" s="15" t="s">
        <v>526</v>
      </c>
      <c r="M127" s="68">
        <v>199900</v>
      </c>
      <c r="N127" s="19">
        <v>0.9</v>
      </c>
      <c r="O127" s="33">
        <f t="shared" si="1"/>
        <v>19990</v>
      </c>
      <c r="P127" s="32" t="s">
        <v>0</v>
      </c>
    </row>
    <row r="128" spans="1:16" x14ac:dyDescent="0.3">
      <c r="A128" s="32" t="s">
        <v>3216</v>
      </c>
      <c r="B128" s="40">
        <v>46093</v>
      </c>
      <c r="C128" s="40">
        <v>46098</v>
      </c>
      <c r="D128" s="32">
        <v>3319</v>
      </c>
      <c r="E128" s="32">
        <v>327</v>
      </c>
      <c r="F128" s="32">
        <v>2</v>
      </c>
      <c r="G128" s="65">
        <v>1</v>
      </c>
      <c r="H128" s="65">
        <v>81433</v>
      </c>
      <c r="I128" s="65" t="s">
        <v>17</v>
      </c>
      <c r="J128" s="66">
        <v>26736874</v>
      </c>
      <c r="K128" s="17" t="s">
        <v>520</v>
      </c>
      <c r="L128" s="15" t="s">
        <v>527</v>
      </c>
      <c r="M128" s="68">
        <v>199900</v>
      </c>
      <c r="N128" s="19">
        <v>0.9</v>
      </c>
      <c r="O128" s="33">
        <f t="shared" si="1"/>
        <v>19990</v>
      </c>
      <c r="P128" s="32" t="s">
        <v>0</v>
      </c>
    </row>
    <row r="129" spans="1:16" x14ac:dyDescent="0.3">
      <c r="A129" s="32" t="s">
        <v>3216</v>
      </c>
      <c r="B129" s="40">
        <v>46093</v>
      </c>
      <c r="C129" s="40">
        <v>46098</v>
      </c>
      <c r="D129" s="32">
        <v>3319</v>
      </c>
      <c r="E129" s="32">
        <v>327</v>
      </c>
      <c r="F129" s="32">
        <v>2</v>
      </c>
      <c r="G129" s="65">
        <v>1</v>
      </c>
      <c r="H129" s="65">
        <v>81433</v>
      </c>
      <c r="I129" s="65" t="s">
        <v>17</v>
      </c>
      <c r="J129" s="66">
        <v>26736883</v>
      </c>
      <c r="K129" s="17" t="s">
        <v>520</v>
      </c>
      <c r="L129" s="15" t="s">
        <v>528</v>
      </c>
      <c r="M129" s="68">
        <v>199900</v>
      </c>
      <c r="N129" s="19">
        <v>0.9</v>
      </c>
      <c r="O129" s="33">
        <f t="shared" si="1"/>
        <v>19990</v>
      </c>
      <c r="P129" s="32" t="s">
        <v>0</v>
      </c>
    </row>
    <row r="130" spans="1:16" x14ac:dyDescent="0.3">
      <c r="A130" s="32" t="s">
        <v>3216</v>
      </c>
      <c r="B130" s="40">
        <v>46093</v>
      </c>
      <c r="C130" s="40">
        <v>46098</v>
      </c>
      <c r="D130" s="32">
        <v>3319</v>
      </c>
      <c r="E130" s="32">
        <v>327</v>
      </c>
      <c r="F130" s="32">
        <v>2</v>
      </c>
      <c r="G130" s="65">
        <v>1</v>
      </c>
      <c r="H130" s="65">
        <v>81433</v>
      </c>
      <c r="I130" s="65" t="s">
        <v>17</v>
      </c>
      <c r="J130" s="66">
        <v>26736892</v>
      </c>
      <c r="K130" s="17" t="s">
        <v>520</v>
      </c>
      <c r="L130" s="15" t="s">
        <v>529</v>
      </c>
      <c r="M130" s="68">
        <v>199900</v>
      </c>
      <c r="N130" s="19">
        <v>0.9</v>
      </c>
      <c r="O130" s="33">
        <f t="shared" si="1"/>
        <v>19990</v>
      </c>
      <c r="P130" s="32" t="s">
        <v>0</v>
      </c>
    </row>
    <row r="131" spans="1:16" x14ac:dyDescent="0.3">
      <c r="A131" s="32" t="s">
        <v>3216</v>
      </c>
      <c r="B131" s="40">
        <v>46093</v>
      </c>
      <c r="C131" s="40">
        <v>46098</v>
      </c>
      <c r="D131" s="32">
        <v>3319</v>
      </c>
      <c r="E131" s="32">
        <v>327</v>
      </c>
      <c r="F131" s="32">
        <v>2</v>
      </c>
      <c r="G131" s="65">
        <v>1</v>
      </c>
      <c r="H131" s="65">
        <v>81433</v>
      </c>
      <c r="I131" s="65" t="s">
        <v>17</v>
      </c>
      <c r="J131" s="66">
        <v>26736909</v>
      </c>
      <c r="K131" s="17" t="s">
        <v>520</v>
      </c>
      <c r="L131" s="15" t="s">
        <v>530</v>
      </c>
      <c r="M131" s="68">
        <v>199900</v>
      </c>
      <c r="N131" s="19">
        <v>0.9</v>
      </c>
      <c r="O131" s="33">
        <f>M131*10%</f>
        <v>19990</v>
      </c>
      <c r="P131" s="32" t="s">
        <v>0</v>
      </c>
    </row>
  </sheetData>
  <autoFilter ref="A1:P131" xr:uid="{00000000-0009-0000-0000-000001000000}"/>
  <phoneticPr fontId="14" type="noConversion"/>
  <conditionalFormatting sqref="J1">
    <cfRule type="duplicateValues" dxfId="394" priority="3"/>
    <cfRule type="duplicateValues" dxfId="393" priority="4"/>
    <cfRule type="duplicateValues" dxfId="392" priority="5"/>
    <cfRule type="duplicateValues" dxfId="391" priority="6"/>
  </conditionalFormatting>
  <conditionalFormatting sqref="J1:J1048576">
    <cfRule type="duplicateValues" dxfId="390" priority="1"/>
    <cfRule type="duplicateValues" dxfId="389" priority="2"/>
  </conditionalFormatting>
  <conditionalFormatting sqref="J2:J16">
    <cfRule type="duplicateValues" dxfId="388" priority="20"/>
    <cfRule type="duplicateValues" dxfId="387" priority="32"/>
  </conditionalFormatting>
  <conditionalFormatting sqref="J2:J131">
    <cfRule type="duplicateValues" dxfId="386" priority="34"/>
    <cfRule type="duplicateValues" dxfId="385" priority="35"/>
  </conditionalFormatting>
  <conditionalFormatting sqref="J17:J23">
    <cfRule type="duplicateValues" dxfId="384" priority="31"/>
  </conditionalFormatting>
  <conditionalFormatting sqref="J24:J26">
    <cfRule type="duplicateValues" dxfId="383" priority="30"/>
  </conditionalFormatting>
  <conditionalFormatting sqref="J27:J33">
    <cfRule type="duplicateValues" dxfId="382" priority="29"/>
  </conditionalFormatting>
  <conditionalFormatting sqref="J32:J33">
    <cfRule type="duplicateValues" dxfId="381" priority="19"/>
  </conditionalFormatting>
  <conditionalFormatting sqref="J34:J37">
    <cfRule type="duplicateValues" dxfId="380" priority="22"/>
  </conditionalFormatting>
  <conditionalFormatting sqref="J34:J39">
    <cfRule type="duplicateValues" dxfId="379" priority="23"/>
  </conditionalFormatting>
  <conditionalFormatting sqref="J38:J39">
    <cfRule type="duplicateValues" dxfId="378" priority="21"/>
  </conditionalFormatting>
  <conditionalFormatting sqref="J40:J41">
    <cfRule type="duplicateValues" dxfId="377" priority="28"/>
  </conditionalFormatting>
  <conditionalFormatting sqref="J42">
    <cfRule type="duplicateValues" dxfId="376" priority="27"/>
  </conditionalFormatting>
  <conditionalFormatting sqref="J43:J44">
    <cfRule type="duplicateValues" dxfId="375" priority="26"/>
  </conditionalFormatting>
  <conditionalFormatting sqref="J45:J46">
    <cfRule type="duplicateValues" dxfId="374" priority="18"/>
  </conditionalFormatting>
  <conditionalFormatting sqref="J47:J54">
    <cfRule type="duplicateValues" dxfId="373" priority="25"/>
  </conditionalFormatting>
  <conditionalFormatting sqref="J55:J59">
    <cfRule type="duplicateValues" dxfId="372" priority="24"/>
  </conditionalFormatting>
  <conditionalFormatting sqref="J90:J92">
    <cfRule type="duplicateValues" dxfId="371" priority="17"/>
  </conditionalFormatting>
  <conditionalFormatting sqref="J93:J96">
    <cfRule type="duplicateValues" dxfId="370" priority="16"/>
  </conditionalFormatting>
  <conditionalFormatting sqref="J97:J98">
    <cfRule type="duplicateValues" dxfId="369" priority="15"/>
  </conditionalFormatting>
  <conditionalFormatting sqref="J99:J100">
    <cfRule type="duplicateValues" dxfId="368" priority="14"/>
  </conditionalFormatting>
  <conditionalFormatting sqref="J101:J105">
    <cfRule type="duplicateValues" dxfId="367" priority="12"/>
    <cfRule type="duplicateValues" dxfId="366" priority="13"/>
  </conditionalFormatting>
  <conditionalFormatting sqref="J106">
    <cfRule type="duplicateValues" dxfId="365" priority="11"/>
  </conditionalFormatting>
  <conditionalFormatting sqref="J107:J114">
    <cfRule type="duplicateValues" dxfId="364" priority="10"/>
  </conditionalFormatting>
  <conditionalFormatting sqref="J115">
    <cfRule type="duplicateValues" dxfId="363" priority="9"/>
  </conditionalFormatting>
  <conditionalFormatting sqref="J116:J117">
    <cfRule type="duplicateValues" dxfId="362" priority="8"/>
  </conditionalFormatting>
  <conditionalFormatting sqref="J118:J123">
    <cfRule type="duplicateValues" dxfId="361" priority="7"/>
  </conditionalFormatting>
  <conditionalFormatting sqref="J124:J131">
    <cfRule type="duplicateValues" dxfId="360" priority="3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zoomScale="90" zoomScaleNormal="90" workbookViewId="0">
      <selection activeCell="N2" sqref="N2:N291"/>
    </sheetView>
  </sheetViews>
  <sheetFormatPr defaultColWidth="19.44140625" defaultRowHeight="15.6" x14ac:dyDescent="0.3"/>
  <cols>
    <col min="1" max="1" width="20.6640625" style="59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88671875" style="63" customWidth="1"/>
    <col min="14" max="14" width="8.6640625" style="19" customWidth="1"/>
    <col min="15" max="15" width="15.88671875" style="63" customWidth="1"/>
    <col min="16" max="16" width="15.8867187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3215</v>
      </c>
      <c r="B2" s="26">
        <v>46093</v>
      </c>
      <c r="C2" s="26">
        <v>46098</v>
      </c>
      <c r="D2" s="25">
        <v>3319</v>
      </c>
      <c r="E2" s="25">
        <v>327</v>
      </c>
      <c r="F2" s="25">
        <v>2</v>
      </c>
      <c r="G2" s="48">
        <v>1</v>
      </c>
      <c r="H2" s="46">
        <v>81011</v>
      </c>
      <c r="I2" s="48" t="s">
        <v>17</v>
      </c>
      <c r="J2" s="49">
        <v>29447850</v>
      </c>
      <c r="K2" s="45" t="s">
        <v>531</v>
      </c>
      <c r="L2" s="45" t="s">
        <v>532</v>
      </c>
      <c r="M2" s="61">
        <v>129900</v>
      </c>
      <c r="N2" s="64">
        <v>0.9</v>
      </c>
      <c r="O2" s="36">
        <f>M2*15%</f>
        <v>19485</v>
      </c>
      <c r="P2" s="25" t="s">
        <v>0</v>
      </c>
    </row>
    <row r="3" spans="1:16" x14ac:dyDescent="0.3">
      <c r="A3" s="25" t="s">
        <v>3215</v>
      </c>
      <c r="B3" s="26">
        <v>46093</v>
      </c>
      <c r="C3" s="26">
        <v>46098</v>
      </c>
      <c r="D3" s="25">
        <v>3319</v>
      </c>
      <c r="E3" s="25">
        <v>327</v>
      </c>
      <c r="F3" s="25">
        <v>2</v>
      </c>
      <c r="G3" s="48">
        <v>1</v>
      </c>
      <c r="H3" s="46">
        <v>81011</v>
      </c>
      <c r="I3" s="48" t="s">
        <v>17</v>
      </c>
      <c r="J3" s="49">
        <v>29447869</v>
      </c>
      <c r="K3" s="45" t="s">
        <v>531</v>
      </c>
      <c r="L3" s="45" t="s">
        <v>533</v>
      </c>
      <c r="M3" s="61">
        <v>129900</v>
      </c>
      <c r="N3" s="64">
        <v>0.9</v>
      </c>
      <c r="O3" s="36">
        <f t="shared" ref="O3:O66" si="0">M3*15%</f>
        <v>19485</v>
      </c>
      <c r="P3" s="25" t="s">
        <v>0</v>
      </c>
    </row>
    <row r="4" spans="1:16" x14ac:dyDescent="0.3">
      <c r="A4" s="25" t="s">
        <v>3215</v>
      </c>
      <c r="B4" s="26">
        <v>46093</v>
      </c>
      <c r="C4" s="26">
        <v>46098</v>
      </c>
      <c r="D4" s="25">
        <v>3319</v>
      </c>
      <c r="E4" s="25">
        <v>327</v>
      </c>
      <c r="F4" s="25">
        <v>2</v>
      </c>
      <c r="G4" s="48">
        <v>1</v>
      </c>
      <c r="H4" s="46">
        <v>81011</v>
      </c>
      <c r="I4" s="48" t="s">
        <v>17</v>
      </c>
      <c r="J4" s="49">
        <v>29447878</v>
      </c>
      <c r="K4" s="45" t="s">
        <v>531</v>
      </c>
      <c r="L4" s="45" t="s">
        <v>534</v>
      </c>
      <c r="M4" s="61">
        <v>129900</v>
      </c>
      <c r="N4" s="64">
        <v>0.9</v>
      </c>
      <c r="O4" s="36">
        <f t="shared" si="0"/>
        <v>19485</v>
      </c>
      <c r="P4" s="25" t="s">
        <v>0</v>
      </c>
    </row>
    <row r="5" spans="1:16" x14ac:dyDescent="0.3">
      <c r="A5" s="25" t="s">
        <v>3215</v>
      </c>
      <c r="B5" s="26">
        <v>46093</v>
      </c>
      <c r="C5" s="26">
        <v>46098</v>
      </c>
      <c r="D5" s="25">
        <v>3319</v>
      </c>
      <c r="E5" s="25">
        <v>327</v>
      </c>
      <c r="F5" s="25">
        <v>2</v>
      </c>
      <c r="G5" s="48">
        <v>1</v>
      </c>
      <c r="H5" s="46">
        <v>81011</v>
      </c>
      <c r="I5" s="48" t="s">
        <v>17</v>
      </c>
      <c r="J5" s="49">
        <v>29447887</v>
      </c>
      <c r="K5" s="45" t="s">
        <v>531</v>
      </c>
      <c r="L5" s="45" t="s">
        <v>535</v>
      </c>
      <c r="M5" s="61">
        <v>129900</v>
      </c>
      <c r="N5" s="64">
        <v>0.9</v>
      </c>
      <c r="O5" s="36">
        <f t="shared" si="0"/>
        <v>19485</v>
      </c>
      <c r="P5" s="25" t="s">
        <v>0</v>
      </c>
    </row>
    <row r="6" spans="1:16" x14ac:dyDescent="0.3">
      <c r="A6" s="25" t="s">
        <v>3215</v>
      </c>
      <c r="B6" s="26">
        <v>46093</v>
      </c>
      <c r="C6" s="26">
        <v>46098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26737775</v>
      </c>
      <c r="K6" s="45" t="s">
        <v>536</v>
      </c>
      <c r="L6" s="45" t="s">
        <v>537</v>
      </c>
      <c r="M6" s="61">
        <v>199900</v>
      </c>
      <c r="N6" s="64">
        <v>0.9</v>
      </c>
      <c r="O6" s="36">
        <f t="shared" si="0"/>
        <v>29985</v>
      </c>
      <c r="P6" s="25" t="s">
        <v>0</v>
      </c>
    </row>
    <row r="7" spans="1:16" x14ac:dyDescent="0.3">
      <c r="A7" s="25" t="s">
        <v>3215</v>
      </c>
      <c r="B7" s="26">
        <v>46093</v>
      </c>
      <c r="C7" s="26">
        <v>46098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26737784</v>
      </c>
      <c r="K7" s="45" t="s">
        <v>536</v>
      </c>
      <c r="L7" s="45" t="s">
        <v>538</v>
      </c>
      <c r="M7" s="61">
        <v>199900</v>
      </c>
      <c r="N7" s="64">
        <v>0.9</v>
      </c>
      <c r="O7" s="36">
        <f t="shared" si="0"/>
        <v>29985</v>
      </c>
      <c r="P7" s="25" t="s">
        <v>0</v>
      </c>
    </row>
    <row r="8" spans="1:16" x14ac:dyDescent="0.3">
      <c r="A8" s="25" t="s">
        <v>3215</v>
      </c>
      <c r="B8" s="26">
        <v>46093</v>
      </c>
      <c r="C8" s="26">
        <v>46098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26737793</v>
      </c>
      <c r="K8" s="45" t="s">
        <v>536</v>
      </c>
      <c r="L8" s="45" t="s">
        <v>539</v>
      </c>
      <c r="M8" s="61">
        <v>199900</v>
      </c>
      <c r="N8" s="64">
        <v>0.9</v>
      </c>
      <c r="O8" s="36">
        <f t="shared" si="0"/>
        <v>29985</v>
      </c>
      <c r="P8" s="25" t="s">
        <v>0</v>
      </c>
    </row>
    <row r="9" spans="1:16" x14ac:dyDescent="0.3">
      <c r="A9" s="25" t="s">
        <v>3215</v>
      </c>
      <c r="B9" s="26">
        <v>46093</v>
      </c>
      <c r="C9" s="26">
        <v>46098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26737800</v>
      </c>
      <c r="K9" s="45" t="s">
        <v>536</v>
      </c>
      <c r="L9" s="45" t="s">
        <v>540</v>
      </c>
      <c r="M9" s="61">
        <v>199900</v>
      </c>
      <c r="N9" s="64">
        <v>0.9</v>
      </c>
      <c r="O9" s="36">
        <f t="shared" si="0"/>
        <v>29985</v>
      </c>
      <c r="P9" s="25" t="s">
        <v>0</v>
      </c>
    </row>
    <row r="10" spans="1:16" x14ac:dyDescent="0.3">
      <c r="A10" s="25" t="s">
        <v>3215</v>
      </c>
      <c r="B10" s="26">
        <v>46093</v>
      </c>
      <c r="C10" s="26">
        <v>46098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26737819</v>
      </c>
      <c r="K10" s="45" t="s">
        <v>536</v>
      </c>
      <c r="L10" s="45" t="s">
        <v>541</v>
      </c>
      <c r="M10" s="61">
        <v>199900</v>
      </c>
      <c r="N10" s="64">
        <v>0.9</v>
      </c>
      <c r="O10" s="36">
        <f t="shared" si="0"/>
        <v>29985</v>
      </c>
      <c r="P10" s="25" t="s">
        <v>0</v>
      </c>
    </row>
    <row r="11" spans="1:16" x14ac:dyDescent="0.3">
      <c r="A11" s="25" t="s">
        <v>3215</v>
      </c>
      <c r="B11" s="26">
        <v>46093</v>
      </c>
      <c r="C11" s="26">
        <v>46098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26978210</v>
      </c>
      <c r="K11" s="45" t="s">
        <v>536</v>
      </c>
      <c r="L11" s="45" t="s">
        <v>542</v>
      </c>
      <c r="M11" s="61">
        <v>199900</v>
      </c>
      <c r="N11" s="64">
        <v>0.9</v>
      </c>
      <c r="O11" s="36">
        <f t="shared" si="0"/>
        <v>29985</v>
      </c>
      <c r="P11" s="25" t="s">
        <v>0</v>
      </c>
    </row>
    <row r="12" spans="1:16" x14ac:dyDescent="0.3">
      <c r="A12" s="25" t="s">
        <v>3215</v>
      </c>
      <c r="B12" s="26">
        <v>46093</v>
      </c>
      <c r="C12" s="26">
        <v>46098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26978229</v>
      </c>
      <c r="K12" s="45" t="s">
        <v>536</v>
      </c>
      <c r="L12" s="45" t="s">
        <v>543</v>
      </c>
      <c r="M12" s="61">
        <v>199900</v>
      </c>
      <c r="N12" s="64">
        <v>0.9</v>
      </c>
      <c r="O12" s="36">
        <f t="shared" si="0"/>
        <v>29985</v>
      </c>
      <c r="P12" s="25" t="s">
        <v>0</v>
      </c>
    </row>
    <row r="13" spans="1:16" x14ac:dyDescent="0.3">
      <c r="A13" s="25" t="s">
        <v>3215</v>
      </c>
      <c r="B13" s="26">
        <v>46093</v>
      </c>
      <c r="C13" s="26">
        <v>46098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26978238</v>
      </c>
      <c r="K13" s="45" t="s">
        <v>536</v>
      </c>
      <c r="L13" s="45" t="s">
        <v>544</v>
      </c>
      <c r="M13" s="61">
        <v>199900</v>
      </c>
      <c r="N13" s="64">
        <v>0.9</v>
      </c>
      <c r="O13" s="36">
        <f t="shared" si="0"/>
        <v>29985</v>
      </c>
      <c r="P13" s="25" t="s">
        <v>0</v>
      </c>
    </row>
    <row r="14" spans="1:16" x14ac:dyDescent="0.3">
      <c r="A14" s="25" t="s">
        <v>3215</v>
      </c>
      <c r="B14" s="26">
        <v>46093</v>
      </c>
      <c r="C14" s="26">
        <v>46098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26978247</v>
      </c>
      <c r="K14" s="45" t="s">
        <v>536</v>
      </c>
      <c r="L14" s="45" t="s">
        <v>545</v>
      </c>
      <c r="M14" s="61">
        <v>199900</v>
      </c>
      <c r="N14" s="64">
        <v>0.9</v>
      </c>
      <c r="O14" s="36">
        <f t="shared" si="0"/>
        <v>29985</v>
      </c>
      <c r="P14" s="25" t="s">
        <v>0</v>
      </c>
    </row>
    <row r="15" spans="1:16" x14ac:dyDescent="0.3">
      <c r="A15" s="25" t="s">
        <v>3215</v>
      </c>
      <c r="B15" s="26">
        <v>46093</v>
      </c>
      <c r="C15" s="26">
        <v>46098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26978256</v>
      </c>
      <c r="K15" s="45" t="s">
        <v>536</v>
      </c>
      <c r="L15" s="45" t="s">
        <v>546</v>
      </c>
      <c r="M15" s="61">
        <v>199900</v>
      </c>
      <c r="N15" s="64">
        <v>0.9</v>
      </c>
      <c r="O15" s="36">
        <f t="shared" si="0"/>
        <v>29985</v>
      </c>
      <c r="P15" s="25" t="s">
        <v>0</v>
      </c>
    </row>
    <row r="16" spans="1:16" x14ac:dyDescent="0.3">
      <c r="A16" s="25" t="s">
        <v>3215</v>
      </c>
      <c r="B16" s="26">
        <v>46093</v>
      </c>
      <c r="C16" s="26">
        <v>46098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27022044</v>
      </c>
      <c r="K16" s="45" t="s">
        <v>547</v>
      </c>
      <c r="L16" s="45" t="s">
        <v>548</v>
      </c>
      <c r="M16" s="61">
        <v>199900</v>
      </c>
      <c r="N16" s="64">
        <v>0.9</v>
      </c>
      <c r="O16" s="36">
        <f t="shared" si="0"/>
        <v>29985</v>
      </c>
      <c r="P16" s="25" t="s">
        <v>0</v>
      </c>
    </row>
    <row r="17" spans="1:16" x14ac:dyDescent="0.3">
      <c r="A17" s="25" t="s">
        <v>3215</v>
      </c>
      <c r="B17" s="26">
        <v>46093</v>
      </c>
      <c r="C17" s="26">
        <v>46098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27022053</v>
      </c>
      <c r="K17" s="43" t="s">
        <v>547</v>
      </c>
      <c r="L17" s="58" t="s">
        <v>549</v>
      </c>
      <c r="M17" s="61">
        <v>199900</v>
      </c>
      <c r="N17" s="64">
        <v>0.9</v>
      </c>
      <c r="O17" s="36">
        <f t="shared" si="0"/>
        <v>29985</v>
      </c>
      <c r="P17" s="25" t="s">
        <v>0</v>
      </c>
    </row>
    <row r="18" spans="1:16" x14ac:dyDescent="0.3">
      <c r="A18" s="25" t="s">
        <v>3215</v>
      </c>
      <c r="B18" s="26">
        <v>46093</v>
      </c>
      <c r="C18" s="26">
        <v>46098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27022062</v>
      </c>
      <c r="K18" s="43" t="s">
        <v>547</v>
      </c>
      <c r="L18" s="58" t="s">
        <v>550</v>
      </c>
      <c r="M18" s="61">
        <v>199900</v>
      </c>
      <c r="N18" s="64">
        <v>0.9</v>
      </c>
      <c r="O18" s="36">
        <f t="shared" si="0"/>
        <v>29985</v>
      </c>
      <c r="P18" s="25" t="s">
        <v>0</v>
      </c>
    </row>
    <row r="19" spans="1:16" x14ac:dyDescent="0.3">
      <c r="A19" s="25" t="s">
        <v>3215</v>
      </c>
      <c r="B19" s="26">
        <v>46093</v>
      </c>
      <c r="C19" s="26">
        <v>46098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27022071</v>
      </c>
      <c r="K19" s="43" t="s">
        <v>547</v>
      </c>
      <c r="L19" s="58" t="s">
        <v>551</v>
      </c>
      <c r="M19" s="61">
        <v>199900</v>
      </c>
      <c r="N19" s="64">
        <v>0.9</v>
      </c>
      <c r="O19" s="36">
        <f t="shared" si="0"/>
        <v>29985</v>
      </c>
      <c r="P19" s="25" t="s">
        <v>0</v>
      </c>
    </row>
    <row r="20" spans="1:16" x14ac:dyDescent="0.3">
      <c r="A20" s="25" t="s">
        <v>3215</v>
      </c>
      <c r="B20" s="26">
        <v>46093</v>
      </c>
      <c r="C20" s="26">
        <v>46098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27022080</v>
      </c>
      <c r="K20" s="43" t="s">
        <v>547</v>
      </c>
      <c r="L20" s="58" t="s">
        <v>552</v>
      </c>
      <c r="M20" s="61">
        <v>199900</v>
      </c>
      <c r="N20" s="64">
        <v>0.9</v>
      </c>
      <c r="O20" s="36">
        <f t="shared" si="0"/>
        <v>29985</v>
      </c>
      <c r="P20" s="25" t="s">
        <v>0</v>
      </c>
    </row>
    <row r="21" spans="1:16" x14ac:dyDescent="0.3">
      <c r="A21" s="25" t="s">
        <v>3215</v>
      </c>
      <c r="B21" s="26">
        <v>46093</v>
      </c>
      <c r="C21" s="26">
        <v>46098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27022099</v>
      </c>
      <c r="K21" s="43" t="s">
        <v>547</v>
      </c>
      <c r="L21" s="58" t="s">
        <v>553</v>
      </c>
      <c r="M21" s="61">
        <v>199900</v>
      </c>
      <c r="N21" s="64">
        <v>0.9</v>
      </c>
      <c r="O21" s="36">
        <f t="shared" si="0"/>
        <v>29985</v>
      </c>
      <c r="P21" s="25" t="s">
        <v>0</v>
      </c>
    </row>
    <row r="22" spans="1:16" x14ac:dyDescent="0.3">
      <c r="A22" s="25" t="s">
        <v>3215</v>
      </c>
      <c r="B22" s="26">
        <v>46093</v>
      </c>
      <c r="C22" s="26">
        <v>46098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27022106</v>
      </c>
      <c r="K22" s="43" t="s">
        <v>547</v>
      </c>
      <c r="L22" s="58" t="s">
        <v>554</v>
      </c>
      <c r="M22" s="61">
        <v>199900</v>
      </c>
      <c r="N22" s="64">
        <v>0.9</v>
      </c>
      <c r="O22" s="36">
        <f t="shared" si="0"/>
        <v>29985</v>
      </c>
      <c r="P22" s="25" t="s">
        <v>0</v>
      </c>
    </row>
    <row r="23" spans="1:16" x14ac:dyDescent="0.3">
      <c r="A23" s="25" t="s">
        <v>3215</v>
      </c>
      <c r="B23" s="26">
        <v>46093</v>
      </c>
      <c r="C23" s="26">
        <v>46098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27022115</v>
      </c>
      <c r="K23" s="43" t="s">
        <v>547</v>
      </c>
      <c r="L23" s="58" t="s">
        <v>555</v>
      </c>
      <c r="M23" s="61">
        <v>199900</v>
      </c>
      <c r="N23" s="64">
        <v>0.9</v>
      </c>
      <c r="O23" s="36">
        <f t="shared" si="0"/>
        <v>29985</v>
      </c>
      <c r="P23" s="25" t="s">
        <v>0</v>
      </c>
    </row>
    <row r="24" spans="1:16" x14ac:dyDescent="0.3">
      <c r="A24" s="25" t="s">
        <v>3215</v>
      </c>
      <c r="B24" s="26">
        <v>46093</v>
      </c>
      <c r="C24" s="26">
        <v>46098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27022124</v>
      </c>
      <c r="K24" s="43" t="s">
        <v>547</v>
      </c>
      <c r="L24" s="58" t="s">
        <v>556</v>
      </c>
      <c r="M24" s="61">
        <v>199900</v>
      </c>
      <c r="N24" s="64">
        <v>0.9</v>
      </c>
      <c r="O24" s="36">
        <f t="shared" si="0"/>
        <v>29985</v>
      </c>
      <c r="P24" s="25" t="s">
        <v>0</v>
      </c>
    </row>
    <row r="25" spans="1:16" x14ac:dyDescent="0.3">
      <c r="A25" s="25" t="s">
        <v>3215</v>
      </c>
      <c r="B25" s="26">
        <v>46093</v>
      </c>
      <c r="C25" s="26">
        <v>46098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27022133</v>
      </c>
      <c r="K25" s="43" t="s">
        <v>547</v>
      </c>
      <c r="L25" s="58" t="s">
        <v>557</v>
      </c>
      <c r="M25" s="61">
        <v>199900</v>
      </c>
      <c r="N25" s="64">
        <v>0.9</v>
      </c>
      <c r="O25" s="36">
        <f t="shared" si="0"/>
        <v>29985</v>
      </c>
      <c r="P25" s="25" t="s">
        <v>0</v>
      </c>
    </row>
    <row r="26" spans="1:16" x14ac:dyDescent="0.3">
      <c r="A26" s="25" t="s">
        <v>3215</v>
      </c>
      <c r="B26" s="26">
        <v>46093</v>
      </c>
      <c r="C26" s="26">
        <v>46098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27022222</v>
      </c>
      <c r="K26" s="43" t="s">
        <v>558</v>
      </c>
      <c r="L26" s="58" t="s">
        <v>559</v>
      </c>
      <c r="M26" s="61">
        <v>239900</v>
      </c>
      <c r="N26" s="64">
        <v>0.9</v>
      </c>
      <c r="O26" s="36">
        <f t="shared" si="0"/>
        <v>35985</v>
      </c>
      <c r="P26" s="25" t="s">
        <v>0</v>
      </c>
    </row>
    <row r="27" spans="1:16" x14ac:dyDescent="0.3">
      <c r="A27" s="25" t="s">
        <v>3215</v>
      </c>
      <c r="B27" s="26">
        <v>46093</v>
      </c>
      <c r="C27" s="26">
        <v>46098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27022231</v>
      </c>
      <c r="K27" s="43" t="s">
        <v>558</v>
      </c>
      <c r="L27" s="58" t="s">
        <v>560</v>
      </c>
      <c r="M27" s="61">
        <v>239900</v>
      </c>
      <c r="N27" s="64">
        <v>0.9</v>
      </c>
      <c r="O27" s="36">
        <f t="shared" si="0"/>
        <v>35985</v>
      </c>
      <c r="P27" s="25" t="s">
        <v>0</v>
      </c>
    </row>
    <row r="28" spans="1:16" x14ac:dyDescent="0.3">
      <c r="A28" s="25" t="s">
        <v>3215</v>
      </c>
      <c r="B28" s="26">
        <v>46093</v>
      </c>
      <c r="C28" s="26">
        <v>46098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27022240</v>
      </c>
      <c r="K28" s="43" t="s">
        <v>558</v>
      </c>
      <c r="L28" s="58" t="s">
        <v>561</v>
      </c>
      <c r="M28" s="61">
        <v>239900</v>
      </c>
      <c r="N28" s="64">
        <v>0.9</v>
      </c>
      <c r="O28" s="36">
        <f t="shared" si="0"/>
        <v>35985</v>
      </c>
      <c r="P28" s="25" t="s">
        <v>0</v>
      </c>
    </row>
    <row r="29" spans="1:16" x14ac:dyDescent="0.3">
      <c r="A29" s="25" t="s">
        <v>3215</v>
      </c>
      <c r="B29" s="26">
        <v>46093</v>
      </c>
      <c r="C29" s="26">
        <v>46098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27022259</v>
      </c>
      <c r="K29" s="43" t="s">
        <v>558</v>
      </c>
      <c r="L29" s="58" t="s">
        <v>562</v>
      </c>
      <c r="M29" s="61">
        <v>239900</v>
      </c>
      <c r="N29" s="64">
        <v>0.9</v>
      </c>
      <c r="O29" s="36">
        <f t="shared" si="0"/>
        <v>35985</v>
      </c>
      <c r="P29" s="25" t="s">
        <v>0</v>
      </c>
    </row>
    <row r="30" spans="1:16" x14ac:dyDescent="0.3">
      <c r="A30" s="25" t="s">
        <v>3215</v>
      </c>
      <c r="B30" s="26">
        <v>46093</v>
      </c>
      <c r="C30" s="26">
        <v>46098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27022268</v>
      </c>
      <c r="K30" s="43" t="s">
        <v>558</v>
      </c>
      <c r="L30" s="58" t="s">
        <v>563</v>
      </c>
      <c r="M30" s="61">
        <v>239900</v>
      </c>
      <c r="N30" s="64">
        <v>0.9</v>
      </c>
      <c r="O30" s="36">
        <f t="shared" si="0"/>
        <v>35985</v>
      </c>
      <c r="P30" s="25" t="s">
        <v>0</v>
      </c>
    </row>
    <row r="31" spans="1:16" x14ac:dyDescent="0.3">
      <c r="A31" s="25" t="s">
        <v>3215</v>
      </c>
      <c r="B31" s="26">
        <v>46093</v>
      </c>
      <c r="C31" s="26">
        <v>46098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27022277</v>
      </c>
      <c r="K31" s="43" t="s">
        <v>558</v>
      </c>
      <c r="L31" s="58" t="s">
        <v>564</v>
      </c>
      <c r="M31" s="61">
        <v>239900</v>
      </c>
      <c r="N31" s="64">
        <v>0.9</v>
      </c>
      <c r="O31" s="36">
        <f t="shared" si="0"/>
        <v>35985</v>
      </c>
      <c r="P31" s="25" t="s">
        <v>0</v>
      </c>
    </row>
    <row r="32" spans="1:16" x14ac:dyDescent="0.3">
      <c r="A32" s="25" t="s">
        <v>3215</v>
      </c>
      <c r="B32" s="26">
        <v>46093</v>
      </c>
      <c r="C32" s="26">
        <v>46098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27022286</v>
      </c>
      <c r="K32" s="43" t="s">
        <v>558</v>
      </c>
      <c r="L32" s="58" t="s">
        <v>565</v>
      </c>
      <c r="M32" s="61">
        <v>239900</v>
      </c>
      <c r="N32" s="64">
        <v>0.9</v>
      </c>
      <c r="O32" s="36">
        <f t="shared" si="0"/>
        <v>35985</v>
      </c>
      <c r="P32" s="25" t="s">
        <v>0</v>
      </c>
    </row>
    <row r="33" spans="1:16" x14ac:dyDescent="0.3">
      <c r="A33" s="25" t="s">
        <v>3215</v>
      </c>
      <c r="B33" s="26">
        <v>46093</v>
      </c>
      <c r="C33" s="26">
        <v>46098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27022295</v>
      </c>
      <c r="K33" s="43" t="s">
        <v>558</v>
      </c>
      <c r="L33" s="58" t="s">
        <v>566</v>
      </c>
      <c r="M33" s="61">
        <v>239900</v>
      </c>
      <c r="N33" s="64">
        <v>0.9</v>
      </c>
      <c r="O33" s="36">
        <f t="shared" si="0"/>
        <v>35985</v>
      </c>
      <c r="P33" s="25" t="s">
        <v>0</v>
      </c>
    </row>
    <row r="34" spans="1:16" x14ac:dyDescent="0.3">
      <c r="A34" s="25" t="s">
        <v>3215</v>
      </c>
      <c r="B34" s="26">
        <v>46093</v>
      </c>
      <c r="C34" s="26">
        <v>46098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27022302</v>
      </c>
      <c r="K34" s="43" t="s">
        <v>558</v>
      </c>
      <c r="L34" s="58" t="s">
        <v>567</v>
      </c>
      <c r="M34" s="61">
        <v>239900</v>
      </c>
      <c r="N34" s="64">
        <v>0.9</v>
      </c>
      <c r="O34" s="36">
        <f t="shared" si="0"/>
        <v>35985</v>
      </c>
      <c r="P34" s="25" t="s">
        <v>0</v>
      </c>
    </row>
    <row r="35" spans="1:16" x14ac:dyDescent="0.3">
      <c r="A35" s="25" t="s">
        <v>3215</v>
      </c>
      <c r="B35" s="26">
        <v>46093</v>
      </c>
      <c r="C35" s="26">
        <v>46098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27022311</v>
      </c>
      <c r="K35" s="43" t="s">
        <v>558</v>
      </c>
      <c r="L35" s="58" t="s">
        <v>568</v>
      </c>
      <c r="M35" s="61">
        <v>239900</v>
      </c>
      <c r="N35" s="64">
        <v>0.9</v>
      </c>
      <c r="O35" s="36">
        <f t="shared" si="0"/>
        <v>35985</v>
      </c>
      <c r="P35" s="25" t="s">
        <v>0</v>
      </c>
    </row>
    <row r="36" spans="1:16" x14ac:dyDescent="0.3">
      <c r="A36" s="25" t="s">
        <v>3215</v>
      </c>
      <c r="B36" s="26">
        <v>46093</v>
      </c>
      <c r="C36" s="26">
        <v>46098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27847029</v>
      </c>
      <c r="K36" s="43" t="s">
        <v>508</v>
      </c>
      <c r="L36" s="58" t="s">
        <v>569</v>
      </c>
      <c r="M36" s="61">
        <v>279900</v>
      </c>
      <c r="N36" s="64">
        <v>0.9</v>
      </c>
      <c r="O36" s="36">
        <f t="shared" si="0"/>
        <v>41985</v>
      </c>
      <c r="P36" s="25" t="s">
        <v>0</v>
      </c>
    </row>
    <row r="37" spans="1:16" x14ac:dyDescent="0.3">
      <c r="A37" s="25" t="s">
        <v>3215</v>
      </c>
      <c r="B37" s="26">
        <v>46093</v>
      </c>
      <c r="C37" s="26">
        <v>46098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27847038</v>
      </c>
      <c r="K37" s="43" t="s">
        <v>508</v>
      </c>
      <c r="L37" s="58" t="s">
        <v>570</v>
      </c>
      <c r="M37" s="61">
        <v>279900</v>
      </c>
      <c r="N37" s="64">
        <v>0.9</v>
      </c>
      <c r="O37" s="36">
        <f t="shared" si="0"/>
        <v>41985</v>
      </c>
      <c r="P37" s="25" t="s">
        <v>0</v>
      </c>
    </row>
    <row r="38" spans="1:16" x14ac:dyDescent="0.3">
      <c r="A38" s="25" t="s">
        <v>3215</v>
      </c>
      <c r="B38" s="26">
        <v>46093</v>
      </c>
      <c r="C38" s="26">
        <v>46098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27847047</v>
      </c>
      <c r="K38" s="43" t="s">
        <v>508</v>
      </c>
      <c r="L38" s="58" t="s">
        <v>571</v>
      </c>
      <c r="M38" s="61">
        <v>279900</v>
      </c>
      <c r="N38" s="64">
        <v>0.9</v>
      </c>
      <c r="O38" s="36">
        <f t="shared" si="0"/>
        <v>41985</v>
      </c>
      <c r="P38" s="25" t="s">
        <v>0</v>
      </c>
    </row>
    <row r="39" spans="1:16" x14ac:dyDescent="0.3">
      <c r="A39" s="25" t="s">
        <v>3215</v>
      </c>
      <c r="B39" s="26">
        <v>46093</v>
      </c>
      <c r="C39" s="26">
        <v>46098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27847056</v>
      </c>
      <c r="K39" s="43" t="s">
        <v>508</v>
      </c>
      <c r="L39" s="58" t="s">
        <v>572</v>
      </c>
      <c r="M39" s="61">
        <v>279900</v>
      </c>
      <c r="N39" s="64">
        <v>0.9</v>
      </c>
      <c r="O39" s="36">
        <f t="shared" si="0"/>
        <v>41985</v>
      </c>
      <c r="P39" s="25" t="s">
        <v>0</v>
      </c>
    </row>
    <row r="40" spans="1:16" x14ac:dyDescent="0.3">
      <c r="A40" s="25" t="s">
        <v>3215</v>
      </c>
      <c r="B40" s="26">
        <v>46093</v>
      </c>
      <c r="C40" s="26">
        <v>46098</v>
      </c>
      <c r="D40" s="25">
        <v>3319</v>
      </c>
      <c r="E40" s="25">
        <v>327</v>
      </c>
      <c r="F40" s="25">
        <v>2</v>
      </c>
      <c r="G40" s="48">
        <v>1</v>
      </c>
      <c r="H40" s="48">
        <v>81433</v>
      </c>
      <c r="I40" s="48" t="s">
        <v>17</v>
      </c>
      <c r="J40" s="50">
        <v>27847065</v>
      </c>
      <c r="K40" s="43" t="s">
        <v>508</v>
      </c>
      <c r="L40" s="58" t="s">
        <v>573</v>
      </c>
      <c r="M40" s="61">
        <v>279900</v>
      </c>
      <c r="N40" s="64">
        <v>0.9</v>
      </c>
      <c r="O40" s="36">
        <f t="shared" si="0"/>
        <v>41985</v>
      </c>
      <c r="P40" s="25" t="s">
        <v>0</v>
      </c>
    </row>
    <row r="41" spans="1:16" x14ac:dyDescent="0.3">
      <c r="A41" s="25" t="s">
        <v>3215</v>
      </c>
      <c r="B41" s="26">
        <v>46093</v>
      </c>
      <c r="C41" s="26">
        <v>46098</v>
      </c>
      <c r="D41" s="25">
        <v>3319</v>
      </c>
      <c r="E41" s="25">
        <v>327</v>
      </c>
      <c r="F41" s="25">
        <v>2</v>
      </c>
      <c r="G41" s="48">
        <v>1</v>
      </c>
      <c r="H41" s="48">
        <v>81433</v>
      </c>
      <c r="I41" s="48" t="s">
        <v>17</v>
      </c>
      <c r="J41" s="50">
        <v>27847127</v>
      </c>
      <c r="K41" s="43" t="s">
        <v>508</v>
      </c>
      <c r="L41" s="58" t="s">
        <v>574</v>
      </c>
      <c r="M41" s="61">
        <v>279900</v>
      </c>
      <c r="N41" s="64">
        <v>0.9</v>
      </c>
      <c r="O41" s="36">
        <f t="shared" si="0"/>
        <v>41985</v>
      </c>
      <c r="P41" s="25" t="s">
        <v>0</v>
      </c>
    </row>
    <row r="42" spans="1:16" x14ac:dyDescent="0.3">
      <c r="A42" s="25" t="s">
        <v>3215</v>
      </c>
      <c r="B42" s="26">
        <v>46093</v>
      </c>
      <c r="C42" s="26">
        <v>46098</v>
      </c>
      <c r="D42" s="25">
        <v>3319</v>
      </c>
      <c r="E42" s="25">
        <v>327</v>
      </c>
      <c r="F42" s="25">
        <v>2</v>
      </c>
      <c r="G42" s="48">
        <v>1</v>
      </c>
      <c r="H42" s="48">
        <v>81433</v>
      </c>
      <c r="I42" s="48" t="s">
        <v>17</v>
      </c>
      <c r="J42" s="50">
        <v>27847136</v>
      </c>
      <c r="K42" s="43" t="s">
        <v>508</v>
      </c>
      <c r="L42" s="58" t="s">
        <v>575</v>
      </c>
      <c r="M42" s="61">
        <v>279900</v>
      </c>
      <c r="N42" s="64">
        <v>0.9</v>
      </c>
      <c r="O42" s="36">
        <f t="shared" si="0"/>
        <v>41985</v>
      </c>
      <c r="P42" s="25" t="s">
        <v>0</v>
      </c>
    </row>
    <row r="43" spans="1:16" x14ac:dyDescent="0.3">
      <c r="A43" s="25" t="s">
        <v>3215</v>
      </c>
      <c r="B43" s="26">
        <v>46093</v>
      </c>
      <c r="C43" s="26">
        <v>46098</v>
      </c>
      <c r="D43" s="25">
        <v>3319</v>
      </c>
      <c r="E43" s="25">
        <v>327</v>
      </c>
      <c r="F43" s="25">
        <v>2</v>
      </c>
      <c r="G43" s="48">
        <v>1</v>
      </c>
      <c r="H43" s="48">
        <v>81433</v>
      </c>
      <c r="I43" s="48" t="s">
        <v>17</v>
      </c>
      <c r="J43" s="50">
        <v>27847145</v>
      </c>
      <c r="K43" s="43" t="s">
        <v>508</v>
      </c>
      <c r="L43" s="58" t="s">
        <v>576</v>
      </c>
      <c r="M43" s="61">
        <v>279900</v>
      </c>
      <c r="N43" s="64">
        <v>0.9</v>
      </c>
      <c r="O43" s="36">
        <f t="shared" si="0"/>
        <v>41985</v>
      </c>
      <c r="P43" s="25" t="s">
        <v>0</v>
      </c>
    </row>
    <row r="44" spans="1:16" x14ac:dyDescent="0.3">
      <c r="A44" s="25" t="s">
        <v>3215</v>
      </c>
      <c r="B44" s="26">
        <v>46093</v>
      </c>
      <c r="C44" s="26">
        <v>46098</v>
      </c>
      <c r="D44" s="25">
        <v>3319</v>
      </c>
      <c r="E44" s="25">
        <v>327</v>
      </c>
      <c r="F44" s="25">
        <v>2</v>
      </c>
      <c r="G44" s="48">
        <v>1</v>
      </c>
      <c r="H44" s="48">
        <v>81433</v>
      </c>
      <c r="I44" s="48" t="s">
        <v>17</v>
      </c>
      <c r="J44" s="50">
        <v>27847154</v>
      </c>
      <c r="K44" s="43" t="s">
        <v>508</v>
      </c>
      <c r="L44" s="58" t="s">
        <v>577</v>
      </c>
      <c r="M44" s="61">
        <v>279900</v>
      </c>
      <c r="N44" s="64">
        <v>0.9</v>
      </c>
      <c r="O44" s="36">
        <f t="shared" si="0"/>
        <v>41985</v>
      </c>
      <c r="P44" s="25" t="s">
        <v>0</v>
      </c>
    </row>
    <row r="45" spans="1:16" x14ac:dyDescent="0.3">
      <c r="A45" s="25" t="s">
        <v>3215</v>
      </c>
      <c r="B45" s="26">
        <v>46093</v>
      </c>
      <c r="C45" s="26">
        <v>46098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27847163</v>
      </c>
      <c r="K45" s="43" t="s">
        <v>508</v>
      </c>
      <c r="L45" s="58" t="s">
        <v>578</v>
      </c>
      <c r="M45" s="61">
        <v>279900</v>
      </c>
      <c r="N45" s="64">
        <v>0.9</v>
      </c>
      <c r="O45" s="36">
        <f t="shared" si="0"/>
        <v>41985</v>
      </c>
      <c r="P45" s="25" t="s">
        <v>0</v>
      </c>
    </row>
    <row r="46" spans="1:16" x14ac:dyDescent="0.3">
      <c r="A46" s="25" t="s">
        <v>3215</v>
      </c>
      <c r="B46" s="26">
        <v>46093</v>
      </c>
      <c r="C46" s="26">
        <v>46098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27881072</v>
      </c>
      <c r="K46" s="43" t="s">
        <v>579</v>
      </c>
      <c r="L46" s="58" t="s">
        <v>580</v>
      </c>
      <c r="M46" s="61">
        <v>199900</v>
      </c>
      <c r="N46" s="64">
        <v>0.9</v>
      </c>
      <c r="O46" s="36">
        <f t="shared" si="0"/>
        <v>29985</v>
      </c>
      <c r="P46" s="25" t="s">
        <v>0</v>
      </c>
    </row>
    <row r="47" spans="1:16" x14ac:dyDescent="0.3">
      <c r="A47" s="25" t="s">
        <v>3215</v>
      </c>
      <c r="B47" s="26">
        <v>46093</v>
      </c>
      <c r="C47" s="26">
        <v>46098</v>
      </c>
      <c r="D47" s="25">
        <v>3319</v>
      </c>
      <c r="E47" s="25">
        <v>327</v>
      </c>
      <c r="F47" s="25">
        <v>2</v>
      </c>
      <c r="G47" s="48">
        <v>1</v>
      </c>
      <c r="H47" s="48">
        <v>81433</v>
      </c>
      <c r="I47" s="48" t="s">
        <v>17</v>
      </c>
      <c r="J47" s="50">
        <v>27881081</v>
      </c>
      <c r="K47" s="43" t="s">
        <v>579</v>
      </c>
      <c r="L47" s="58" t="s">
        <v>581</v>
      </c>
      <c r="M47" s="61">
        <v>199900</v>
      </c>
      <c r="N47" s="64">
        <v>0.9</v>
      </c>
      <c r="O47" s="36">
        <f t="shared" si="0"/>
        <v>29985</v>
      </c>
      <c r="P47" s="25" t="s">
        <v>0</v>
      </c>
    </row>
    <row r="48" spans="1:16" x14ac:dyDescent="0.3">
      <c r="A48" s="25" t="s">
        <v>3215</v>
      </c>
      <c r="B48" s="26">
        <v>46093</v>
      </c>
      <c r="C48" s="26">
        <v>46098</v>
      </c>
      <c r="D48" s="25">
        <v>3319</v>
      </c>
      <c r="E48" s="25">
        <v>327</v>
      </c>
      <c r="F48" s="25">
        <v>2</v>
      </c>
      <c r="G48" s="48">
        <v>1</v>
      </c>
      <c r="H48" s="48">
        <v>81433</v>
      </c>
      <c r="I48" s="48" t="s">
        <v>17</v>
      </c>
      <c r="J48" s="50">
        <v>27881090</v>
      </c>
      <c r="K48" s="43" t="s">
        <v>579</v>
      </c>
      <c r="L48" s="58" t="s">
        <v>582</v>
      </c>
      <c r="M48" s="61">
        <v>199900</v>
      </c>
      <c r="N48" s="64">
        <v>0.9</v>
      </c>
      <c r="O48" s="36">
        <f t="shared" si="0"/>
        <v>29985</v>
      </c>
      <c r="P48" s="25" t="s">
        <v>0</v>
      </c>
    </row>
    <row r="49" spans="1:16" x14ac:dyDescent="0.3">
      <c r="A49" s="25" t="s">
        <v>3215</v>
      </c>
      <c r="B49" s="26">
        <v>46093</v>
      </c>
      <c r="C49" s="26">
        <v>46098</v>
      </c>
      <c r="D49" s="25">
        <v>3319</v>
      </c>
      <c r="E49" s="25">
        <v>327</v>
      </c>
      <c r="F49" s="25">
        <v>2</v>
      </c>
      <c r="G49" s="48">
        <v>1</v>
      </c>
      <c r="H49" s="48">
        <v>81433</v>
      </c>
      <c r="I49" s="48" t="s">
        <v>17</v>
      </c>
      <c r="J49" s="50">
        <v>27881107</v>
      </c>
      <c r="K49" s="43" t="s">
        <v>579</v>
      </c>
      <c r="L49" s="58" t="s">
        <v>583</v>
      </c>
      <c r="M49" s="61">
        <v>199900</v>
      </c>
      <c r="N49" s="64">
        <v>0.9</v>
      </c>
      <c r="O49" s="36">
        <f t="shared" si="0"/>
        <v>29985</v>
      </c>
      <c r="P49" s="25" t="s">
        <v>0</v>
      </c>
    </row>
    <row r="50" spans="1:16" x14ac:dyDescent="0.3">
      <c r="A50" s="25" t="s">
        <v>3215</v>
      </c>
      <c r="B50" s="26">
        <v>46093</v>
      </c>
      <c r="C50" s="26">
        <v>46098</v>
      </c>
      <c r="D50" s="25">
        <v>3319</v>
      </c>
      <c r="E50" s="25">
        <v>327</v>
      </c>
      <c r="F50" s="25">
        <v>2</v>
      </c>
      <c r="G50" s="48">
        <v>1</v>
      </c>
      <c r="H50" s="48">
        <v>81433</v>
      </c>
      <c r="I50" s="48" t="s">
        <v>17</v>
      </c>
      <c r="J50" s="50">
        <v>27881116</v>
      </c>
      <c r="K50" s="43" t="s">
        <v>579</v>
      </c>
      <c r="L50" s="58" t="s">
        <v>584</v>
      </c>
      <c r="M50" s="61">
        <v>199900</v>
      </c>
      <c r="N50" s="64">
        <v>0.9</v>
      </c>
      <c r="O50" s="36">
        <f t="shared" si="0"/>
        <v>29985</v>
      </c>
      <c r="P50" s="25" t="s">
        <v>0</v>
      </c>
    </row>
    <row r="51" spans="1:16" x14ac:dyDescent="0.3">
      <c r="A51" s="25" t="s">
        <v>3215</v>
      </c>
      <c r="B51" s="26">
        <v>46093</v>
      </c>
      <c r="C51" s="26">
        <v>46098</v>
      </c>
      <c r="D51" s="25">
        <v>3319</v>
      </c>
      <c r="E51" s="25">
        <v>327</v>
      </c>
      <c r="F51" s="25">
        <v>2</v>
      </c>
      <c r="G51" s="48">
        <v>1</v>
      </c>
      <c r="H51" s="48">
        <v>81433</v>
      </c>
      <c r="I51" s="48" t="s">
        <v>17</v>
      </c>
      <c r="J51" s="50">
        <v>27881554</v>
      </c>
      <c r="K51" s="43" t="s">
        <v>579</v>
      </c>
      <c r="L51" s="58" t="s">
        <v>585</v>
      </c>
      <c r="M51" s="61">
        <v>199900</v>
      </c>
      <c r="N51" s="64">
        <v>0.9</v>
      </c>
      <c r="O51" s="36">
        <f t="shared" si="0"/>
        <v>29985</v>
      </c>
      <c r="P51" s="25" t="s">
        <v>0</v>
      </c>
    </row>
    <row r="52" spans="1:16" x14ac:dyDescent="0.3">
      <c r="A52" s="25" t="s">
        <v>3215</v>
      </c>
      <c r="B52" s="26">
        <v>46093</v>
      </c>
      <c r="C52" s="26">
        <v>46098</v>
      </c>
      <c r="D52" s="25">
        <v>3319</v>
      </c>
      <c r="E52" s="25">
        <v>327</v>
      </c>
      <c r="F52" s="25">
        <v>2</v>
      </c>
      <c r="G52" s="48">
        <v>1</v>
      </c>
      <c r="H52" s="48">
        <v>81433</v>
      </c>
      <c r="I52" s="48" t="s">
        <v>17</v>
      </c>
      <c r="J52" s="50">
        <v>27881563</v>
      </c>
      <c r="K52" s="43" t="s">
        <v>579</v>
      </c>
      <c r="L52" s="58" t="s">
        <v>586</v>
      </c>
      <c r="M52" s="61">
        <v>199900</v>
      </c>
      <c r="N52" s="64">
        <v>0.9</v>
      </c>
      <c r="O52" s="36">
        <f t="shared" si="0"/>
        <v>29985</v>
      </c>
      <c r="P52" s="25" t="s">
        <v>0</v>
      </c>
    </row>
    <row r="53" spans="1:16" x14ac:dyDescent="0.3">
      <c r="A53" s="25" t="s">
        <v>3215</v>
      </c>
      <c r="B53" s="26">
        <v>46093</v>
      </c>
      <c r="C53" s="26">
        <v>46098</v>
      </c>
      <c r="D53" s="25">
        <v>3319</v>
      </c>
      <c r="E53" s="25">
        <v>327</v>
      </c>
      <c r="F53" s="25">
        <v>2</v>
      </c>
      <c r="G53" s="48">
        <v>1</v>
      </c>
      <c r="H53" s="48">
        <v>81433</v>
      </c>
      <c r="I53" s="48" t="s">
        <v>17</v>
      </c>
      <c r="J53" s="50">
        <v>27881572</v>
      </c>
      <c r="K53" s="43" t="s">
        <v>579</v>
      </c>
      <c r="L53" s="58" t="s">
        <v>587</v>
      </c>
      <c r="M53" s="61">
        <v>199900</v>
      </c>
      <c r="N53" s="64">
        <v>0.9</v>
      </c>
      <c r="O53" s="36">
        <f t="shared" si="0"/>
        <v>29985</v>
      </c>
      <c r="P53" s="25" t="s">
        <v>0</v>
      </c>
    </row>
    <row r="54" spans="1:16" x14ac:dyDescent="0.3">
      <c r="A54" s="25" t="s">
        <v>3215</v>
      </c>
      <c r="B54" s="26">
        <v>46093</v>
      </c>
      <c r="C54" s="26">
        <v>46098</v>
      </c>
      <c r="D54" s="25">
        <v>3319</v>
      </c>
      <c r="E54" s="25">
        <v>327</v>
      </c>
      <c r="F54" s="25">
        <v>2</v>
      </c>
      <c r="G54" s="48">
        <v>1</v>
      </c>
      <c r="H54" s="48">
        <v>81433</v>
      </c>
      <c r="I54" s="48" t="s">
        <v>17</v>
      </c>
      <c r="J54" s="50">
        <v>27881581</v>
      </c>
      <c r="K54" s="43" t="s">
        <v>579</v>
      </c>
      <c r="L54" s="58" t="s">
        <v>588</v>
      </c>
      <c r="M54" s="61">
        <v>199900</v>
      </c>
      <c r="N54" s="64">
        <v>0.9</v>
      </c>
      <c r="O54" s="36">
        <f t="shared" si="0"/>
        <v>29985</v>
      </c>
      <c r="P54" s="25" t="s">
        <v>0</v>
      </c>
    </row>
    <row r="55" spans="1:16" x14ac:dyDescent="0.3">
      <c r="A55" s="25" t="s">
        <v>3215</v>
      </c>
      <c r="B55" s="26">
        <v>46093</v>
      </c>
      <c r="C55" s="26">
        <v>46098</v>
      </c>
      <c r="D55" s="25">
        <v>3319</v>
      </c>
      <c r="E55" s="25">
        <v>327</v>
      </c>
      <c r="F55" s="25">
        <v>2</v>
      </c>
      <c r="G55" s="48">
        <v>1</v>
      </c>
      <c r="H55" s="48">
        <v>81433</v>
      </c>
      <c r="I55" s="28" t="s">
        <v>17</v>
      </c>
      <c r="J55" s="50">
        <v>27881590</v>
      </c>
      <c r="K55" s="43" t="s">
        <v>579</v>
      </c>
      <c r="L55" s="58" t="s">
        <v>589</v>
      </c>
      <c r="M55" s="61">
        <v>199900</v>
      </c>
      <c r="N55" s="64">
        <v>0.9</v>
      </c>
      <c r="O55" s="36">
        <f t="shared" si="0"/>
        <v>29985</v>
      </c>
      <c r="P55" s="25" t="s">
        <v>0</v>
      </c>
    </row>
    <row r="56" spans="1:16" x14ac:dyDescent="0.3">
      <c r="A56" s="25" t="s">
        <v>3215</v>
      </c>
      <c r="B56" s="26">
        <v>46093</v>
      </c>
      <c r="C56" s="26">
        <v>46098</v>
      </c>
      <c r="D56" s="25">
        <v>3319</v>
      </c>
      <c r="E56" s="25">
        <v>327</v>
      </c>
      <c r="F56" s="25">
        <v>2</v>
      </c>
      <c r="G56" s="48">
        <v>1</v>
      </c>
      <c r="H56" s="48">
        <v>81433</v>
      </c>
      <c r="I56" s="28" t="s">
        <v>17</v>
      </c>
      <c r="J56" s="50">
        <v>28701406</v>
      </c>
      <c r="K56" s="43" t="s">
        <v>590</v>
      </c>
      <c r="L56" s="58" t="s">
        <v>591</v>
      </c>
      <c r="M56" s="61">
        <v>299900</v>
      </c>
      <c r="N56" s="64">
        <v>0.9</v>
      </c>
      <c r="O56" s="36">
        <f t="shared" si="0"/>
        <v>44985</v>
      </c>
      <c r="P56" s="25" t="s">
        <v>0</v>
      </c>
    </row>
    <row r="57" spans="1:16" x14ac:dyDescent="0.3">
      <c r="A57" s="25" t="s">
        <v>3215</v>
      </c>
      <c r="B57" s="26">
        <v>46093</v>
      </c>
      <c r="C57" s="26">
        <v>46098</v>
      </c>
      <c r="D57" s="25">
        <v>3319</v>
      </c>
      <c r="E57" s="25">
        <v>327</v>
      </c>
      <c r="F57" s="25">
        <v>2</v>
      </c>
      <c r="G57" s="48">
        <v>1</v>
      </c>
      <c r="H57" s="48">
        <v>81433</v>
      </c>
      <c r="I57" s="28" t="s">
        <v>17</v>
      </c>
      <c r="J57" s="50">
        <v>28701415</v>
      </c>
      <c r="K57" s="43" t="s">
        <v>590</v>
      </c>
      <c r="L57" s="58" t="s">
        <v>592</v>
      </c>
      <c r="M57" s="61">
        <v>299900</v>
      </c>
      <c r="N57" s="64">
        <v>0.9</v>
      </c>
      <c r="O57" s="36">
        <f t="shared" si="0"/>
        <v>44985</v>
      </c>
      <c r="P57" s="25" t="s">
        <v>0</v>
      </c>
    </row>
    <row r="58" spans="1:16" x14ac:dyDescent="0.3">
      <c r="A58" s="25" t="s">
        <v>3215</v>
      </c>
      <c r="B58" s="26">
        <v>46093</v>
      </c>
      <c r="C58" s="26">
        <v>46098</v>
      </c>
      <c r="D58" s="25">
        <v>3319</v>
      </c>
      <c r="E58" s="25">
        <v>327</v>
      </c>
      <c r="F58" s="25">
        <v>2</v>
      </c>
      <c r="G58" s="48">
        <v>1</v>
      </c>
      <c r="H58" s="48">
        <v>81433</v>
      </c>
      <c r="I58" s="28" t="s">
        <v>17</v>
      </c>
      <c r="J58" s="50">
        <v>28701424</v>
      </c>
      <c r="K58" s="43" t="s">
        <v>590</v>
      </c>
      <c r="L58" s="58" t="s">
        <v>593</v>
      </c>
      <c r="M58" s="61">
        <v>299900</v>
      </c>
      <c r="N58" s="64">
        <v>0.9</v>
      </c>
      <c r="O58" s="36">
        <f t="shared" si="0"/>
        <v>44985</v>
      </c>
      <c r="P58" s="25" t="s">
        <v>0</v>
      </c>
    </row>
    <row r="59" spans="1:16" x14ac:dyDescent="0.3">
      <c r="A59" s="25" t="s">
        <v>3215</v>
      </c>
      <c r="B59" s="26">
        <v>46093</v>
      </c>
      <c r="C59" s="26">
        <v>46098</v>
      </c>
      <c r="D59" s="25">
        <v>3319</v>
      </c>
      <c r="E59" s="25">
        <v>327</v>
      </c>
      <c r="F59" s="25">
        <v>2</v>
      </c>
      <c r="G59" s="48">
        <v>1</v>
      </c>
      <c r="H59" s="48">
        <v>81433</v>
      </c>
      <c r="I59" s="28" t="s">
        <v>17</v>
      </c>
      <c r="J59" s="50">
        <v>28701433</v>
      </c>
      <c r="K59" s="43" t="s">
        <v>590</v>
      </c>
      <c r="L59" s="58" t="s">
        <v>594</v>
      </c>
      <c r="M59" s="61">
        <v>299900</v>
      </c>
      <c r="N59" s="64">
        <v>0.9</v>
      </c>
      <c r="O59" s="36">
        <f t="shared" si="0"/>
        <v>44985</v>
      </c>
      <c r="P59" s="25" t="s">
        <v>0</v>
      </c>
    </row>
    <row r="60" spans="1:16" x14ac:dyDescent="0.3">
      <c r="A60" s="25" t="s">
        <v>3215</v>
      </c>
      <c r="B60" s="26">
        <v>46093</v>
      </c>
      <c r="C60" s="26">
        <v>46098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28701442</v>
      </c>
      <c r="K60" t="s">
        <v>590</v>
      </c>
      <c r="L60" s="6" t="s">
        <v>595</v>
      </c>
      <c r="M60" s="62">
        <v>299900</v>
      </c>
      <c r="N60" s="64">
        <v>0.9</v>
      </c>
      <c r="O60" s="36">
        <f t="shared" si="0"/>
        <v>44985</v>
      </c>
      <c r="P60" s="25" t="s">
        <v>0</v>
      </c>
    </row>
    <row r="61" spans="1:16" x14ac:dyDescent="0.3">
      <c r="A61" s="25" t="s">
        <v>3215</v>
      </c>
      <c r="B61" s="26">
        <v>46093</v>
      </c>
      <c r="C61" s="26">
        <v>46098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28701451</v>
      </c>
      <c r="K61" t="s">
        <v>596</v>
      </c>
      <c r="L61" s="6" t="s">
        <v>597</v>
      </c>
      <c r="M61" s="62">
        <v>199900</v>
      </c>
      <c r="N61" s="64">
        <v>0.9</v>
      </c>
      <c r="O61" s="36">
        <f t="shared" si="0"/>
        <v>29985</v>
      </c>
      <c r="P61" s="25" t="s">
        <v>0</v>
      </c>
    </row>
    <row r="62" spans="1:16" x14ac:dyDescent="0.3">
      <c r="A62" s="25" t="s">
        <v>3215</v>
      </c>
      <c r="B62" s="26">
        <v>46093</v>
      </c>
      <c r="C62" s="26">
        <v>46098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28701460</v>
      </c>
      <c r="K62" t="s">
        <v>596</v>
      </c>
      <c r="L62" s="6" t="s">
        <v>598</v>
      </c>
      <c r="M62" s="62">
        <v>199900</v>
      </c>
      <c r="N62" s="64">
        <v>0.9</v>
      </c>
      <c r="O62" s="36">
        <f t="shared" si="0"/>
        <v>29985</v>
      </c>
      <c r="P62" s="25" t="s">
        <v>0</v>
      </c>
    </row>
    <row r="63" spans="1:16" x14ac:dyDescent="0.3">
      <c r="A63" s="25" t="s">
        <v>3215</v>
      </c>
      <c r="B63" s="26">
        <v>46093</v>
      </c>
      <c r="C63" s="26">
        <v>46098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28701479</v>
      </c>
      <c r="K63" t="s">
        <v>596</v>
      </c>
      <c r="L63" s="6" t="s">
        <v>599</v>
      </c>
      <c r="M63" s="62">
        <v>199900</v>
      </c>
      <c r="N63" s="64">
        <v>0.9</v>
      </c>
      <c r="O63" s="36">
        <f t="shared" si="0"/>
        <v>29985</v>
      </c>
      <c r="P63" s="25" t="s">
        <v>0</v>
      </c>
    </row>
    <row r="64" spans="1:16" x14ac:dyDescent="0.3">
      <c r="A64" s="25" t="s">
        <v>3215</v>
      </c>
      <c r="B64" s="26">
        <v>46093</v>
      </c>
      <c r="C64" s="26">
        <v>46098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28701488</v>
      </c>
      <c r="K64" t="s">
        <v>596</v>
      </c>
      <c r="L64" s="6" t="s">
        <v>600</v>
      </c>
      <c r="M64" s="62">
        <v>199900</v>
      </c>
      <c r="N64" s="64">
        <v>0.9</v>
      </c>
      <c r="O64" s="36">
        <f t="shared" si="0"/>
        <v>29985</v>
      </c>
      <c r="P64" s="25" t="s">
        <v>0</v>
      </c>
    </row>
    <row r="65" spans="1:16" x14ac:dyDescent="0.3">
      <c r="A65" s="25" t="s">
        <v>3215</v>
      </c>
      <c r="B65" s="26">
        <v>46093</v>
      </c>
      <c r="C65" s="26">
        <v>46098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28701497</v>
      </c>
      <c r="K65" t="s">
        <v>596</v>
      </c>
      <c r="L65" s="6" t="s">
        <v>601</v>
      </c>
      <c r="M65" s="62">
        <v>199900</v>
      </c>
      <c r="N65" s="64">
        <v>0.9</v>
      </c>
      <c r="O65" s="36">
        <f t="shared" si="0"/>
        <v>29985</v>
      </c>
      <c r="P65" s="25" t="s">
        <v>0</v>
      </c>
    </row>
    <row r="66" spans="1:16" x14ac:dyDescent="0.3">
      <c r="A66" s="25" t="s">
        <v>3215</v>
      </c>
      <c r="B66" s="26">
        <v>46093</v>
      </c>
      <c r="C66" s="26">
        <v>46098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28701504</v>
      </c>
      <c r="K66" t="s">
        <v>596</v>
      </c>
      <c r="L66" s="6" t="s">
        <v>602</v>
      </c>
      <c r="M66" s="62">
        <v>199900</v>
      </c>
      <c r="N66" s="64">
        <v>0.9</v>
      </c>
      <c r="O66" s="36">
        <f t="shared" si="0"/>
        <v>29985</v>
      </c>
      <c r="P66" s="25" t="s">
        <v>0</v>
      </c>
    </row>
    <row r="67" spans="1:16" x14ac:dyDescent="0.3">
      <c r="A67" s="25" t="s">
        <v>3215</v>
      </c>
      <c r="B67" s="26">
        <v>46093</v>
      </c>
      <c r="C67" s="26">
        <v>46098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28701513</v>
      </c>
      <c r="K67" t="s">
        <v>596</v>
      </c>
      <c r="L67" s="6" t="s">
        <v>603</v>
      </c>
      <c r="M67" s="62">
        <v>199900</v>
      </c>
      <c r="N67" s="64">
        <v>0.9</v>
      </c>
      <c r="O67" s="36">
        <f t="shared" ref="O67:O130" si="1">M67*15%</f>
        <v>29985</v>
      </c>
      <c r="P67" s="25" t="s">
        <v>0</v>
      </c>
    </row>
    <row r="68" spans="1:16" x14ac:dyDescent="0.3">
      <c r="A68" s="25" t="s">
        <v>3215</v>
      </c>
      <c r="B68" s="26">
        <v>46093</v>
      </c>
      <c r="C68" s="26">
        <v>46098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28701522</v>
      </c>
      <c r="K68" t="s">
        <v>596</v>
      </c>
      <c r="L68" s="6" t="s">
        <v>604</v>
      </c>
      <c r="M68" s="62">
        <v>199900</v>
      </c>
      <c r="N68" s="64">
        <v>0.9</v>
      </c>
      <c r="O68" s="36">
        <f t="shared" si="1"/>
        <v>29985</v>
      </c>
      <c r="P68" s="25" t="s">
        <v>0</v>
      </c>
    </row>
    <row r="69" spans="1:16" x14ac:dyDescent="0.3">
      <c r="A69" s="25" t="s">
        <v>3215</v>
      </c>
      <c r="B69" s="26">
        <v>46093</v>
      </c>
      <c r="C69" s="26">
        <v>46098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28701531</v>
      </c>
      <c r="K69" t="s">
        <v>596</v>
      </c>
      <c r="L69" s="6" t="s">
        <v>605</v>
      </c>
      <c r="M69" s="62">
        <v>199900</v>
      </c>
      <c r="N69" s="64">
        <v>0.9</v>
      </c>
      <c r="O69" s="36">
        <f t="shared" si="1"/>
        <v>29985</v>
      </c>
      <c r="P69" s="25" t="s">
        <v>0</v>
      </c>
    </row>
    <row r="70" spans="1:16" x14ac:dyDescent="0.3">
      <c r="A70" s="25" t="s">
        <v>3215</v>
      </c>
      <c r="B70" s="26">
        <v>46093</v>
      </c>
      <c r="C70" s="26">
        <v>46098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28701540</v>
      </c>
      <c r="K70" t="s">
        <v>596</v>
      </c>
      <c r="L70" s="6" t="s">
        <v>606</v>
      </c>
      <c r="M70" s="62">
        <v>199900</v>
      </c>
      <c r="N70" s="64">
        <v>0.9</v>
      </c>
      <c r="O70" s="36">
        <f t="shared" si="1"/>
        <v>29985</v>
      </c>
      <c r="P70" s="25" t="s">
        <v>0</v>
      </c>
    </row>
    <row r="71" spans="1:16" x14ac:dyDescent="0.3">
      <c r="A71" s="25" t="s">
        <v>3215</v>
      </c>
      <c r="B71" s="26">
        <v>46093</v>
      </c>
      <c r="C71" s="26">
        <v>46098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26329260</v>
      </c>
      <c r="K71" t="s">
        <v>607</v>
      </c>
      <c r="L71" s="6" t="s">
        <v>608</v>
      </c>
      <c r="M71" s="62">
        <v>199900</v>
      </c>
      <c r="N71" s="64">
        <v>0.9</v>
      </c>
      <c r="O71" s="36">
        <f t="shared" si="1"/>
        <v>29985</v>
      </c>
      <c r="P71" s="25" t="s">
        <v>0</v>
      </c>
    </row>
    <row r="72" spans="1:16" x14ac:dyDescent="0.3">
      <c r="A72" s="25" t="s">
        <v>3215</v>
      </c>
      <c r="B72" s="26">
        <v>46093</v>
      </c>
      <c r="C72" s="26">
        <v>46098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26329279</v>
      </c>
      <c r="K72" t="s">
        <v>607</v>
      </c>
      <c r="L72" s="6" t="s">
        <v>609</v>
      </c>
      <c r="M72" s="62">
        <v>199900</v>
      </c>
      <c r="N72" s="64">
        <v>0.9</v>
      </c>
      <c r="O72" s="36">
        <f t="shared" si="1"/>
        <v>29985</v>
      </c>
      <c r="P72" s="25" t="s">
        <v>0</v>
      </c>
    </row>
    <row r="73" spans="1:16" x14ac:dyDescent="0.3">
      <c r="A73" s="25" t="s">
        <v>3215</v>
      </c>
      <c r="B73" s="26">
        <v>46093</v>
      </c>
      <c r="C73" s="26">
        <v>46098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26329288</v>
      </c>
      <c r="K73" t="s">
        <v>607</v>
      </c>
      <c r="L73" s="6" t="s">
        <v>610</v>
      </c>
      <c r="M73" s="62">
        <v>199900</v>
      </c>
      <c r="N73" s="64">
        <v>0.9</v>
      </c>
      <c r="O73" s="36">
        <f t="shared" si="1"/>
        <v>29985</v>
      </c>
      <c r="P73" s="25" t="s">
        <v>0</v>
      </c>
    </row>
    <row r="74" spans="1:16" x14ac:dyDescent="0.3">
      <c r="A74" s="25" t="s">
        <v>3215</v>
      </c>
      <c r="B74" s="26">
        <v>46093</v>
      </c>
      <c r="C74" s="26">
        <v>46098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26329297</v>
      </c>
      <c r="K74" t="s">
        <v>607</v>
      </c>
      <c r="L74" s="6" t="s">
        <v>611</v>
      </c>
      <c r="M74" s="62">
        <v>199900</v>
      </c>
      <c r="N74" s="64">
        <v>0.9</v>
      </c>
      <c r="O74" s="36">
        <f t="shared" si="1"/>
        <v>29985</v>
      </c>
      <c r="P74" s="25" t="s">
        <v>0</v>
      </c>
    </row>
    <row r="75" spans="1:16" x14ac:dyDescent="0.3">
      <c r="A75" s="25" t="s">
        <v>3215</v>
      </c>
      <c r="B75" s="26">
        <v>46093</v>
      </c>
      <c r="C75" s="26">
        <v>46098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26329304</v>
      </c>
      <c r="K75" t="s">
        <v>607</v>
      </c>
      <c r="L75" s="6" t="s">
        <v>612</v>
      </c>
      <c r="M75" s="62">
        <v>199900</v>
      </c>
      <c r="N75" s="64">
        <v>0.9</v>
      </c>
      <c r="O75" s="36">
        <f t="shared" si="1"/>
        <v>29985</v>
      </c>
      <c r="P75" s="25" t="s">
        <v>0</v>
      </c>
    </row>
    <row r="76" spans="1:16" x14ac:dyDescent="0.3">
      <c r="A76" s="25" t="s">
        <v>3215</v>
      </c>
      <c r="B76" s="26">
        <v>46093</v>
      </c>
      <c r="C76" s="26">
        <v>46098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26329313</v>
      </c>
      <c r="K76" t="s">
        <v>613</v>
      </c>
      <c r="L76" s="6" t="s">
        <v>614</v>
      </c>
      <c r="M76" s="62">
        <v>199900</v>
      </c>
      <c r="N76" s="64">
        <v>0.9</v>
      </c>
      <c r="O76" s="36">
        <f t="shared" si="1"/>
        <v>29985</v>
      </c>
      <c r="P76" s="25" t="s">
        <v>0</v>
      </c>
    </row>
    <row r="77" spans="1:16" x14ac:dyDescent="0.3">
      <c r="A77" s="25" t="s">
        <v>3215</v>
      </c>
      <c r="B77" s="26">
        <v>46093</v>
      </c>
      <c r="C77" s="26">
        <v>46098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26329322</v>
      </c>
      <c r="K77" t="s">
        <v>613</v>
      </c>
      <c r="L77" s="6" t="s">
        <v>615</v>
      </c>
      <c r="M77" s="62">
        <v>199900</v>
      </c>
      <c r="N77" s="64">
        <v>0.9</v>
      </c>
      <c r="O77" s="36">
        <f t="shared" si="1"/>
        <v>29985</v>
      </c>
      <c r="P77" s="25" t="s">
        <v>0</v>
      </c>
    </row>
    <row r="78" spans="1:16" x14ac:dyDescent="0.3">
      <c r="A78" s="25" t="s">
        <v>3215</v>
      </c>
      <c r="B78" s="26">
        <v>46093</v>
      </c>
      <c r="C78" s="26">
        <v>46098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26329331</v>
      </c>
      <c r="K78" t="s">
        <v>613</v>
      </c>
      <c r="L78" s="6" t="s">
        <v>616</v>
      </c>
      <c r="M78" s="62">
        <v>199900</v>
      </c>
      <c r="N78" s="64">
        <v>0.9</v>
      </c>
      <c r="O78" s="36">
        <f t="shared" si="1"/>
        <v>29985</v>
      </c>
      <c r="P78" s="25" t="s">
        <v>0</v>
      </c>
    </row>
    <row r="79" spans="1:16" x14ac:dyDescent="0.3">
      <c r="A79" s="25" t="s">
        <v>3215</v>
      </c>
      <c r="B79" s="26">
        <v>46093</v>
      </c>
      <c r="C79" s="26">
        <v>46098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26329340</v>
      </c>
      <c r="K79" t="s">
        <v>613</v>
      </c>
      <c r="L79" s="6" t="s">
        <v>617</v>
      </c>
      <c r="M79" s="62">
        <v>199900</v>
      </c>
      <c r="N79" s="64">
        <v>0.9</v>
      </c>
      <c r="O79" s="36">
        <f t="shared" si="1"/>
        <v>29985</v>
      </c>
      <c r="P79" s="25" t="s">
        <v>0</v>
      </c>
    </row>
    <row r="80" spans="1:16" x14ac:dyDescent="0.3">
      <c r="A80" s="25" t="s">
        <v>3215</v>
      </c>
      <c r="B80" s="26">
        <v>46093</v>
      </c>
      <c r="C80" s="26">
        <v>46098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26329359</v>
      </c>
      <c r="K80" t="s">
        <v>613</v>
      </c>
      <c r="L80" s="6" t="s">
        <v>618</v>
      </c>
      <c r="M80" s="62">
        <v>199900</v>
      </c>
      <c r="N80" s="64">
        <v>0.9</v>
      </c>
      <c r="O80" s="36">
        <f t="shared" si="1"/>
        <v>29985</v>
      </c>
      <c r="P80" s="25" t="s">
        <v>0</v>
      </c>
    </row>
    <row r="81" spans="1:16" x14ac:dyDescent="0.3">
      <c r="A81" s="25" t="s">
        <v>3215</v>
      </c>
      <c r="B81" s="26">
        <v>46093</v>
      </c>
      <c r="C81" s="26">
        <v>46098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31810363</v>
      </c>
      <c r="K81" t="s">
        <v>619</v>
      </c>
      <c r="L81" s="6" t="s">
        <v>620</v>
      </c>
      <c r="M81" s="62">
        <v>199900</v>
      </c>
      <c r="N81" s="64">
        <v>0.9</v>
      </c>
      <c r="O81" s="36">
        <f t="shared" si="1"/>
        <v>29985</v>
      </c>
      <c r="P81" s="25" t="s">
        <v>0</v>
      </c>
    </row>
    <row r="82" spans="1:16" x14ac:dyDescent="0.3">
      <c r="A82" s="25" t="s">
        <v>3215</v>
      </c>
      <c r="B82" s="26">
        <v>46093</v>
      </c>
      <c r="C82" s="26">
        <v>46098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31810372</v>
      </c>
      <c r="K82" t="s">
        <v>619</v>
      </c>
      <c r="L82" s="6" t="s">
        <v>621</v>
      </c>
      <c r="M82" s="62">
        <v>199900</v>
      </c>
      <c r="N82" s="64">
        <v>0.9</v>
      </c>
      <c r="O82" s="36">
        <f t="shared" si="1"/>
        <v>29985</v>
      </c>
      <c r="P82" s="25" t="s">
        <v>0</v>
      </c>
    </row>
    <row r="83" spans="1:16" x14ac:dyDescent="0.3">
      <c r="A83" s="25" t="s">
        <v>3215</v>
      </c>
      <c r="B83" s="26">
        <v>46093</v>
      </c>
      <c r="C83" s="26">
        <v>46098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31810381</v>
      </c>
      <c r="K83" t="s">
        <v>619</v>
      </c>
      <c r="L83" s="6" t="s">
        <v>622</v>
      </c>
      <c r="M83" s="62">
        <v>199900</v>
      </c>
      <c r="N83" s="64">
        <v>0.9</v>
      </c>
      <c r="O83" s="36">
        <f t="shared" si="1"/>
        <v>29985</v>
      </c>
      <c r="P83" s="25" t="s">
        <v>0</v>
      </c>
    </row>
    <row r="84" spans="1:16" x14ac:dyDescent="0.3">
      <c r="A84" s="25" t="s">
        <v>3215</v>
      </c>
      <c r="B84" s="26">
        <v>46093</v>
      </c>
      <c r="C84" s="26">
        <v>46098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31810390</v>
      </c>
      <c r="K84" t="s">
        <v>619</v>
      </c>
      <c r="L84" s="6" t="s">
        <v>623</v>
      </c>
      <c r="M84" s="62">
        <v>199900</v>
      </c>
      <c r="N84" s="64">
        <v>0.9</v>
      </c>
      <c r="O84" s="36">
        <f t="shared" si="1"/>
        <v>29985</v>
      </c>
      <c r="P84" s="25" t="s">
        <v>0</v>
      </c>
    </row>
    <row r="85" spans="1:16" x14ac:dyDescent="0.3">
      <c r="A85" s="25" t="s">
        <v>3215</v>
      </c>
      <c r="B85" s="26">
        <v>46093</v>
      </c>
      <c r="C85" s="26">
        <v>46098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31810407</v>
      </c>
      <c r="K85" t="s">
        <v>619</v>
      </c>
      <c r="L85" s="6" t="s">
        <v>624</v>
      </c>
      <c r="M85" s="62">
        <v>199900</v>
      </c>
      <c r="N85" s="64">
        <v>0.9</v>
      </c>
      <c r="O85" s="36">
        <f t="shared" si="1"/>
        <v>29985</v>
      </c>
      <c r="P85" s="25" t="s">
        <v>0</v>
      </c>
    </row>
    <row r="86" spans="1:16" x14ac:dyDescent="0.3">
      <c r="A86" s="25" t="s">
        <v>3215</v>
      </c>
      <c r="B86" s="26">
        <v>46093</v>
      </c>
      <c r="C86" s="26">
        <v>46098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31814092</v>
      </c>
      <c r="K86" t="s">
        <v>625</v>
      </c>
      <c r="L86" s="6" t="s">
        <v>626</v>
      </c>
      <c r="M86" s="62">
        <v>199900</v>
      </c>
      <c r="N86" s="64">
        <v>0.9</v>
      </c>
      <c r="O86" s="36">
        <f t="shared" si="1"/>
        <v>29985</v>
      </c>
      <c r="P86" s="25" t="s">
        <v>0</v>
      </c>
    </row>
    <row r="87" spans="1:16" x14ac:dyDescent="0.3">
      <c r="A87" s="25" t="s">
        <v>3215</v>
      </c>
      <c r="B87" s="26">
        <v>46093</v>
      </c>
      <c r="C87" s="26">
        <v>46098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31814109</v>
      </c>
      <c r="K87" t="s">
        <v>625</v>
      </c>
      <c r="L87" s="6" t="s">
        <v>627</v>
      </c>
      <c r="M87" s="62">
        <v>199900</v>
      </c>
      <c r="N87" s="64">
        <v>0.9</v>
      </c>
      <c r="O87" s="36">
        <f t="shared" si="1"/>
        <v>29985</v>
      </c>
      <c r="P87" s="25" t="s">
        <v>0</v>
      </c>
    </row>
    <row r="88" spans="1:16" x14ac:dyDescent="0.3">
      <c r="A88" s="25" t="s">
        <v>3215</v>
      </c>
      <c r="B88" s="26">
        <v>46093</v>
      </c>
      <c r="C88" s="26">
        <v>46098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31814118</v>
      </c>
      <c r="K88" t="s">
        <v>625</v>
      </c>
      <c r="L88" s="6" t="s">
        <v>628</v>
      </c>
      <c r="M88" s="62">
        <v>199900</v>
      </c>
      <c r="N88" s="64">
        <v>0.9</v>
      </c>
      <c r="O88" s="36">
        <f t="shared" si="1"/>
        <v>29985</v>
      </c>
      <c r="P88" s="25" t="s">
        <v>0</v>
      </c>
    </row>
    <row r="89" spans="1:16" x14ac:dyDescent="0.3">
      <c r="A89" s="25" t="s">
        <v>3215</v>
      </c>
      <c r="B89" s="26">
        <v>46093</v>
      </c>
      <c r="C89" s="26">
        <v>46098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31814127</v>
      </c>
      <c r="K89" t="s">
        <v>625</v>
      </c>
      <c r="L89" s="6" t="s">
        <v>629</v>
      </c>
      <c r="M89" s="62">
        <v>199900</v>
      </c>
      <c r="N89" s="64">
        <v>0.9</v>
      </c>
      <c r="O89" s="36">
        <f t="shared" si="1"/>
        <v>29985</v>
      </c>
      <c r="P89" s="25" t="s">
        <v>0</v>
      </c>
    </row>
    <row r="90" spans="1:16" x14ac:dyDescent="0.3">
      <c r="A90" s="25" t="s">
        <v>3215</v>
      </c>
      <c r="B90" s="26">
        <v>46093</v>
      </c>
      <c r="C90" s="26">
        <v>46098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31814136</v>
      </c>
      <c r="K90" s="43" t="s">
        <v>625</v>
      </c>
      <c r="L90" s="58" t="s">
        <v>630</v>
      </c>
      <c r="M90" s="61">
        <v>199900</v>
      </c>
      <c r="N90" s="64">
        <v>0.9</v>
      </c>
      <c r="O90" s="36">
        <f t="shared" si="1"/>
        <v>29985</v>
      </c>
      <c r="P90" s="25" t="s">
        <v>0</v>
      </c>
    </row>
    <row r="91" spans="1:16" x14ac:dyDescent="0.3">
      <c r="A91" s="25" t="s">
        <v>3215</v>
      </c>
      <c r="B91" s="26">
        <v>46093</v>
      </c>
      <c r="C91" s="26">
        <v>46098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32641704</v>
      </c>
      <c r="K91" s="43" t="s">
        <v>631</v>
      </c>
      <c r="L91" s="58" t="s">
        <v>632</v>
      </c>
      <c r="M91" s="61">
        <v>239900</v>
      </c>
      <c r="N91" s="64">
        <v>0.9</v>
      </c>
      <c r="O91" s="36">
        <f t="shared" si="1"/>
        <v>35985</v>
      </c>
      <c r="P91" s="25" t="s">
        <v>0</v>
      </c>
    </row>
    <row r="92" spans="1:16" x14ac:dyDescent="0.3">
      <c r="A92" s="25" t="s">
        <v>3215</v>
      </c>
      <c r="B92" s="26">
        <v>46093</v>
      </c>
      <c r="C92" s="26">
        <v>46098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32641713</v>
      </c>
      <c r="K92" s="43" t="s">
        <v>631</v>
      </c>
      <c r="L92" s="58" t="s">
        <v>633</v>
      </c>
      <c r="M92" s="61">
        <v>239900</v>
      </c>
      <c r="N92" s="64">
        <v>0.9</v>
      </c>
      <c r="O92" s="36">
        <f t="shared" si="1"/>
        <v>35985</v>
      </c>
      <c r="P92" s="25" t="s">
        <v>0</v>
      </c>
    </row>
    <row r="93" spans="1:16" x14ac:dyDescent="0.3">
      <c r="A93" s="25" t="s">
        <v>3215</v>
      </c>
      <c r="B93" s="26">
        <v>46093</v>
      </c>
      <c r="C93" s="26">
        <v>46098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32641722</v>
      </c>
      <c r="K93" s="43" t="s">
        <v>631</v>
      </c>
      <c r="L93" s="58" t="s">
        <v>634</v>
      </c>
      <c r="M93" s="61">
        <v>239900</v>
      </c>
      <c r="N93" s="64">
        <v>0.9</v>
      </c>
      <c r="O93" s="36">
        <f t="shared" si="1"/>
        <v>35985</v>
      </c>
      <c r="P93" s="25" t="s">
        <v>0</v>
      </c>
    </row>
    <row r="94" spans="1:16" x14ac:dyDescent="0.3">
      <c r="A94" s="25" t="s">
        <v>3215</v>
      </c>
      <c r="B94" s="26">
        <v>46093</v>
      </c>
      <c r="C94" s="26">
        <v>46098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32641731</v>
      </c>
      <c r="K94" s="43" t="s">
        <v>631</v>
      </c>
      <c r="L94" s="58" t="s">
        <v>635</v>
      </c>
      <c r="M94" s="61">
        <v>239900</v>
      </c>
      <c r="N94" s="64">
        <v>0.9</v>
      </c>
      <c r="O94" s="36">
        <f t="shared" si="1"/>
        <v>35985</v>
      </c>
      <c r="P94" s="25" t="s">
        <v>0</v>
      </c>
    </row>
    <row r="95" spans="1:16" x14ac:dyDescent="0.3">
      <c r="A95" s="25" t="s">
        <v>3215</v>
      </c>
      <c r="B95" s="26">
        <v>46093</v>
      </c>
      <c r="C95" s="26">
        <v>46098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32641740</v>
      </c>
      <c r="K95" s="43" t="s">
        <v>631</v>
      </c>
      <c r="L95" s="58" t="s">
        <v>636</v>
      </c>
      <c r="M95" s="61">
        <v>239900</v>
      </c>
      <c r="N95" s="64">
        <v>0.9</v>
      </c>
      <c r="O95" s="36">
        <f t="shared" si="1"/>
        <v>35985</v>
      </c>
      <c r="P95" s="25" t="s">
        <v>0</v>
      </c>
    </row>
    <row r="96" spans="1:16" x14ac:dyDescent="0.3">
      <c r="A96" s="25" t="s">
        <v>3215</v>
      </c>
      <c r="B96" s="26">
        <v>46093</v>
      </c>
      <c r="C96" s="26">
        <v>46098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32641759</v>
      </c>
      <c r="K96" s="43" t="s">
        <v>631</v>
      </c>
      <c r="L96" s="58" t="s">
        <v>637</v>
      </c>
      <c r="M96" s="61">
        <v>239900</v>
      </c>
      <c r="N96" s="64">
        <v>0.9</v>
      </c>
      <c r="O96" s="36">
        <f t="shared" si="1"/>
        <v>35985</v>
      </c>
      <c r="P96" s="25" t="s">
        <v>0</v>
      </c>
    </row>
    <row r="97" spans="1:16" x14ac:dyDescent="0.3">
      <c r="A97" s="25" t="s">
        <v>3215</v>
      </c>
      <c r="B97" s="26">
        <v>46093</v>
      </c>
      <c r="C97" s="26">
        <v>46098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32641768</v>
      </c>
      <c r="K97" s="43" t="s">
        <v>631</v>
      </c>
      <c r="L97" s="58" t="s">
        <v>638</v>
      </c>
      <c r="M97" s="61">
        <v>239900</v>
      </c>
      <c r="N97" s="64">
        <v>0.9</v>
      </c>
      <c r="O97" s="36">
        <f t="shared" si="1"/>
        <v>35985</v>
      </c>
      <c r="P97" s="25" t="s">
        <v>0</v>
      </c>
    </row>
    <row r="98" spans="1:16" x14ac:dyDescent="0.3">
      <c r="A98" s="25" t="s">
        <v>3215</v>
      </c>
      <c r="B98" s="26">
        <v>46093</v>
      </c>
      <c r="C98" s="26">
        <v>46098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32641777</v>
      </c>
      <c r="K98" s="43" t="s">
        <v>631</v>
      </c>
      <c r="L98" s="58" t="s">
        <v>639</v>
      </c>
      <c r="M98" s="61">
        <v>239900</v>
      </c>
      <c r="N98" s="64">
        <v>0.9</v>
      </c>
      <c r="O98" s="36">
        <f t="shared" si="1"/>
        <v>35985</v>
      </c>
      <c r="P98" s="25" t="s">
        <v>0</v>
      </c>
    </row>
    <row r="99" spans="1:16" x14ac:dyDescent="0.3">
      <c r="A99" s="25" t="s">
        <v>3215</v>
      </c>
      <c r="B99" s="26">
        <v>46093</v>
      </c>
      <c r="C99" s="26">
        <v>46098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32641786</v>
      </c>
      <c r="K99" s="43" t="s">
        <v>631</v>
      </c>
      <c r="L99" s="58" t="s">
        <v>640</v>
      </c>
      <c r="M99" s="61">
        <v>239900</v>
      </c>
      <c r="N99" s="64">
        <v>0.9</v>
      </c>
      <c r="O99" s="36">
        <f t="shared" si="1"/>
        <v>35985</v>
      </c>
      <c r="P99" s="25" t="s">
        <v>0</v>
      </c>
    </row>
    <row r="100" spans="1:16" x14ac:dyDescent="0.3">
      <c r="A100" s="25" t="s">
        <v>3215</v>
      </c>
      <c r="B100" s="26">
        <v>46093</v>
      </c>
      <c r="C100" s="26">
        <v>46098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32641795</v>
      </c>
      <c r="K100" s="43" t="s">
        <v>631</v>
      </c>
      <c r="L100" s="58" t="s">
        <v>641</v>
      </c>
      <c r="M100" s="61">
        <v>239900</v>
      </c>
      <c r="N100" s="64">
        <v>0.9</v>
      </c>
      <c r="O100" s="36">
        <f t="shared" si="1"/>
        <v>35985</v>
      </c>
      <c r="P100" s="25" t="s">
        <v>0</v>
      </c>
    </row>
    <row r="101" spans="1:16" x14ac:dyDescent="0.3">
      <c r="A101" s="25" t="s">
        <v>3215</v>
      </c>
      <c r="B101" s="26">
        <v>46093</v>
      </c>
      <c r="C101" s="26">
        <v>46098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28070802</v>
      </c>
      <c r="K101" s="43" t="s">
        <v>642</v>
      </c>
      <c r="L101" s="58" t="s">
        <v>643</v>
      </c>
      <c r="M101" s="61">
        <v>279900</v>
      </c>
      <c r="N101" s="64">
        <v>0.9</v>
      </c>
      <c r="O101" s="36">
        <f t="shared" si="1"/>
        <v>41985</v>
      </c>
      <c r="P101" s="25" t="s">
        <v>0</v>
      </c>
    </row>
    <row r="102" spans="1:16" x14ac:dyDescent="0.3">
      <c r="A102" s="25" t="s">
        <v>3215</v>
      </c>
      <c r="B102" s="26">
        <v>46093</v>
      </c>
      <c r="C102" s="26">
        <v>46098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28070811</v>
      </c>
      <c r="K102" s="43" t="s">
        <v>642</v>
      </c>
      <c r="L102" s="58" t="s">
        <v>644</v>
      </c>
      <c r="M102" s="61">
        <v>279900</v>
      </c>
      <c r="N102" s="64">
        <v>0.9</v>
      </c>
      <c r="O102" s="36">
        <f t="shared" si="1"/>
        <v>41985</v>
      </c>
      <c r="P102" s="25" t="s">
        <v>0</v>
      </c>
    </row>
    <row r="103" spans="1:16" x14ac:dyDescent="0.3">
      <c r="A103" s="25" t="s">
        <v>3215</v>
      </c>
      <c r="B103" s="26">
        <v>46093</v>
      </c>
      <c r="C103" s="26">
        <v>46098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28070820</v>
      </c>
      <c r="K103" s="43" t="s">
        <v>642</v>
      </c>
      <c r="L103" s="58" t="s">
        <v>645</v>
      </c>
      <c r="M103" s="61">
        <v>279900</v>
      </c>
      <c r="N103" s="64">
        <v>0.9</v>
      </c>
      <c r="O103" s="36">
        <f t="shared" si="1"/>
        <v>41985</v>
      </c>
      <c r="P103" s="25" t="s">
        <v>0</v>
      </c>
    </row>
    <row r="104" spans="1:16" x14ac:dyDescent="0.3">
      <c r="A104" s="25" t="s">
        <v>3215</v>
      </c>
      <c r="B104" s="26">
        <v>46093</v>
      </c>
      <c r="C104" s="26">
        <v>46098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28070839</v>
      </c>
      <c r="K104" s="43" t="s">
        <v>642</v>
      </c>
      <c r="L104" s="58" t="s">
        <v>646</v>
      </c>
      <c r="M104" s="61">
        <v>279900</v>
      </c>
      <c r="N104" s="64">
        <v>0.9</v>
      </c>
      <c r="O104" s="36">
        <f t="shared" si="1"/>
        <v>41985</v>
      </c>
      <c r="P104" s="25" t="s">
        <v>0</v>
      </c>
    </row>
    <row r="105" spans="1:16" x14ac:dyDescent="0.3">
      <c r="A105" s="25" t="s">
        <v>3215</v>
      </c>
      <c r="B105" s="26">
        <v>46093</v>
      </c>
      <c r="C105" s="26">
        <v>46098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28070848</v>
      </c>
      <c r="K105" s="43" t="s">
        <v>642</v>
      </c>
      <c r="L105" s="58" t="s">
        <v>647</v>
      </c>
      <c r="M105" s="61">
        <v>279900</v>
      </c>
      <c r="N105" s="64">
        <v>0.9</v>
      </c>
      <c r="O105" s="36">
        <f t="shared" si="1"/>
        <v>41985</v>
      </c>
      <c r="P105" s="25" t="s">
        <v>0</v>
      </c>
    </row>
    <row r="106" spans="1:16" x14ac:dyDescent="0.3">
      <c r="A106" s="25" t="s">
        <v>3215</v>
      </c>
      <c r="B106" s="26">
        <v>46093</v>
      </c>
      <c r="C106" s="26">
        <v>46098</v>
      </c>
      <c r="D106" s="25">
        <v>3319</v>
      </c>
      <c r="E106" s="25">
        <v>327</v>
      </c>
      <c r="F106" s="25">
        <v>2</v>
      </c>
      <c r="G106" s="48">
        <v>2</v>
      </c>
      <c r="H106" s="48">
        <v>81433</v>
      </c>
      <c r="I106" s="48" t="s">
        <v>17</v>
      </c>
      <c r="J106" s="50">
        <v>26467601</v>
      </c>
      <c r="K106" s="43" t="s">
        <v>648</v>
      </c>
      <c r="L106" s="58" t="s">
        <v>649</v>
      </c>
      <c r="M106" s="61">
        <v>299900</v>
      </c>
      <c r="N106" s="64">
        <v>0.9</v>
      </c>
      <c r="O106" s="36">
        <f t="shared" si="1"/>
        <v>44985</v>
      </c>
      <c r="P106" s="25" t="s">
        <v>0</v>
      </c>
    </row>
    <row r="107" spans="1:16" x14ac:dyDescent="0.3">
      <c r="A107" s="25" t="s">
        <v>3215</v>
      </c>
      <c r="B107" s="26">
        <v>46093</v>
      </c>
      <c r="C107" s="26">
        <v>46098</v>
      </c>
      <c r="D107" s="25">
        <v>3319</v>
      </c>
      <c r="E107" s="25">
        <v>327</v>
      </c>
      <c r="F107" s="25">
        <v>2</v>
      </c>
      <c r="G107" s="48">
        <v>2</v>
      </c>
      <c r="H107" s="48">
        <v>81433</v>
      </c>
      <c r="I107" s="48" t="s">
        <v>17</v>
      </c>
      <c r="J107" s="50">
        <v>26467610</v>
      </c>
      <c r="K107" s="43" t="s">
        <v>648</v>
      </c>
      <c r="L107" s="58" t="s">
        <v>650</v>
      </c>
      <c r="M107" s="61">
        <v>299900</v>
      </c>
      <c r="N107" s="64">
        <v>0.9</v>
      </c>
      <c r="O107" s="36">
        <f t="shared" si="1"/>
        <v>44985</v>
      </c>
      <c r="P107" s="25" t="s">
        <v>0</v>
      </c>
    </row>
    <row r="108" spans="1:16" x14ac:dyDescent="0.3">
      <c r="A108" s="25" t="s">
        <v>3215</v>
      </c>
      <c r="B108" s="26">
        <v>46093</v>
      </c>
      <c r="C108" s="26">
        <v>46098</v>
      </c>
      <c r="D108" s="25">
        <v>3319</v>
      </c>
      <c r="E108" s="25">
        <v>327</v>
      </c>
      <c r="F108" s="25">
        <v>2</v>
      </c>
      <c r="G108" s="48">
        <v>2</v>
      </c>
      <c r="H108" s="48">
        <v>81433</v>
      </c>
      <c r="I108" s="48" t="s">
        <v>17</v>
      </c>
      <c r="J108" s="50">
        <v>26467629</v>
      </c>
      <c r="K108" s="43" t="s">
        <v>648</v>
      </c>
      <c r="L108" s="58" t="s">
        <v>651</v>
      </c>
      <c r="M108" s="61">
        <v>299900</v>
      </c>
      <c r="N108" s="64">
        <v>0.9</v>
      </c>
      <c r="O108" s="36">
        <f t="shared" si="1"/>
        <v>44985</v>
      </c>
      <c r="P108" s="25" t="s">
        <v>0</v>
      </c>
    </row>
    <row r="109" spans="1:16" x14ac:dyDescent="0.3">
      <c r="A109" s="25" t="s">
        <v>3215</v>
      </c>
      <c r="B109" s="26">
        <v>46093</v>
      </c>
      <c r="C109" s="26">
        <v>46098</v>
      </c>
      <c r="D109" s="25">
        <v>3319</v>
      </c>
      <c r="E109" s="25">
        <v>327</v>
      </c>
      <c r="F109" s="25">
        <v>2</v>
      </c>
      <c r="G109" s="48">
        <v>2</v>
      </c>
      <c r="H109" s="48">
        <v>81433</v>
      </c>
      <c r="I109" s="48" t="s">
        <v>17</v>
      </c>
      <c r="J109" s="50">
        <v>26467638</v>
      </c>
      <c r="K109" s="43" t="s">
        <v>648</v>
      </c>
      <c r="L109" s="58" t="s">
        <v>652</v>
      </c>
      <c r="M109" s="61">
        <v>299900</v>
      </c>
      <c r="N109" s="64">
        <v>0.9</v>
      </c>
      <c r="O109" s="36">
        <f t="shared" si="1"/>
        <v>44985</v>
      </c>
      <c r="P109" s="25" t="s">
        <v>0</v>
      </c>
    </row>
    <row r="110" spans="1:16" x14ac:dyDescent="0.3">
      <c r="A110" s="25" t="s">
        <v>3215</v>
      </c>
      <c r="B110" s="26">
        <v>46093</v>
      </c>
      <c r="C110" s="26">
        <v>46098</v>
      </c>
      <c r="D110" s="25">
        <v>3319</v>
      </c>
      <c r="E110" s="25">
        <v>327</v>
      </c>
      <c r="F110" s="25">
        <v>2</v>
      </c>
      <c r="G110" s="48">
        <v>2</v>
      </c>
      <c r="H110" s="48">
        <v>81433</v>
      </c>
      <c r="I110" s="48" t="s">
        <v>17</v>
      </c>
      <c r="J110" s="50">
        <v>26467647</v>
      </c>
      <c r="K110" s="43" t="s">
        <v>648</v>
      </c>
      <c r="L110" s="58" t="s">
        <v>653</v>
      </c>
      <c r="M110" s="61">
        <v>299900</v>
      </c>
      <c r="N110" s="64">
        <v>0.9</v>
      </c>
      <c r="O110" s="36">
        <f t="shared" si="1"/>
        <v>44985</v>
      </c>
      <c r="P110" s="25" t="s">
        <v>0</v>
      </c>
    </row>
    <row r="111" spans="1:16" x14ac:dyDescent="0.3">
      <c r="A111" s="25" t="s">
        <v>3215</v>
      </c>
      <c r="B111" s="26">
        <v>46093</v>
      </c>
      <c r="C111" s="26">
        <v>46098</v>
      </c>
      <c r="D111" s="25">
        <v>3319</v>
      </c>
      <c r="E111" s="25">
        <v>327</v>
      </c>
      <c r="F111" s="25">
        <v>2</v>
      </c>
      <c r="G111" s="48">
        <v>2</v>
      </c>
      <c r="H111" s="48">
        <v>81433</v>
      </c>
      <c r="I111" s="48" t="s">
        <v>17</v>
      </c>
      <c r="J111" s="50">
        <v>26467656</v>
      </c>
      <c r="K111" s="43" t="s">
        <v>654</v>
      </c>
      <c r="L111" s="58" t="s">
        <v>655</v>
      </c>
      <c r="M111" s="61">
        <v>299900</v>
      </c>
      <c r="N111" s="64">
        <v>0.9</v>
      </c>
      <c r="O111" s="36">
        <f t="shared" si="1"/>
        <v>44985</v>
      </c>
      <c r="P111" s="25" t="s">
        <v>0</v>
      </c>
    </row>
    <row r="112" spans="1:16" x14ac:dyDescent="0.3">
      <c r="A112" s="25" t="s">
        <v>3215</v>
      </c>
      <c r="B112" s="26">
        <v>46093</v>
      </c>
      <c r="C112" s="26">
        <v>46098</v>
      </c>
      <c r="D112" s="25">
        <v>3319</v>
      </c>
      <c r="E112" s="25">
        <v>327</v>
      </c>
      <c r="F112" s="25">
        <v>2</v>
      </c>
      <c r="G112" s="48">
        <v>2</v>
      </c>
      <c r="H112" s="48">
        <v>81433</v>
      </c>
      <c r="I112" s="48" t="s">
        <v>17</v>
      </c>
      <c r="J112" s="50">
        <v>26467665</v>
      </c>
      <c r="K112" s="43" t="s">
        <v>654</v>
      </c>
      <c r="L112" s="58" t="s">
        <v>656</v>
      </c>
      <c r="M112" s="61">
        <v>299900</v>
      </c>
      <c r="N112" s="64">
        <v>0.9</v>
      </c>
      <c r="O112" s="36">
        <f t="shared" si="1"/>
        <v>44985</v>
      </c>
      <c r="P112" s="25" t="s">
        <v>0</v>
      </c>
    </row>
    <row r="113" spans="1:16" x14ac:dyDescent="0.3">
      <c r="A113" s="25" t="s">
        <v>3215</v>
      </c>
      <c r="B113" s="26">
        <v>46093</v>
      </c>
      <c r="C113" s="26">
        <v>46098</v>
      </c>
      <c r="D113" s="25">
        <v>3319</v>
      </c>
      <c r="E113" s="25">
        <v>327</v>
      </c>
      <c r="F113" s="25">
        <v>2</v>
      </c>
      <c r="G113" s="48">
        <v>2</v>
      </c>
      <c r="H113" s="48">
        <v>81433</v>
      </c>
      <c r="I113" s="48" t="s">
        <v>17</v>
      </c>
      <c r="J113" s="50">
        <v>26467674</v>
      </c>
      <c r="K113" s="43" t="s">
        <v>654</v>
      </c>
      <c r="L113" s="58" t="s">
        <v>657</v>
      </c>
      <c r="M113" s="61">
        <v>299900</v>
      </c>
      <c r="N113" s="64">
        <v>0.9</v>
      </c>
      <c r="O113" s="36">
        <f t="shared" si="1"/>
        <v>44985</v>
      </c>
      <c r="P113" s="25" t="s">
        <v>0</v>
      </c>
    </row>
    <row r="114" spans="1:16" x14ac:dyDescent="0.3">
      <c r="A114" s="25" t="s">
        <v>3215</v>
      </c>
      <c r="B114" s="26">
        <v>46093</v>
      </c>
      <c r="C114" s="26">
        <v>46098</v>
      </c>
      <c r="D114" s="25">
        <v>3319</v>
      </c>
      <c r="E114" s="25">
        <v>327</v>
      </c>
      <c r="F114" s="25">
        <v>2</v>
      </c>
      <c r="G114" s="48">
        <v>2</v>
      </c>
      <c r="H114" s="48">
        <v>81433</v>
      </c>
      <c r="I114" s="48" t="s">
        <v>17</v>
      </c>
      <c r="J114" s="50">
        <v>26467683</v>
      </c>
      <c r="K114" s="43" t="s">
        <v>654</v>
      </c>
      <c r="L114" s="58" t="s">
        <v>658</v>
      </c>
      <c r="M114" s="61">
        <v>299900</v>
      </c>
      <c r="N114" s="64">
        <v>0.9</v>
      </c>
      <c r="O114" s="36">
        <f t="shared" si="1"/>
        <v>44985</v>
      </c>
      <c r="P114" s="25" t="s">
        <v>0</v>
      </c>
    </row>
    <row r="115" spans="1:16" x14ac:dyDescent="0.3">
      <c r="A115" s="25" t="s">
        <v>3215</v>
      </c>
      <c r="B115" s="26">
        <v>46093</v>
      </c>
      <c r="C115" s="26">
        <v>46098</v>
      </c>
      <c r="D115" s="25">
        <v>3319</v>
      </c>
      <c r="E115" s="25">
        <v>327</v>
      </c>
      <c r="F115" s="25">
        <v>2</v>
      </c>
      <c r="G115" s="48">
        <v>2</v>
      </c>
      <c r="H115" s="48">
        <v>81433</v>
      </c>
      <c r="I115" s="48" t="s">
        <v>17</v>
      </c>
      <c r="J115" s="50">
        <v>26467692</v>
      </c>
      <c r="K115" s="43" t="s">
        <v>654</v>
      </c>
      <c r="L115" s="58" t="s">
        <v>659</v>
      </c>
      <c r="M115" s="61">
        <v>299900</v>
      </c>
      <c r="N115" s="64">
        <v>0.9</v>
      </c>
      <c r="O115" s="36">
        <f t="shared" si="1"/>
        <v>44985</v>
      </c>
      <c r="P115" s="25" t="s">
        <v>0</v>
      </c>
    </row>
    <row r="116" spans="1:16" x14ac:dyDescent="0.3">
      <c r="A116" s="25" t="s">
        <v>3215</v>
      </c>
      <c r="B116" s="26">
        <v>46093</v>
      </c>
      <c r="C116" s="26">
        <v>46098</v>
      </c>
      <c r="D116" s="25">
        <v>3319</v>
      </c>
      <c r="E116" s="25">
        <v>327</v>
      </c>
      <c r="F116" s="25">
        <v>2</v>
      </c>
      <c r="G116" s="48">
        <v>2</v>
      </c>
      <c r="H116" s="48">
        <v>81433</v>
      </c>
      <c r="I116" s="48" t="s">
        <v>17</v>
      </c>
      <c r="J116" s="50">
        <v>26776714</v>
      </c>
      <c r="K116" s="43" t="s">
        <v>660</v>
      </c>
      <c r="L116" s="58" t="s">
        <v>661</v>
      </c>
      <c r="M116" s="61">
        <v>319900</v>
      </c>
      <c r="N116" s="64">
        <v>0.9</v>
      </c>
      <c r="O116" s="36">
        <f t="shared" si="1"/>
        <v>47985</v>
      </c>
      <c r="P116" s="25" t="s">
        <v>0</v>
      </c>
    </row>
    <row r="117" spans="1:16" x14ac:dyDescent="0.3">
      <c r="A117" s="25" t="s">
        <v>3215</v>
      </c>
      <c r="B117" s="26">
        <v>46093</v>
      </c>
      <c r="C117" s="26">
        <v>46098</v>
      </c>
      <c r="D117" s="25">
        <v>3319</v>
      </c>
      <c r="E117" s="25">
        <v>327</v>
      </c>
      <c r="F117" s="25">
        <v>2</v>
      </c>
      <c r="G117" s="48">
        <v>2</v>
      </c>
      <c r="H117" s="48">
        <v>81433</v>
      </c>
      <c r="I117" s="48" t="s">
        <v>17</v>
      </c>
      <c r="J117" s="50">
        <v>26776723</v>
      </c>
      <c r="K117" s="43" t="s">
        <v>660</v>
      </c>
      <c r="L117" s="58" t="s">
        <v>662</v>
      </c>
      <c r="M117" s="61">
        <v>319900</v>
      </c>
      <c r="N117" s="64">
        <v>0.9</v>
      </c>
      <c r="O117" s="36">
        <f t="shared" si="1"/>
        <v>47985</v>
      </c>
      <c r="P117" s="25" t="s">
        <v>0</v>
      </c>
    </row>
    <row r="118" spans="1:16" x14ac:dyDescent="0.3">
      <c r="A118" s="25" t="s">
        <v>3215</v>
      </c>
      <c r="B118" s="26">
        <v>46093</v>
      </c>
      <c r="C118" s="26">
        <v>46098</v>
      </c>
      <c r="D118" s="25">
        <v>3319</v>
      </c>
      <c r="E118" s="25">
        <v>327</v>
      </c>
      <c r="F118" s="25">
        <v>2</v>
      </c>
      <c r="G118" s="48">
        <v>2</v>
      </c>
      <c r="H118" s="48">
        <v>81433</v>
      </c>
      <c r="I118" s="48" t="s">
        <v>17</v>
      </c>
      <c r="J118" s="50">
        <v>26776732</v>
      </c>
      <c r="K118" s="43" t="s">
        <v>660</v>
      </c>
      <c r="L118" s="58" t="s">
        <v>663</v>
      </c>
      <c r="M118" s="61">
        <v>319900</v>
      </c>
      <c r="N118" s="64">
        <v>0.9</v>
      </c>
      <c r="O118" s="36">
        <f t="shared" si="1"/>
        <v>47985</v>
      </c>
      <c r="P118" s="25" t="s">
        <v>0</v>
      </c>
    </row>
    <row r="119" spans="1:16" x14ac:dyDescent="0.3">
      <c r="A119" s="25" t="s">
        <v>3215</v>
      </c>
      <c r="B119" s="26">
        <v>46093</v>
      </c>
      <c r="C119" s="26">
        <v>46098</v>
      </c>
      <c r="D119" s="25">
        <v>3319</v>
      </c>
      <c r="E119" s="25">
        <v>327</v>
      </c>
      <c r="F119" s="25">
        <v>2</v>
      </c>
      <c r="G119" s="48">
        <v>2</v>
      </c>
      <c r="H119" s="48">
        <v>81433</v>
      </c>
      <c r="I119" s="48" t="s">
        <v>17</v>
      </c>
      <c r="J119" s="50">
        <v>26776741</v>
      </c>
      <c r="K119" s="43" t="s">
        <v>660</v>
      </c>
      <c r="L119" s="58" t="s">
        <v>664</v>
      </c>
      <c r="M119" s="61">
        <v>319900</v>
      </c>
      <c r="N119" s="64">
        <v>0.9</v>
      </c>
      <c r="O119" s="36">
        <f t="shared" si="1"/>
        <v>47985</v>
      </c>
      <c r="P119" s="25" t="s">
        <v>0</v>
      </c>
    </row>
    <row r="120" spans="1:16" x14ac:dyDescent="0.3">
      <c r="A120" s="25" t="s">
        <v>3215</v>
      </c>
      <c r="B120" s="26">
        <v>46093</v>
      </c>
      <c r="C120" s="26">
        <v>46098</v>
      </c>
      <c r="D120" s="25">
        <v>3319</v>
      </c>
      <c r="E120" s="25">
        <v>327</v>
      </c>
      <c r="F120" s="25">
        <v>2</v>
      </c>
      <c r="G120" s="48">
        <v>2</v>
      </c>
      <c r="H120" s="48">
        <v>81433</v>
      </c>
      <c r="I120" s="48" t="s">
        <v>17</v>
      </c>
      <c r="J120" s="50">
        <v>26776750</v>
      </c>
      <c r="K120" s="43" t="s">
        <v>660</v>
      </c>
      <c r="L120" s="58" t="s">
        <v>665</v>
      </c>
      <c r="M120" s="61">
        <v>319900</v>
      </c>
      <c r="N120" s="64">
        <v>0.9</v>
      </c>
      <c r="O120" s="36">
        <f t="shared" si="1"/>
        <v>47985</v>
      </c>
      <c r="P120" s="25" t="s">
        <v>0</v>
      </c>
    </row>
    <row r="121" spans="1:16" x14ac:dyDescent="0.3">
      <c r="A121" s="25" t="s">
        <v>3215</v>
      </c>
      <c r="B121" s="26">
        <v>46093</v>
      </c>
      <c r="C121" s="26">
        <v>46098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25799755</v>
      </c>
      <c r="K121" s="43" t="s">
        <v>666</v>
      </c>
      <c r="L121" s="58" t="s">
        <v>667</v>
      </c>
      <c r="M121" s="61">
        <v>239900</v>
      </c>
      <c r="N121" s="64">
        <v>0.9</v>
      </c>
      <c r="O121" s="36">
        <f t="shared" si="1"/>
        <v>35985</v>
      </c>
      <c r="P121" s="25" t="s">
        <v>0</v>
      </c>
    </row>
    <row r="122" spans="1:16" x14ac:dyDescent="0.3">
      <c r="A122" s="25" t="s">
        <v>3215</v>
      </c>
      <c r="B122" s="26">
        <v>46093</v>
      </c>
      <c r="C122" s="26">
        <v>46098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25799764</v>
      </c>
      <c r="K122" s="43" t="s">
        <v>666</v>
      </c>
      <c r="L122" s="58" t="s">
        <v>668</v>
      </c>
      <c r="M122" s="61">
        <v>239900</v>
      </c>
      <c r="N122" s="64">
        <v>0.9</v>
      </c>
      <c r="O122" s="36">
        <f t="shared" si="1"/>
        <v>35985</v>
      </c>
      <c r="P122" s="25" t="s">
        <v>0</v>
      </c>
    </row>
    <row r="123" spans="1:16" x14ac:dyDescent="0.3">
      <c r="A123" s="25" t="s">
        <v>3215</v>
      </c>
      <c r="B123" s="26">
        <v>46093</v>
      </c>
      <c r="C123" s="26">
        <v>46098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25799773</v>
      </c>
      <c r="K123" s="43" t="s">
        <v>666</v>
      </c>
      <c r="L123" s="58" t="s">
        <v>669</v>
      </c>
      <c r="M123" s="61">
        <v>239900</v>
      </c>
      <c r="N123" s="64">
        <v>0.9</v>
      </c>
      <c r="O123" s="36">
        <f t="shared" si="1"/>
        <v>35985</v>
      </c>
      <c r="P123" s="25" t="s">
        <v>0</v>
      </c>
    </row>
    <row r="124" spans="1:16" x14ac:dyDescent="0.3">
      <c r="A124" s="25" t="s">
        <v>3215</v>
      </c>
      <c r="B124" s="26">
        <v>46093</v>
      </c>
      <c r="C124" s="26">
        <v>46098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25799782</v>
      </c>
      <c r="K124" s="43" t="s">
        <v>666</v>
      </c>
      <c r="L124" s="58" t="s">
        <v>670</v>
      </c>
      <c r="M124" s="61">
        <v>239900</v>
      </c>
      <c r="N124" s="64">
        <v>0.9</v>
      </c>
      <c r="O124" s="36">
        <f t="shared" si="1"/>
        <v>35985</v>
      </c>
      <c r="P124" s="25" t="s">
        <v>0</v>
      </c>
    </row>
    <row r="125" spans="1:16" x14ac:dyDescent="0.3">
      <c r="A125" s="25" t="s">
        <v>3215</v>
      </c>
      <c r="B125" s="26">
        <v>46093</v>
      </c>
      <c r="C125" s="26">
        <v>46098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25799791</v>
      </c>
      <c r="K125" s="43" t="s">
        <v>666</v>
      </c>
      <c r="L125" s="58" t="s">
        <v>671</v>
      </c>
      <c r="M125" s="61">
        <v>239900</v>
      </c>
      <c r="N125" s="64">
        <v>0.9</v>
      </c>
      <c r="O125" s="36">
        <f t="shared" si="1"/>
        <v>35985</v>
      </c>
      <c r="P125" s="25" t="s">
        <v>0</v>
      </c>
    </row>
    <row r="126" spans="1:16" x14ac:dyDescent="0.3">
      <c r="A126" s="25" t="s">
        <v>3215</v>
      </c>
      <c r="B126" s="26">
        <v>46093</v>
      </c>
      <c r="C126" s="26">
        <v>46098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25799808</v>
      </c>
      <c r="K126" s="43" t="s">
        <v>672</v>
      </c>
      <c r="L126" s="58" t="s">
        <v>673</v>
      </c>
      <c r="M126" s="61">
        <v>239900</v>
      </c>
      <c r="N126" s="64">
        <v>0.9</v>
      </c>
      <c r="O126" s="36">
        <f t="shared" si="1"/>
        <v>35985</v>
      </c>
      <c r="P126" s="25" t="s">
        <v>0</v>
      </c>
    </row>
    <row r="127" spans="1:16" x14ac:dyDescent="0.3">
      <c r="A127" s="25" t="s">
        <v>3215</v>
      </c>
      <c r="B127" s="26">
        <v>46093</v>
      </c>
      <c r="C127" s="26">
        <v>46098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25799826</v>
      </c>
      <c r="K127" s="43" t="s">
        <v>672</v>
      </c>
      <c r="L127" s="58" t="s">
        <v>674</v>
      </c>
      <c r="M127" s="61">
        <v>239900</v>
      </c>
      <c r="N127" s="64">
        <v>0.9</v>
      </c>
      <c r="O127" s="36">
        <f t="shared" si="1"/>
        <v>35985</v>
      </c>
      <c r="P127" s="25" t="s">
        <v>0</v>
      </c>
    </row>
    <row r="128" spans="1:16" x14ac:dyDescent="0.3">
      <c r="A128" s="25" t="s">
        <v>3215</v>
      </c>
      <c r="B128" s="26">
        <v>46093</v>
      </c>
      <c r="C128" s="26">
        <v>46098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25799835</v>
      </c>
      <c r="K128" s="43" t="s">
        <v>672</v>
      </c>
      <c r="L128" s="58" t="s">
        <v>675</v>
      </c>
      <c r="M128" s="61">
        <v>239900</v>
      </c>
      <c r="N128" s="64">
        <v>0.9</v>
      </c>
      <c r="O128" s="36">
        <f t="shared" si="1"/>
        <v>35985</v>
      </c>
      <c r="P128" s="25" t="s">
        <v>0</v>
      </c>
    </row>
    <row r="129" spans="1:16" x14ac:dyDescent="0.3">
      <c r="A129" s="25" t="s">
        <v>3215</v>
      </c>
      <c r="B129" s="26">
        <v>46093</v>
      </c>
      <c r="C129" s="26">
        <v>46098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25799844</v>
      </c>
      <c r="K129" s="43" t="s">
        <v>672</v>
      </c>
      <c r="L129" s="58" t="s">
        <v>676</v>
      </c>
      <c r="M129" s="61">
        <v>239900</v>
      </c>
      <c r="N129" s="64">
        <v>0.9</v>
      </c>
      <c r="O129" s="36">
        <f t="shared" si="1"/>
        <v>35985</v>
      </c>
      <c r="P129" s="25" t="s">
        <v>0</v>
      </c>
    </row>
    <row r="130" spans="1:16" x14ac:dyDescent="0.3">
      <c r="A130" s="25" t="s">
        <v>3215</v>
      </c>
      <c r="B130" s="26">
        <v>46093</v>
      </c>
      <c r="C130" s="26">
        <v>46098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25799853</v>
      </c>
      <c r="K130" s="43" t="s">
        <v>677</v>
      </c>
      <c r="L130" s="58" t="s">
        <v>678</v>
      </c>
      <c r="M130" s="61">
        <v>239900</v>
      </c>
      <c r="N130" s="64">
        <v>0.9</v>
      </c>
      <c r="O130" s="36">
        <f t="shared" si="1"/>
        <v>35985</v>
      </c>
      <c r="P130" s="25" t="s">
        <v>0</v>
      </c>
    </row>
    <row r="131" spans="1:16" x14ac:dyDescent="0.3">
      <c r="A131" s="25" t="s">
        <v>3215</v>
      </c>
      <c r="B131" s="26">
        <v>46093</v>
      </c>
      <c r="C131" s="26">
        <v>46098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25799862</v>
      </c>
      <c r="K131" s="43" t="s">
        <v>677</v>
      </c>
      <c r="L131" s="58" t="s">
        <v>679</v>
      </c>
      <c r="M131" s="61">
        <v>239900</v>
      </c>
      <c r="N131" s="64">
        <v>0.9</v>
      </c>
      <c r="O131" s="36">
        <f t="shared" ref="O131:O194" si="2">M131*15%</f>
        <v>35985</v>
      </c>
      <c r="P131" s="25" t="s">
        <v>0</v>
      </c>
    </row>
    <row r="132" spans="1:16" x14ac:dyDescent="0.3">
      <c r="A132" s="25" t="s">
        <v>3215</v>
      </c>
      <c r="B132" s="26">
        <v>46093</v>
      </c>
      <c r="C132" s="26">
        <v>46098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25799871</v>
      </c>
      <c r="K132" s="43" t="s">
        <v>677</v>
      </c>
      <c r="L132" s="58" t="s">
        <v>680</v>
      </c>
      <c r="M132" s="61">
        <v>239900</v>
      </c>
      <c r="N132" s="64">
        <v>0.9</v>
      </c>
      <c r="O132" s="36">
        <f t="shared" si="2"/>
        <v>35985</v>
      </c>
      <c r="P132" s="25" t="s">
        <v>0</v>
      </c>
    </row>
    <row r="133" spans="1:16" x14ac:dyDescent="0.3">
      <c r="A133" s="25" t="s">
        <v>3215</v>
      </c>
      <c r="B133" s="26">
        <v>46093</v>
      </c>
      <c r="C133" s="26">
        <v>46098</v>
      </c>
      <c r="D133" s="25">
        <v>3319</v>
      </c>
      <c r="E133" s="25">
        <v>327</v>
      </c>
      <c r="F133" s="25">
        <v>2</v>
      </c>
      <c r="G133" s="48">
        <v>1</v>
      </c>
      <c r="H133" s="48">
        <v>81433</v>
      </c>
      <c r="I133" s="48" t="s">
        <v>17</v>
      </c>
      <c r="J133" s="50">
        <v>25799880</v>
      </c>
      <c r="K133" s="43" t="s">
        <v>677</v>
      </c>
      <c r="L133" s="58" t="s">
        <v>681</v>
      </c>
      <c r="M133" s="61">
        <v>239900</v>
      </c>
      <c r="N133" s="64">
        <v>0.9</v>
      </c>
      <c r="O133" s="36">
        <f t="shared" si="2"/>
        <v>35985</v>
      </c>
      <c r="P133" s="25" t="s">
        <v>0</v>
      </c>
    </row>
    <row r="134" spans="1:16" x14ac:dyDescent="0.3">
      <c r="A134" s="25" t="s">
        <v>3215</v>
      </c>
      <c r="B134" s="26">
        <v>46093</v>
      </c>
      <c r="C134" s="26">
        <v>46098</v>
      </c>
      <c r="D134" s="25">
        <v>3319</v>
      </c>
      <c r="E134" s="25">
        <v>327</v>
      </c>
      <c r="F134" s="25">
        <v>2</v>
      </c>
      <c r="G134" s="48">
        <v>1</v>
      </c>
      <c r="H134" s="48">
        <v>81433</v>
      </c>
      <c r="I134" s="48" t="s">
        <v>17</v>
      </c>
      <c r="J134" s="48">
        <v>25799899</v>
      </c>
      <c r="K134" s="43" t="s">
        <v>677</v>
      </c>
      <c r="L134" s="58" t="s">
        <v>682</v>
      </c>
      <c r="M134" s="61">
        <v>239900</v>
      </c>
      <c r="N134" s="64">
        <v>0.9</v>
      </c>
      <c r="O134" s="36">
        <f t="shared" si="2"/>
        <v>35985</v>
      </c>
      <c r="P134" s="25" t="s">
        <v>0</v>
      </c>
    </row>
    <row r="135" spans="1:16" x14ac:dyDescent="0.3">
      <c r="A135" s="25" t="s">
        <v>3215</v>
      </c>
      <c r="B135" s="26">
        <v>46093</v>
      </c>
      <c r="C135" s="26">
        <v>46098</v>
      </c>
      <c r="D135" s="25">
        <v>3319</v>
      </c>
      <c r="E135" s="25">
        <v>327</v>
      </c>
      <c r="F135" s="25">
        <v>2</v>
      </c>
      <c r="G135" s="48">
        <v>1</v>
      </c>
      <c r="H135" s="48">
        <v>81433</v>
      </c>
      <c r="I135" s="48" t="s">
        <v>17</v>
      </c>
      <c r="J135" s="48">
        <v>28701200</v>
      </c>
      <c r="K135" s="43" t="s">
        <v>683</v>
      </c>
      <c r="L135" s="58" t="s">
        <v>684</v>
      </c>
      <c r="M135" s="61">
        <v>199900</v>
      </c>
      <c r="N135" s="64">
        <v>0.9</v>
      </c>
      <c r="O135" s="36">
        <f t="shared" si="2"/>
        <v>29985</v>
      </c>
      <c r="P135" s="25" t="s">
        <v>0</v>
      </c>
    </row>
    <row r="136" spans="1:16" x14ac:dyDescent="0.3">
      <c r="A136" s="25" t="s">
        <v>3215</v>
      </c>
      <c r="B136" s="26">
        <v>46093</v>
      </c>
      <c r="C136" s="26">
        <v>46098</v>
      </c>
      <c r="D136" s="25">
        <v>3319</v>
      </c>
      <c r="E136" s="25">
        <v>327</v>
      </c>
      <c r="F136" s="25">
        <v>2</v>
      </c>
      <c r="G136" s="48">
        <v>1</v>
      </c>
      <c r="H136" s="48">
        <v>81433</v>
      </c>
      <c r="I136" s="48" t="s">
        <v>17</v>
      </c>
      <c r="J136" s="48">
        <v>28701219</v>
      </c>
      <c r="K136" s="43" t="s">
        <v>683</v>
      </c>
      <c r="L136" s="58" t="s">
        <v>685</v>
      </c>
      <c r="M136" s="61">
        <v>199900</v>
      </c>
      <c r="N136" s="64">
        <v>0.9</v>
      </c>
      <c r="O136" s="36">
        <f t="shared" si="2"/>
        <v>29985</v>
      </c>
      <c r="P136" s="25" t="s">
        <v>0</v>
      </c>
    </row>
    <row r="137" spans="1:16" x14ac:dyDescent="0.3">
      <c r="A137" s="25" t="s">
        <v>3215</v>
      </c>
      <c r="B137" s="26">
        <v>46093</v>
      </c>
      <c r="C137" s="26">
        <v>46098</v>
      </c>
      <c r="D137" s="25">
        <v>3319</v>
      </c>
      <c r="E137" s="25">
        <v>327</v>
      </c>
      <c r="F137" s="25">
        <v>2</v>
      </c>
      <c r="G137" s="48">
        <v>1</v>
      </c>
      <c r="H137" s="48">
        <v>81433</v>
      </c>
      <c r="I137" s="48" t="s">
        <v>17</v>
      </c>
      <c r="J137" s="48">
        <v>28701228</v>
      </c>
      <c r="K137" s="43" t="s">
        <v>683</v>
      </c>
      <c r="L137" s="58" t="s">
        <v>686</v>
      </c>
      <c r="M137" s="61">
        <v>199900</v>
      </c>
      <c r="N137" s="64">
        <v>0.9</v>
      </c>
      <c r="O137" s="36">
        <f t="shared" si="2"/>
        <v>29985</v>
      </c>
      <c r="P137" s="25" t="s">
        <v>0</v>
      </c>
    </row>
    <row r="138" spans="1:16" x14ac:dyDescent="0.3">
      <c r="A138" s="25" t="s">
        <v>3215</v>
      </c>
      <c r="B138" s="26">
        <v>46093</v>
      </c>
      <c r="C138" s="26">
        <v>46098</v>
      </c>
      <c r="D138" s="25">
        <v>3319</v>
      </c>
      <c r="E138" s="25">
        <v>327</v>
      </c>
      <c r="F138" s="25">
        <v>2</v>
      </c>
      <c r="G138" s="48">
        <v>1</v>
      </c>
      <c r="H138" s="48">
        <v>81433</v>
      </c>
      <c r="I138" s="48" t="s">
        <v>17</v>
      </c>
      <c r="J138" s="48">
        <v>28701237</v>
      </c>
      <c r="K138" s="43" t="s">
        <v>683</v>
      </c>
      <c r="L138" s="58" t="s">
        <v>687</v>
      </c>
      <c r="M138" s="61">
        <v>199900</v>
      </c>
      <c r="N138" s="64">
        <v>0.9</v>
      </c>
      <c r="O138" s="36">
        <f t="shared" si="2"/>
        <v>29985</v>
      </c>
      <c r="P138" s="25" t="s">
        <v>0</v>
      </c>
    </row>
    <row r="139" spans="1:16" x14ac:dyDescent="0.3">
      <c r="A139" s="25" t="s">
        <v>3215</v>
      </c>
      <c r="B139" s="26">
        <v>46093</v>
      </c>
      <c r="C139" s="26">
        <v>46098</v>
      </c>
      <c r="D139" s="25">
        <v>3319</v>
      </c>
      <c r="E139" s="25">
        <v>327</v>
      </c>
      <c r="F139" s="25">
        <v>2</v>
      </c>
      <c r="G139" s="48">
        <v>1</v>
      </c>
      <c r="H139" s="48">
        <v>81433</v>
      </c>
      <c r="I139" s="48" t="s">
        <v>17</v>
      </c>
      <c r="J139" s="48">
        <v>28701246</v>
      </c>
      <c r="K139" s="43" t="s">
        <v>683</v>
      </c>
      <c r="L139" s="58" t="s">
        <v>688</v>
      </c>
      <c r="M139" s="61">
        <v>199900</v>
      </c>
      <c r="N139" s="64">
        <v>0.9</v>
      </c>
      <c r="O139" s="36">
        <f t="shared" si="2"/>
        <v>29985</v>
      </c>
      <c r="P139" s="25" t="s">
        <v>0</v>
      </c>
    </row>
    <row r="140" spans="1:16" x14ac:dyDescent="0.3">
      <c r="A140" s="25" t="s">
        <v>3215</v>
      </c>
      <c r="B140" s="26">
        <v>46093</v>
      </c>
      <c r="C140" s="26">
        <v>46098</v>
      </c>
      <c r="D140" s="25">
        <v>3319</v>
      </c>
      <c r="E140" s="25">
        <v>327</v>
      </c>
      <c r="F140" s="25">
        <v>2</v>
      </c>
      <c r="G140" s="48">
        <v>1</v>
      </c>
      <c r="H140" s="48">
        <v>81433</v>
      </c>
      <c r="I140" s="48" t="s">
        <v>17</v>
      </c>
      <c r="J140" s="48">
        <v>26734509</v>
      </c>
      <c r="K140" s="43" t="s">
        <v>689</v>
      </c>
      <c r="L140" s="58" t="s">
        <v>690</v>
      </c>
      <c r="M140" s="61">
        <v>199900</v>
      </c>
      <c r="N140" s="64">
        <v>0.9</v>
      </c>
      <c r="O140" s="36">
        <f t="shared" si="2"/>
        <v>29985</v>
      </c>
      <c r="P140" s="25" t="s">
        <v>0</v>
      </c>
    </row>
    <row r="141" spans="1:16" x14ac:dyDescent="0.3">
      <c r="A141" s="25" t="s">
        <v>3215</v>
      </c>
      <c r="B141" s="26">
        <v>46093</v>
      </c>
      <c r="C141" s="26">
        <v>46098</v>
      </c>
      <c r="D141" s="25">
        <v>3319</v>
      </c>
      <c r="E141" s="25">
        <v>327</v>
      </c>
      <c r="F141" s="25">
        <v>2</v>
      </c>
      <c r="G141" s="48">
        <v>1</v>
      </c>
      <c r="H141" s="48">
        <v>81433</v>
      </c>
      <c r="I141" s="48" t="s">
        <v>17</v>
      </c>
      <c r="J141" s="48">
        <v>26734518</v>
      </c>
      <c r="K141" s="43" t="s">
        <v>689</v>
      </c>
      <c r="L141" s="58" t="s">
        <v>691</v>
      </c>
      <c r="M141" s="61">
        <v>199900</v>
      </c>
      <c r="N141" s="64">
        <v>0.9</v>
      </c>
      <c r="O141" s="36">
        <f t="shared" si="2"/>
        <v>29985</v>
      </c>
      <c r="P141" s="25" t="s">
        <v>0</v>
      </c>
    </row>
    <row r="142" spans="1:16" x14ac:dyDescent="0.3">
      <c r="A142" s="25" t="s">
        <v>3215</v>
      </c>
      <c r="B142" s="26">
        <v>46093</v>
      </c>
      <c r="C142" s="26">
        <v>46098</v>
      </c>
      <c r="D142" s="25">
        <v>3319</v>
      </c>
      <c r="E142" s="25">
        <v>327</v>
      </c>
      <c r="F142" s="25">
        <v>2</v>
      </c>
      <c r="G142" s="48">
        <v>1</v>
      </c>
      <c r="H142" s="48">
        <v>81433</v>
      </c>
      <c r="I142" s="48" t="s">
        <v>17</v>
      </c>
      <c r="J142" s="48">
        <v>26734527</v>
      </c>
      <c r="K142" s="43" t="s">
        <v>689</v>
      </c>
      <c r="L142" s="58" t="s">
        <v>692</v>
      </c>
      <c r="M142" s="61">
        <v>199900</v>
      </c>
      <c r="N142" s="64">
        <v>0.9</v>
      </c>
      <c r="O142" s="36">
        <f t="shared" si="2"/>
        <v>29985</v>
      </c>
      <c r="P142" s="25" t="s">
        <v>0</v>
      </c>
    </row>
    <row r="143" spans="1:16" x14ac:dyDescent="0.3">
      <c r="A143" s="25" t="s">
        <v>3215</v>
      </c>
      <c r="B143" s="26">
        <v>46093</v>
      </c>
      <c r="C143" s="26">
        <v>46098</v>
      </c>
      <c r="D143" s="25">
        <v>3319</v>
      </c>
      <c r="E143" s="25">
        <v>327</v>
      </c>
      <c r="F143" s="25">
        <v>2</v>
      </c>
      <c r="G143" s="48">
        <v>1</v>
      </c>
      <c r="H143" s="48">
        <v>81433</v>
      </c>
      <c r="I143" s="48" t="s">
        <v>17</v>
      </c>
      <c r="J143" s="48">
        <v>26734536</v>
      </c>
      <c r="K143" s="43" t="s">
        <v>689</v>
      </c>
      <c r="L143" s="58" t="s">
        <v>693</v>
      </c>
      <c r="M143" s="61">
        <v>199900</v>
      </c>
      <c r="N143" s="64">
        <v>0.9</v>
      </c>
      <c r="O143" s="36">
        <f t="shared" si="2"/>
        <v>29985</v>
      </c>
      <c r="P143" s="25" t="s">
        <v>0</v>
      </c>
    </row>
    <row r="144" spans="1:16" x14ac:dyDescent="0.3">
      <c r="A144" s="25" t="s">
        <v>3215</v>
      </c>
      <c r="B144" s="26">
        <v>46093</v>
      </c>
      <c r="C144" s="26">
        <v>46098</v>
      </c>
      <c r="D144" s="25">
        <v>3319</v>
      </c>
      <c r="E144" s="25">
        <v>327</v>
      </c>
      <c r="F144" s="25">
        <v>2</v>
      </c>
      <c r="G144" s="48">
        <v>1</v>
      </c>
      <c r="H144" s="48">
        <v>81433</v>
      </c>
      <c r="I144" s="48" t="s">
        <v>17</v>
      </c>
      <c r="J144" s="48">
        <v>26734545</v>
      </c>
      <c r="K144" s="43" t="s">
        <v>689</v>
      </c>
      <c r="L144" s="58" t="s">
        <v>694</v>
      </c>
      <c r="M144" s="61">
        <v>199900</v>
      </c>
      <c r="N144" s="64">
        <v>0.9</v>
      </c>
      <c r="O144" s="36">
        <f t="shared" si="2"/>
        <v>29985</v>
      </c>
      <c r="P144" s="25" t="s">
        <v>0</v>
      </c>
    </row>
    <row r="145" spans="1:16" x14ac:dyDescent="0.3">
      <c r="A145" s="25" t="s">
        <v>3215</v>
      </c>
      <c r="B145" s="26">
        <v>46093</v>
      </c>
      <c r="C145" s="26">
        <v>46098</v>
      </c>
      <c r="D145" s="25">
        <v>3319</v>
      </c>
      <c r="E145" s="25">
        <v>327</v>
      </c>
      <c r="F145" s="25">
        <v>2</v>
      </c>
      <c r="G145" s="48">
        <v>1</v>
      </c>
      <c r="H145" s="48">
        <v>81433</v>
      </c>
      <c r="I145" s="48" t="s">
        <v>17</v>
      </c>
      <c r="J145" s="48">
        <v>26775760</v>
      </c>
      <c r="K145" s="43" t="s">
        <v>695</v>
      </c>
      <c r="L145" s="58" t="s">
        <v>696</v>
      </c>
      <c r="M145" s="61">
        <v>259900</v>
      </c>
      <c r="N145" s="64">
        <v>0.9</v>
      </c>
      <c r="O145" s="36">
        <f t="shared" si="2"/>
        <v>38985</v>
      </c>
      <c r="P145" s="25" t="s">
        <v>0</v>
      </c>
    </row>
    <row r="146" spans="1:16" x14ac:dyDescent="0.3">
      <c r="A146" s="25" t="s">
        <v>3215</v>
      </c>
      <c r="B146" s="26">
        <v>46093</v>
      </c>
      <c r="C146" s="26">
        <v>46098</v>
      </c>
      <c r="D146" s="25">
        <v>3319</v>
      </c>
      <c r="E146" s="25">
        <v>327</v>
      </c>
      <c r="F146" s="25">
        <v>2</v>
      </c>
      <c r="G146" s="48">
        <v>1</v>
      </c>
      <c r="H146" s="48">
        <v>81433</v>
      </c>
      <c r="I146" s="48" t="s">
        <v>17</v>
      </c>
      <c r="J146" s="48">
        <v>26775779</v>
      </c>
      <c r="K146" s="43" t="s">
        <v>695</v>
      </c>
      <c r="L146" s="58" t="s">
        <v>697</v>
      </c>
      <c r="M146" s="61">
        <v>259900</v>
      </c>
      <c r="N146" s="64">
        <v>0.9</v>
      </c>
      <c r="O146" s="36">
        <f t="shared" si="2"/>
        <v>38985</v>
      </c>
      <c r="P146" s="25" t="s">
        <v>0</v>
      </c>
    </row>
    <row r="147" spans="1:16" x14ac:dyDescent="0.3">
      <c r="A147" s="25" t="s">
        <v>3215</v>
      </c>
      <c r="B147" s="26">
        <v>46093</v>
      </c>
      <c r="C147" s="26">
        <v>46098</v>
      </c>
      <c r="D147" s="25">
        <v>3319</v>
      </c>
      <c r="E147" s="25">
        <v>327</v>
      </c>
      <c r="F147" s="25">
        <v>2</v>
      </c>
      <c r="G147" s="48">
        <v>1</v>
      </c>
      <c r="H147" s="48">
        <v>81433</v>
      </c>
      <c r="I147" s="48" t="s">
        <v>17</v>
      </c>
      <c r="J147" s="48">
        <v>26775788</v>
      </c>
      <c r="K147" s="43" t="s">
        <v>695</v>
      </c>
      <c r="L147" s="58" t="s">
        <v>698</v>
      </c>
      <c r="M147" s="61">
        <v>259900</v>
      </c>
      <c r="N147" s="64">
        <v>0.9</v>
      </c>
      <c r="O147" s="36">
        <f t="shared" si="2"/>
        <v>38985</v>
      </c>
      <c r="P147" s="25" t="s">
        <v>0</v>
      </c>
    </row>
    <row r="148" spans="1:16" x14ac:dyDescent="0.3">
      <c r="A148" s="25" t="s">
        <v>3215</v>
      </c>
      <c r="B148" s="26">
        <v>46093</v>
      </c>
      <c r="C148" s="26">
        <v>46098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26775797</v>
      </c>
      <c r="K148" s="43" t="s">
        <v>695</v>
      </c>
      <c r="L148" s="58" t="s">
        <v>699</v>
      </c>
      <c r="M148" s="61">
        <v>259900</v>
      </c>
      <c r="N148" s="64">
        <v>0.9</v>
      </c>
      <c r="O148" s="36">
        <f t="shared" si="2"/>
        <v>38985</v>
      </c>
      <c r="P148" s="25" t="s">
        <v>0</v>
      </c>
    </row>
    <row r="149" spans="1:16" x14ac:dyDescent="0.3">
      <c r="A149" s="25" t="s">
        <v>3215</v>
      </c>
      <c r="B149" s="26">
        <v>46093</v>
      </c>
      <c r="C149" s="26">
        <v>46098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26775804</v>
      </c>
      <c r="K149" s="43" t="s">
        <v>695</v>
      </c>
      <c r="L149" s="58" t="s">
        <v>700</v>
      </c>
      <c r="M149" s="61">
        <v>259900</v>
      </c>
      <c r="N149" s="64">
        <v>0.9</v>
      </c>
      <c r="O149" s="36">
        <f t="shared" si="2"/>
        <v>38985</v>
      </c>
      <c r="P149" s="25" t="s">
        <v>0</v>
      </c>
    </row>
    <row r="150" spans="1:16" x14ac:dyDescent="0.3">
      <c r="A150" s="25" t="s">
        <v>3215</v>
      </c>
      <c r="B150" s="26">
        <v>46093</v>
      </c>
      <c r="C150" s="26">
        <v>46098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26775813</v>
      </c>
      <c r="K150" s="43" t="s">
        <v>695</v>
      </c>
      <c r="L150" s="58" t="s">
        <v>701</v>
      </c>
      <c r="M150" s="61">
        <v>259900</v>
      </c>
      <c r="N150" s="64">
        <v>0.9</v>
      </c>
      <c r="O150" s="36">
        <f t="shared" si="2"/>
        <v>38985</v>
      </c>
      <c r="P150" s="25" t="s">
        <v>0</v>
      </c>
    </row>
    <row r="151" spans="1:16" x14ac:dyDescent="0.3">
      <c r="A151" s="25" t="s">
        <v>3215</v>
      </c>
      <c r="B151" s="26">
        <v>46093</v>
      </c>
      <c r="C151" s="26">
        <v>46098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26775822</v>
      </c>
      <c r="K151" s="43" t="s">
        <v>695</v>
      </c>
      <c r="L151" s="58" t="s">
        <v>702</v>
      </c>
      <c r="M151" s="61">
        <v>259900</v>
      </c>
      <c r="N151" s="64">
        <v>0.9</v>
      </c>
      <c r="O151" s="36">
        <f t="shared" si="2"/>
        <v>38985</v>
      </c>
      <c r="P151" s="25" t="s">
        <v>0</v>
      </c>
    </row>
    <row r="152" spans="1:16" x14ac:dyDescent="0.3">
      <c r="A152" s="25" t="s">
        <v>3215</v>
      </c>
      <c r="B152" s="26">
        <v>46093</v>
      </c>
      <c r="C152" s="26">
        <v>46098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26775831</v>
      </c>
      <c r="K152" s="43" t="s">
        <v>695</v>
      </c>
      <c r="L152" s="58" t="s">
        <v>703</v>
      </c>
      <c r="M152" s="61">
        <v>259900</v>
      </c>
      <c r="N152" s="64">
        <v>0.9</v>
      </c>
      <c r="O152" s="36">
        <f t="shared" si="2"/>
        <v>38985</v>
      </c>
      <c r="P152" s="25" t="s">
        <v>0</v>
      </c>
    </row>
    <row r="153" spans="1:16" x14ac:dyDescent="0.3">
      <c r="A153" s="25" t="s">
        <v>3215</v>
      </c>
      <c r="B153" s="26">
        <v>46093</v>
      </c>
      <c r="C153" s="26">
        <v>46098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26775840</v>
      </c>
      <c r="K153" s="43" t="s">
        <v>695</v>
      </c>
      <c r="L153" s="58" t="s">
        <v>704</v>
      </c>
      <c r="M153" s="61">
        <v>259900</v>
      </c>
      <c r="N153" s="64">
        <v>0.9</v>
      </c>
      <c r="O153" s="36">
        <f t="shared" si="2"/>
        <v>38985</v>
      </c>
      <c r="P153" s="25" t="s">
        <v>0</v>
      </c>
    </row>
    <row r="154" spans="1:16" x14ac:dyDescent="0.3">
      <c r="A154" s="25" t="s">
        <v>3215</v>
      </c>
      <c r="B154" s="26">
        <v>46093</v>
      </c>
      <c r="C154" s="26">
        <v>46098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26775859</v>
      </c>
      <c r="K154" s="43" t="s">
        <v>695</v>
      </c>
      <c r="L154" s="58" t="s">
        <v>705</v>
      </c>
      <c r="M154" s="61">
        <v>259900</v>
      </c>
      <c r="N154" s="64">
        <v>0.9</v>
      </c>
      <c r="O154" s="36">
        <f t="shared" si="2"/>
        <v>38985</v>
      </c>
      <c r="P154" s="25" t="s">
        <v>0</v>
      </c>
    </row>
    <row r="155" spans="1:16" x14ac:dyDescent="0.3">
      <c r="A155" s="25" t="s">
        <v>3215</v>
      </c>
      <c r="B155" s="26">
        <v>46093</v>
      </c>
      <c r="C155" s="26">
        <v>46098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27042844</v>
      </c>
      <c r="K155" s="43" t="s">
        <v>706</v>
      </c>
      <c r="L155" s="58" t="s">
        <v>707</v>
      </c>
      <c r="M155" s="61">
        <v>239900</v>
      </c>
      <c r="N155" s="64">
        <v>0.9</v>
      </c>
      <c r="O155" s="36">
        <f t="shared" si="2"/>
        <v>35985</v>
      </c>
      <c r="P155" s="25" t="s">
        <v>0</v>
      </c>
    </row>
    <row r="156" spans="1:16" x14ac:dyDescent="0.3">
      <c r="A156" s="25" t="s">
        <v>3215</v>
      </c>
      <c r="B156" s="26">
        <v>46093</v>
      </c>
      <c r="C156" s="26">
        <v>46098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27042853</v>
      </c>
      <c r="K156" s="43" t="s">
        <v>706</v>
      </c>
      <c r="L156" s="58" t="s">
        <v>708</v>
      </c>
      <c r="M156" s="61">
        <v>239900</v>
      </c>
      <c r="N156" s="64">
        <v>0.9</v>
      </c>
      <c r="O156" s="36">
        <f t="shared" si="2"/>
        <v>35985</v>
      </c>
      <c r="P156" s="25" t="s">
        <v>0</v>
      </c>
    </row>
    <row r="157" spans="1:16" x14ac:dyDescent="0.3">
      <c r="A157" s="25" t="s">
        <v>3215</v>
      </c>
      <c r="B157" s="26">
        <v>46093</v>
      </c>
      <c r="C157" s="26">
        <v>46098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27042862</v>
      </c>
      <c r="K157" s="43" t="s">
        <v>706</v>
      </c>
      <c r="L157" s="58" t="s">
        <v>709</v>
      </c>
      <c r="M157" s="61">
        <v>239900</v>
      </c>
      <c r="N157" s="64">
        <v>0.9</v>
      </c>
      <c r="O157" s="36">
        <f t="shared" si="2"/>
        <v>35985</v>
      </c>
      <c r="P157" s="25" t="s">
        <v>0</v>
      </c>
    </row>
    <row r="158" spans="1:16" x14ac:dyDescent="0.3">
      <c r="A158" s="25" t="s">
        <v>3215</v>
      </c>
      <c r="B158" s="26">
        <v>46093</v>
      </c>
      <c r="C158" s="26">
        <v>46098</v>
      </c>
      <c r="D158" s="25">
        <v>3319</v>
      </c>
      <c r="E158" s="25">
        <v>327</v>
      </c>
      <c r="F158" s="25">
        <v>2</v>
      </c>
      <c r="G158" s="48">
        <v>1</v>
      </c>
      <c r="H158" s="48">
        <v>81433</v>
      </c>
      <c r="I158" s="28" t="s">
        <v>17</v>
      </c>
      <c r="J158" s="48">
        <v>27042871</v>
      </c>
      <c r="K158" s="43" t="s">
        <v>706</v>
      </c>
      <c r="L158" s="58" t="s">
        <v>710</v>
      </c>
      <c r="M158" s="61">
        <v>239900</v>
      </c>
      <c r="N158" s="64">
        <v>0.9</v>
      </c>
      <c r="O158" s="36">
        <f t="shared" si="2"/>
        <v>35985</v>
      </c>
      <c r="P158" s="25" t="s">
        <v>0</v>
      </c>
    </row>
    <row r="159" spans="1:16" x14ac:dyDescent="0.3">
      <c r="A159" s="25" t="s">
        <v>3215</v>
      </c>
      <c r="B159" s="26">
        <v>46093</v>
      </c>
      <c r="C159" s="26">
        <v>46098</v>
      </c>
      <c r="D159" s="25">
        <v>3319</v>
      </c>
      <c r="E159" s="25">
        <v>327</v>
      </c>
      <c r="F159" s="25">
        <v>2</v>
      </c>
      <c r="G159" s="48">
        <v>1</v>
      </c>
      <c r="H159" s="48">
        <v>81433</v>
      </c>
      <c r="I159" s="28" t="s">
        <v>17</v>
      </c>
      <c r="J159" s="48">
        <v>27042880</v>
      </c>
      <c r="K159" s="43" t="s">
        <v>706</v>
      </c>
      <c r="L159" s="58" t="s">
        <v>711</v>
      </c>
      <c r="M159" s="61">
        <v>239900</v>
      </c>
      <c r="N159" s="64">
        <v>0.9</v>
      </c>
      <c r="O159" s="36">
        <f t="shared" si="2"/>
        <v>35985</v>
      </c>
      <c r="P159" s="25" t="s">
        <v>0</v>
      </c>
    </row>
    <row r="160" spans="1:16" x14ac:dyDescent="0.3">
      <c r="A160" s="25" t="s">
        <v>3215</v>
      </c>
      <c r="B160" s="26">
        <v>46093</v>
      </c>
      <c r="C160" s="26">
        <v>46098</v>
      </c>
      <c r="D160" s="25">
        <v>3319</v>
      </c>
      <c r="E160" s="25">
        <v>327</v>
      </c>
      <c r="F160" s="25">
        <v>2</v>
      </c>
      <c r="G160" s="48">
        <v>1</v>
      </c>
      <c r="H160" s="48">
        <v>81433</v>
      </c>
      <c r="I160" s="28" t="s">
        <v>17</v>
      </c>
      <c r="J160" s="48">
        <v>27042899</v>
      </c>
      <c r="K160" s="43" t="s">
        <v>706</v>
      </c>
      <c r="L160" s="58" t="s">
        <v>712</v>
      </c>
      <c r="M160" s="61">
        <v>239900</v>
      </c>
      <c r="N160" s="64">
        <v>0.9</v>
      </c>
      <c r="O160" s="36">
        <f t="shared" si="2"/>
        <v>35985</v>
      </c>
      <c r="P160" s="25" t="s">
        <v>0</v>
      </c>
    </row>
    <row r="161" spans="1:16" x14ac:dyDescent="0.3">
      <c r="A161" s="25" t="s">
        <v>3215</v>
      </c>
      <c r="B161" s="26">
        <v>46093</v>
      </c>
      <c r="C161" s="26">
        <v>46098</v>
      </c>
      <c r="D161" s="25">
        <v>3319</v>
      </c>
      <c r="E161" s="25">
        <v>327</v>
      </c>
      <c r="F161" s="25">
        <v>2</v>
      </c>
      <c r="G161" s="48">
        <v>1</v>
      </c>
      <c r="H161" s="48">
        <v>81433</v>
      </c>
      <c r="I161" s="28" t="s">
        <v>17</v>
      </c>
      <c r="J161" s="48">
        <v>27042906</v>
      </c>
      <c r="K161" s="43" t="s">
        <v>706</v>
      </c>
      <c r="L161" s="58" t="s">
        <v>713</v>
      </c>
      <c r="M161" s="61">
        <v>239900</v>
      </c>
      <c r="N161" s="64">
        <v>0.9</v>
      </c>
      <c r="O161" s="36">
        <f t="shared" si="2"/>
        <v>35985</v>
      </c>
      <c r="P161" s="25" t="s">
        <v>0</v>
      </c>
    </row>
    <row r="162" spans="1:16" x14ac:dyDescent="0.3">
      <c r="A162" s="25" t="s">
        <v>3215</v>
      </c>
      <c r="B162" s="26">
        <v>46093</v>
      </c>
      <c r="C162" s="26">
        <v>46098</v>
      </c>
      <c r="D162" s="25">
        <v>3319</v>
      </c>
      <c r="E162" s="25">
        <v>327</v>
      </c>
      <c r="F162" s="25">
        <v>2</v>
      </c>
      <c r="G162" s="48">
        <v>1</v>
      </c>
      <c r="H162" s="48">
        <v>81433</v>
      </c>
      <c r="I162" s="28" t="s">
        <v>17</v>
      </c>
      <c r="J162" s="48">
        <v>27042915</v>
      </c>
      <c r="K162" s="43" t="s">
        <v>706</v>
      </c>
      <c r="L162" s="58" t="s">
        <v>714</v>
      </c>
      <c r="M162" s="61">
        <v>239900</v>
      </c>
      <c r="N162" s="64">
        <v>0.9</v>
      </c>
      <c r="O162" s="36">
        <f t="shared" si="2"/>
        <v>35985</v>
      </c>
      <c r="P162" s="25" t="s">
        <v>0</v>
      </c>
    </row>
    <row r="163" spans="1:16" x14ac:dyDescent="0.3">
      <c r="A163" s="25" t="s">
        <v>3215</v>
      </c>
      <c r="B163" s="26">
        <v>46093</v>
      </c>
      <c r="C163" s="26">
        <v>46098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27042924</v>
      </c>
      <c r="K163" s="43" t="s">
        <v>706</v>
      </c>
      <c r="L163" s="58" t="s">
        <v>715</v>
      </c>
      <c r="M163" s="61">
        <v>239900</v>
      </c>
      <c r="N163" s="64">
        <v>0.9</v>
      </c>
      <c r="O163" s="36">
        <f t="shared" si="2"/>
        <v>35985</v>
      </c>
      <c r="P163" s="25" t="s">
        <v>0</v>
      </c>
    </row>
    <row r="164" spans="1:16" x14ac:dyDescent="0.3">
      <c r="A164" s="25" t="s">
        <v>3215</v>
      </c>
      <c r="B164" s="26">
        <v>46093</v>
      </c>
      <c r="C164" s="26">
        <v>46098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27042933</v>
      </c>
      <c r="K164" s="43" t="s">
        <v>706</v>
      </c>
      <c r="L164" s="58" t="s">
        <v>716</v>
      </c>
      <c r="M164" s="61">
        <v>239900</v>
      </c>
      <c r="N164" s="64">
        <v>0.9</v>
      </c>
      <c r="O164" s="36">
        <f t="shared" si="2"/>
        <v>35985</v>
      </c>
      <c r="P164" s="25" t="s">
        <v>0</v>
      </c>
    </row>
    <row r="165" spans="1:16" x14ac:dyDescent="0.3">
      <c r="A165" s="25" t="s">
        <v>3215</v>
      </c>
      <c r="B165" s="26">
        <v>46093</v>
      </c>
      <c r="C165" s="26">
        <v>46098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28070937</v>
      </c>
      <c r="K165" s="43" t="s">
        <v>717</v>
      </c>
      <c r="L165" s="58" t="s">
        <v>718</v>
      </c>
      <c r="M165" s="61">
        <v>199900</v>
      </c>
      <c r="N165" s="64">
        <v>0.9</v>
      </c>
      <c r="O165" s="36">
        <f t="shared" si="2"/>
        <v>29985</v>
      </c>
      <c r="P165" s="25" t="s">
        <v>0</v>
      </c>
    </row>
    <row r="166" spans="1:16" x14ac:dyDescent="0.3">
      <c r="A166" s="25" t="s">
        <v>3215</v>
      </c>
      <c r="B166" s="26">
        <v>46093</v>
      </c>
      <c r="C166" s="26">
        <v>46098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28070946</v>
      </c>
      <c r="K166" s="43" t="s">
        <v>717</v>
      </c>
      <c r="L166" s="58" t="s">
        <v>719</v>
      </c>
      <c r="M166" s="61">
        <v>199900</v>
      </c>
      <c r="N166" s="64">
        <v>0.9</v>
      </c>
      <c r="O166" s="36">
        <f t="shared" si="2"/>
        <v>29985</v>
      </c>
      <c r="P166" s="25" t="s">
        <v>0</v>
      </c>
    </row>
    <row r="167" spans="1:16" x14ac:dyDescent="0.3">
      <c r="A167" s="25" t="s">
        <v>3215</v>
      </c>
      <c r="B167" s="26">
        <v>46093</v>
      </c>
      <c r="C167" s="26">
        <v>46098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28070955</v>
      </c>
      <c r="K167" s="43" t="s">
        <v>717</v>
      </c>
      <c r="L167" s="58" t="s">
        <v>720</v>
      </c>
      <c r="M167" s="61">
        <v>199900</v>
      </c>
      <c r="N167" s="64">
        <v>0.9</v>
      </c>
      <c r="O167" s="36">
        <f t="shared" si="2"/>
        <v>29985</v>
      </c>
      <c r="P167" s="25" t="s">
        <v>0</v>
      </c>
    </row>
    <row r="168" spans="1:16" x14ac:dyDescent="0.3">
      <c r="A168" s="25" t="s">
        <v>3215</v>
      </c>
      <c r="B168" s="26">
        <v>46093</v>
      </c>
      <c r="C168" s="26">
        <v>46098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28070964</v>
      </c>
      <c r="K168" s="43" t="s">
        <v>717</v>
      </c>
      <c r="L168" s="58" t="s">
        <v>721</v>
      </c>
      <c r="M168" s="61">
        <v>199900</v>
      </c>
      <c r="N168" s="64">
        <v>0.9</v>
      </c>
      <c r="O168" s="36">
        <f t="shared" si="2"/>
        <v>29985</v>
      </c>
      <c r="P168" s="25" t="s">
        <v>0</v>
      </c>
    </row>
    <row r="169" spans="1:16" x14ac:dyDescent="0.3">
      <c r="A169" s="25" t="s">
        <v>3215</v>
      </c>
      <c r="B169" s="26">
        <v>46093</v>
      </c>
      <c r="C169" s="26">
        <v>46098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28070973</v>
      </c>
      <c r="K169" s="43" t="s">
        <v>717</v>
      </c>
      <c r="L169" s="58" t="s">
        <v>722</v>
      </c>
      <c r="M169" s="61">
        <v>199900</v>
      </c>
      <c r="N169" s="64">
        <v>0.9</v>
      </c>
      <c r="O169" s="36">
        <f t="shared" si="2"/>
        <v>29985</v>
      </c>
      <c r="P169" s="25" t="s">
        <v>0</v>
      </c>
    </row>
    <row r="170" spans="1:16" x14ac:dyDescent="0.3">
      <c r="A170" s="25" t="s">
        <v>3215</v>
      </c>
      <c r="B170" s="26">
        <v>46093</v>
      </c>
      <c r="C170" s="26">
        <v>46098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28070982</v>
      </c>
      <c r="K170" s="43" t="s">
        <v>717</v>
      </c>
      <c r="L170" s="58" t="s">
        <v>723</v>
      </c>
      <c r="M170" s="61">
        <v>199900</v>
      </c>
      <c r="N170" s="64">
        <v>0.9</v>
      </c>
      <c r="O170" s="36">
        <f t="shared" si="2"/>
        <v>29985</v>
      </c>
      <c r="P170" s="25" t="s">
        <v>0</v>
      </c>
    </row>
    <row r="171" spans="1:16" x14ac:dyDescent="0.3">
      <c r="A171" s="25" t="s">
        <v>3215</v>
      </c>
      <c r="B171" s="26">
        <v>46093</v>
      </c>
      <c r="C171" s="26">
        <v>46098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28070991</v>
      </c>
      <c r="K171" s="43" t="s">
        <v>717</v>
      </c>
      <c r="L171" s="58" t="s">
        <v>724</v>
      </c>
      <c r="M171" s="61">
        <v>199900</v>
      </c>
      <c r="N171" s="64">
        <v>0.9</v>
      </c>
      <c r="O171" s="36">
        <f t="shared" si="2"/>
        <v>29985</v>
      </c>
      <c r="P171" s="25" t="s">
        <v>0</v>
      </c>
    </row>
    <row r="172" spans="1:16" x14ac:dyDescent="0.3">
      <c r="A172" s="25" t="s">
        <v>3215</v>
      </c>
      <c r="B172" s="26">
        <v>46093</v>
      </c>
      <c r="C172" s="26">
        <v>46098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28071007</v>
      </c>
      <c r="K172" s="43" t="s">
        <v>717</v>
      </c>
      <c r="L172" s="58" t="s">
        <v>725</v>
      </c>
      <c r="M172" s="61">
        <v>199900</v>
      </c>
      <c r="N172" s="64">
        <v>0.9</v>
      </c>
      <c r="O172" s="36">
        <f t="shared" si="2"/>
        <v>29985</v>
      </c>
      <c r="P172" s="25" t="s">
        <v>0</v>
      </c>
    </row>
    <row r="173" spans="1:16" x14ac:dyDescent="0.3">
      <c r="A173" s="25" t="s">
        <v>3215</v>
      </c>
      <c r="B173" s="26">
        <v>46093</v>
      </c>
      <c r="C173" s="26">
        <v>46098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28071016</v>
      </c>
      <c r="K173" t="s">
        <v>717</v>
      </c>
      <c r="L173" s="6" t="s">
        <v>726</v>
      </c>
      <c r="M173" s="62">
        <v>199900</v>
      </c>
      <c r="N173" s="64">
        <v>0.9</v>
      </c>
      <c r="O173" s="36">
        <f t="shared" si="2"/>
        <v>29985</v>
      </c>
      <c r="P173" s="25" t="s">
        <v>0</v>
      </c>
    </row>
    <row r="174" spans="1:16" x14ac:dyDescent="0.3">
      <c r="A174" s="25" t="s">
        <v>3215</v>
      </c>
      <c r="B174" s="26">
        <v>46093</v>
      </c>
      <c r="C174" s="26">
        <v>46098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28071025</v>
      </c>
      <c r="K174" t="s">
        <v>717</v>
      </c>
      <c r="L174" s="6" t="s">
        <v>727</v>
      </c>
      <c r="M174" s="62">
        <v>199900</v>
      </c>
      <c r="N174" s="64">
        <v>0.9</v>
      </c>
      <c r="O174" s="36">
        <f t="shared" si="2"/>
        <v>29985</v>
      </c>
      <c r="P174" s="25" t="s">
        <v>0</v>
      </c>
    </row>
    <row r="175" spans="1:16" x14ac:dyDescent="0.3">
      <c r="A175" s="25" t="s">
        <v>3215</v>
      </c>
      <c r="B175" s="26">
        <v>46093</v>
      </c>
      <c r="C175" s="26">
        <v>46098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28071258</v>
      </c>
      <c r="K175" t="s">
        <v>728</v>
      </c>
      <c r="L175" s="6" t="s">
        <v>729</v>
      </c>
      <c r="M175" s="62">
        <v>239900</v>
      </c>
      <c r="N175" s="64">
        <v>0.9</v>
      </c>
      <c r="O175" s="36">
        <f t="shared" si="2"/>
        <v>35985</v>
      </c>
      <c r="P175" s="25" t="s">
        <v>0</v>
      </c>
    </row>
    <row r="176" spans="1:16" x14ac:dyDescent="0.3">
      <c r="A176" s="25" t="s">
        <v>3215</v>
      </c>
      <c r="B176" s="26">
        <v>46093</v>
      </c>
      <c r="C176" s="26">
        <v>46098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28071267</v>
      </c>
      <c r="K176" t="s">
        <v>728</v>
      </c>
      <c r="L176" s="6" t="s">
        <v>730</v>
      </c>
      <c r="M176" s="62">
        <v>239900</v>
      </c>
      <c r="N176" s="64">
        <v>0.9</v>
      </c>
      <c r="O176" s="36">
        <f t="shared" si="2"/>
        <v>35985</v>
      </c>
      <c r="P176" s="25" t="s">
        <v>0</v>
      </c>
    </row>
    <row r="177" spans="1:16" x14ac:dyDescent="0.3">
      <c r="A177" s="25" t="s">
        <v>3215</v>
      </c>
      <c r="B177" s="26">
        <v>46093</v>
      </c>
      <c r="C177" s="26">
        <v>46098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28071276</v>
      </c>
      <c r="K177" t="s">
        <v>728</v>
      </c>
      <c r="L177" s="6" t="s">
        <v>731</v>
      </c>
      <c r="M177" s="62">
        <v>239900</v>
      </c>
      <c r="N177" s="64">
        <v>0.9</v>
      </c>
      <c r="O177" s="36">
        <f t="shared" si="2"/>
        <v>35985</v>
      </c>
      <c r="P177" s="25" t="s">
        <v>0</v>
      </c>
    </row>
    <row r="178" spans="1:16" x14ac:dyDescent="0.3">
      <c r="A178" s="25" t="s">
        <v>3215</v>
      </c>
      <c r="B178" s="26">
        <v>46093</v>
      </c>
      <c r="C178" s="26">
        <v>46098</v>
      </c>
      <c r="D178" s="25">
        <v>3319</v>
      </c>
      <c r="E178" s="25">
        <v>327</v>
      </c>
      <c r="F178" s="25">
        <v>2</v>
      </c>
      <c r="G178" s="48">
        <v>1</v>
      </c>
      <c r="H178" s="46">
        <v>81433</v>
      </c>
      <c r="I178" s="48" t="s">
        <v>17</v>
      </c>
      <c r="J178" s="46">
        <v>28071285</v>
      </c>
      <c r="K178" s="45" t="s">
        <v>728</v>
      </c>
      <c r="L178" s="45" t="s">
        <v>732</v>
      </c>
      <c r="M178" s="61">
        <v>239900</v>
      </c>
      <c r="N178" s="64">
        <v>0.9</v>
      </c>
      <c r="O178" s="36">
        <f t="shared" si="2"/>
        <v>35985</v>
      </c>
      <c r="P178" s="25" t="s">
        <v>0</v>
      </c>
    </row>
    <row r="179" spans="1:16" x14ac:dyDescent="0.3">
      <c r="A179" s="25" t="s">
        <v>3215</v>
      </c>
      <c r="B179" s="26">
        <v>46093</v>
      </c>
      <c r="C179" s="26">
        <v>46098</v>
      </c>
      <c r="D179" s="25">
        <v>3319</v>
      </c>
      <c r="E179" s="25">
        <v>327</v>
      </c>
      <c r="F179" s="25">
        <v>2</v>
      </c>
      <c r="G179" s="48">
        <v>1</v>
      </c>
      <c r="H179" s="46">
        <v>81433</v>
      </c>
      <c r="I179" s="48" t="s">
        <v>17</v>
      </c>
      <c r="J179" s="46">
        <v>28701559</v>
      </c>
      <c r="K179" s="45" t="s">
        <v>733</v>
      </c>
      <c r="L179" s="45" t="s">
        <v>734</v>
      </c>
      <c r="M179" s="61">
        <v>239900</v>
      </c>
      <c r="N179" s="64">
        <v>0.9</v>
      </c>
      <c r="O179" s="36">
        <f t="shared" si="2"/>
        <v>35985</v>
      </c>
      <c r="P179" s="25" t="s">
        <v>0</v>
      </c>
    </row>
    <row r="180" spans="1:16" x14ac:dyDescent="0.3">
      <c r="A180" s="25" t="s">
        <v>3215</v>
      </c>
      <c r="B180" s="26">
        <v>46093</v>
      </c>
      <c r="C180" s="26">
        <v>46098</v>
      </c>
      <c r="D180" s="25">
        <v>3319</v>
      </c>
      <c r="E180" s="25">
        <v>327</v>
      </c>
      <c r="F180" s="25">
        <v>2</v>
      </c>
      <c r="G180" s="48">
        <v>1</v>
      </c>
      <c r="H180" s="46">
        <v>81433</v>
      </c>
      <c r="I180" s="48" t="s">
        <v>17</v>
      </c>
      <c r="J180" s="46">
        <v>28701568</v>
      </c>
      <c r="K180" s="45" t="s">
        <v>733</v>
      </c>
      <c r="L180" s="45" t="s">
        <v>735</v>
      </c>
      <c r="M180" s="61">
        <v>239900</v>
      </c>
      <c r="N180" s="64">
        <v>0.9</v>
      </c>
      <c r="O180" s="36">
        <f t="shared" si="2"/>
        <v>35985</v>
      </c>
      <c r="P180" s="25" t="s">
        <v>0</v>
      </c>
    </row>
    <row r="181" spans="1:16" x14ac:dyDescent="0.3">
      <c r="A181" s="25" t="s">
        <v>3215</v>
      </c>
      <c r="B181" s="26">
        <v>46093</v>
      </c>
      <c r="C181" s="26">
        <v>46098</v>
      </c>
      <c r="D181" s="25">
        <v>3319</v>
      </c>
      <c r="E181" s="25">
        <v>327</v>
      </c>
      <c r="F181" s="25">
        <v>2</v>
      </c>
      <c r="G181" s="48">
        <v>1</v>
      </c>
      <c r="H181" s="46">
        <v>81433</v>
      </c>
      <c r="I181" s="48" t="s">
        <v>17</v>
      </c>
      <c r="J181" s="46">
        <v>28701577</v>
      </c>
      <c r="K181" s="45" t="s">
        <v>733</v>
      </c>
      <c r="L181" s="45" t="s">
        <v>736</v>
      </c>
      <c r="M181" s="61">
        <v>239900</v>
      </c>
      <c r="N181" s="64">
        <v>0.9</v>
      </c>
      <c r="O181" s="36">
        <f t="shared" si="2"/>
        <v>35985</v>
      </c>
      <c r="P181" s="25" t="s">
        <v>0</v>
      </c>
    </row>
    <row r="182" spans="1:16" x14ac:dyDescent="0.3">
      <c r="A182" s="25" t="s">
        <v>3215</v>
      </c>
      <c r="B182" s="26">
        <v>46093</v>
      </c>
      <c r="C182" s="26">
        <v>46098</v>
      </c>
      <c r="D182" s="25">
        <v>3319</v>
      </c>
      <c r="E182" s="25">
        <v>327</v>
      </c>
      <c r="F182" s="25">
        <v>2</v>
      </c>
      <c r="G182" s="48">
        <v>1</v>
      </c>
      <c r="H182" s="46">
        <v>81433</v>
      </c>
      <c r="I182" s="48" t="s">
        <v>17</v>
      </c>
      <c r="J182" s="46">
        <v>28701586</v>
      </c>
      <c r="K182" s="45" t="s">
        <v>733</v>
      </c>
      <c r="L182" s="45" t="s">
        <v>737</v>
      </c>
      <c r="M182" s="61">
        <v>239900</v>
      </c>
      <c r="N182" s="64">
        <v>0.9</v>
      </c>
      <c r="O182" s="36">
        <f t="shared" si="2"/>
        <v>35985</v>
      </c>
      <c r="P182" s="25" t="s">
        <v>0</v>
      </c>
    </row>
    <row r="183" spans="1:16" x14ac:dyDescent="0.3">
      <c r="A183" s="25" t="s">
        <v>3215</v>
      </c>
      <c r="B183" s="26">
        <v>46093</v>
      </c>
      <c r="C183" s="26">
        <v>46098</v>
      </c>
      <c r="D183" s="25">
        <v>3319</v>
      </c>
      <c r="E183" s="25">
        <v>327</v>
      </c>
      <c r="F183" s="25">
        <v>2</v>
      </c>
      <c r="G183" s="48">
        <v>1</v>
      </c>
      <c r="H183" s="46">
        <v>81433</v>
      </c>
      <c r="I183" s="48" t="s">
        <v>17</v>
      </c>
      <c r="J183" s="46">
        <v>28701595</v>
      </c>
      <c r="K183" s="45" t="s">
        <v>733</v>
      </c>
      <c r="L183" s="45" t="s">
        <v>738</v>
      </c>
      <c r="M183" s="61">
        <v>239900</v>
      </c>
      <c r="N183" s="64">
        <v>0.9</v>
      </c>
      <c r="O183" s="36">
        <f t="shared" si="2"/>
        <v>35985</v>
      </c>
      <c r="P183" s="25" t="s">
        <v>0</v>
      </c>
    </row>
    <row r="184" spans="1:16" x14ac:dyDescent="0.3">
      <c r="A184" s="25" t="s">
        <v>3215</v>
      </c>
      <c r="B184" s="26">
        <v>46093</v>
      </c>
      <c r="C184" s="26">
        <v>46098</v>
      </c>
      <c r="D184" s="25">
        <v>3319</v>
      </c>
      <c r="E184" s="25">
        <v>327</v>
      </c>
      <c r="F184" s="25">
        <v>2</v>
      </c>
      <c r="G184" s="48">
        <v>1</v>
      </c>
      <c r="H184" s="46">
        <v>81433</v>
      </c>
      <c r="I184" s="48" t="s">
        <v>17</v>
      </c>
      <c r="J184" s="46">
        <v>28701602</v>
      </c>
      <c r="K184" s="45" t="s">
        <v>733</v>
      </c>
      <c r="L184" s="45" t="s">
        <v>739</v>
      </c>
      <c r="M184" s="61">
        <v>239900</v>
      </c>
      <c r="N184" s="64">
        <v>0.9</v>
      </c>
      <c r="O184" s="36">
        <f t="shared" si="2"/>
        <v>35985</v>
      </c>
      <c r="P184" s="25" t="s">
        <v>0</v>
      </c>
    </row>
    <row r="185" spans="1:16" x14ac:dyDescent="0.3">
      <c r="A185" s="25" t="s">
        <v>3215</v>
      </c>
      <c r="B185" s="26">
        <v>46093</v>
      </c>
      <c r="C185" s="26">
        <v>46098</v>
      </c>
      <c r="D185" s="25">
        <v>3319</v>
      </c>
      <c r="E185" s="25">
        <v>327</v>
      </c>
      <c r="F185" s="25">
        <v>2</v>
      </c>
      <c r="G185" s="48">
        <v>1</v>
      </c>
      <c r="H185" s="46">
        <v>81433</v>
      </c>
      <c r="I185" s="48" t="s">
        <v>17</v>
      </c>
      <c r="J185" s="46">
        <v>28701611</v>
      </c>
      <c r="K185" s="45" t="s">
        <v>733</v>
      </c>
      <c r="L185" s="45" t="s">
        <v>740</v>
      </c>
      <c r="M185" s="61">
        <v>239900</v>
      </c>
      <c r="N185" s="64">
        <v>0.9</v>
      </c>
      <c r="O185" s="36">
        <f t="shared" si="2"/>
        <v>35985</v>
      </c>
      <c r="P185" s="25" t="s">
        <v>0</v>
      </c>
    </row>
    <row r="186" spans="1:16" x14ac:dyDescent="0.3">
      <c r="A186" s="25" t="s">
        <v>3215</v>
      </c>
      <c r="B186" s="26">
        <v>46093</v>
      </c>
      <c r="C186" s="26">
        <v>46098</v>
      </c>
      <c r="D186" s="25">
        <v>3319</v>
      </c>
      <c r="E186" s="25">
        <v>327</v>
      </c>
      <c r="F186" s="25">
        <v>2</v>
      </c>
      <c r="G186" s="48">
        <v>1</v>
      </c>
      <c r="H186" s="46">
        <v>81433</v>
      </c>
      <c r="I186" s="48" t="s">
        <v>17</v>
      </c>
      <c r="J186" s="46">
        <v>28701620</v>
      </c>
      <c r="K186" s="45" t="s">
        <v>733</v>
      </c>
      <c r="L186" s="45" t="s">
        <v>741</v>
      </c>
      <c r="M186" s="61">
        <v>239900</v>
      </c>
      <c r="N186" s="64">
        <v>0.9</v>
      </c>
      <c r="O186" s="36">
        <f t="shared" si="2"/>
        <v>35985</v>
      </c>
      <c r="P186" s="25" t="s">
        <v>0</v>
      </c>
    </row>
    <row r="187" spans="1:16" x14ac:dyDescent="0.3">
      <c r="A187" s="25" t="s">
        <v>3215</v>
      </c>
      <c r="B187" s="26">
        <v>46093</v>
      </c>
      <c r="C187" s="26">
        <v>46098</v>
      </c>
      <c r="D187" s="25">
        <v>3319</v>
      </c>
      <c r="E187" s="25">
        <v>327</v>
      </c>
      <c r="F187" s="25">
        <v>2</v>
      </c>
      <c r="G187" s="48">
        <v>1</v>
      </c>
      <c r="H187" s="46">
        <v>81433</v>
      </c>
      <c r="I187" s="48" t="s">
        <v>17</v>
      </c>
      <c r="J187" s="46">
        <v>28701639</v>
      </c>
      <c r="K187" s="45" t="s">
        <v>733</v>
      </c>
      <c r="L187" s="45" t="s">
        <v>742</v>
      </c>
      <c r="M187" s="61">
        <v>239900</v>
      </c>
      <c r="N187" s="64">
        <v>0.9</v>
      </c>
      <c r="O187" s="36">
        <f t="shared" si="2"/>
        <v>35985</v>
      </c>
      <c r="P187" s="25" t="s">
        <v>0</v>
      </c>
    </row>
    <row r="188" spans="1:16" x14ac:dyDescent="0.3">
      <c r="A188" s="25" t="s">
        <v>3215</v>
      </c>
      <c r="B188" s="26">
        <v>46093</v>
      </c>
      <c r="C188" s="26">
        <v>46098</v>
      </c>
      <c r="D188" s="25">
        <v>3319</v>
      </c>
      <c r="E188" s="25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28701648</v>
      </c>
      <c r="K188" t="s">
        <v>733</v>
      </c>
      <c r="L188" s="45" t="s">
        <v>743</v>
      </c>
      <c r="M188" s="62">
        <v>239900</v>
      </c>
      <c r="N188" s="64">
        <v>0.9</v>
      </c>
      <c r="O188" s="36">
        <f t="shared" si="2"/>
        <v>35985</v>
      </c>
      <c r="P188" s="25" t="s">
        <v>0</v>
      </c>
    </row>
    <row r="189" spans="1:16" x14ac:dyDescent="0.3">
      <c r="A189" s="25" t="s">
        <v>3215</v>
      </c>
      <c r="B189" s="26">
        <v>46093</v>
      </c>
      <c r="C189" s="26">
        <v>46098</v>
      </c>
      <c r="D189" s="25">
        <v>3319</v>
      </c>
      <c r="E189" s="25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31702195</v>
      </c>
      <c r="K189" t="s">
        <v>744</v>
      </c>
      <c r="L189" s="6" t="s">
        <v>745</v>
      </c>
      <c r="M189" s="62">
        <v>199900</v>
      </c>
      <c r="N189" s="64">
        <v>0.9</v>
      </c>
      <c r="O189" s="36">
        <f t="shared" si="2"/>
        <v>29985</v>
      </c>
      <c r="P189" s="25" t="s">
        <v>0</v>
      </c>
    </row>
    <row r="190" spans="1:16" x14ac:dyDescent="0.3">
      <c r="A190" s="25" t="s">
        <v>3215</v>
      </c>
      <c r="B190" s="26">
        <v>46093</v>
      </c>
      <c r="C190" s="26">
        <v>46098</v>
      </c>
      <c r="D190" s="25">
        <v>3319</v>
      </c>
      <c r="E190" s="25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31702202</v>
      </c>
      <c r="K190" t="s">
        <v>744</v>
      </c>
      <c r="L190" s="6" t="s">
        <v>746</v>
      </c>
      <c r="M190" s="62">
        <v>199900</v>
      </c>
      <c r="N190" s="64">
        <v>0.9</v>
      </c>
      <c r="O190" s="36">
        <f t="shared" si="2"/>
        <v>29985</v>
      </c>
      <c r="P190" s="25" t="s">
        <v>0</v>
      </c>
    </row>
    <row r="191" spans="1:16" x14ac:dyDescent="0.3">
      <c r="A191" s="25" t="s">
        <v>3215</v>
      </c>
      <c r="B191" s="26">
        <v>46093</v>
      </c>
      <c r="C191" s="26">
        <v>46098</v>
      </c>
      <c r="D191" s="25">
        <v>3319</v>
      </c>
      <c r="E191" s="25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31702211</v>
      </c>
      <c r="K191" t="s">
        <v>744</v>
      </c>
      <c r="L191" s="6" t="s">
        <v>747</v>
      </c>
      <c r="M191" s="62">
        <v>199900</v>
      </c>
      <c r="N191" s="64">
        <v>0.9</v>
      </c>
      <c r="O191" s="36">
        <f t="shared" si="2"/>
        <v>29985</v>
      </c>
      <c r="P191" s="25" t="s">
        <v>0</v>
      </c>
    </row>
    <row r="192" spans="1:16" x14ac:dyDescent="0.3">
      <c r="A192" s="25" t="s">
        <v>3215</v>
      </c>
      <c r="B192" s="26">
        <v>46093</v>
      </c>
      <c r="C192" s="26">
        <v>46098</v>
      </c>
      <c r="D192" s="25">
        <v>3319</v>
      </c>
      <c r="E192" s="25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31702220</v>
      </c>
      <c r="K192" t="s">
        <v>744</v>
      </c>
      <c r="L192" s="6" t="s">
        <v>748</v>
      </c>
      <c r="M192" s="62">
        <v>199900</v>
      </c>
      <c r="N192" s="64">
        <v>0.9</v>
      </c>
      <c r="O192" s="36">
        <f t="shared" si="2"/>
        <v>29985</v>
      </c>
      <c r="P192" s="25" t="s">
        <v>0</v>
      </c>
    </row>
    <row r="193" spans="1:16" x14ac:dyDescent="0.3">
      <c r="A193" s="25" t="s">
        <v>3215</v>
      </c>
      <c r="B193" s="26">
        <v>46093</v>
      </c>
      <c r="C193" s="26">
        <v>46098</v>
      </c>
      <c r="D193" s="25">
        <v>3319</v>
      </c>
      <c r="E193" s="25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31702239</v>
      </c>
      <c r="K193" t="s">
        <v>744</v>
      </c>
      <c r="L193" s="6" t="s">
        <v>749</v>
      </c>
      <c r="M193" s="62">
        <v>199900</v>
      </c>
      <c r="N193" s="64">
        <v>0.9</v>
      </c>
      <c r="O193" s="36">
        <f t="shared" si="2"/>
        <v>29985</v>
      </c>
      <c r="P193" s="25" t="s">
        <v>0</v>
      </c>
    </row>
    <row r="194" spans="1:16" x14ac:dyDescent="0.3">
      <c r="A194" s="25" t="s">
        <v>3215</v>
      </c>
      <c r="B194" s="26">
        <v>46093</v>
      </c>
      <c r="C194" s="26">
        <v>46098</v>
      </c>
      <c r="D194" s="25">
        <v>3319</v>
      </c>
      <c r="E194" s="25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31702248</v>
      </c>
      <c r="K194" t="s">
        <v>744</v>
      </c>
      <c r="L194" s="6" t="s">
        <v>750</v>
      </c>
      <c r="M194" s="62">
        <v>199900</v>
      </c>
      <c r="N194" s="64">
        <v>0.9</v>
      </c>
      <c r="O194" s="36">
        <f t="shared" si="2"/>
        <v>29985</v>
      </c>
      <c r="P194" s="25" t="s">
        <v>0</v>
      </c>
    </row>
    <row r="195" spans="1:16" x14ac:dyDescent="0.3">
      <c r="A195" s="25" t="s">
        <v>3215</v>
      </c>
      <c r="B195" s="26">
        <v>46093</v>
      </c>
      <c r="C195" s="26">
        <v>46098</v>
      </c>
      <c r="D195" s="25">
        <v>3319</v>
      </c>
      <c r="E195" s="25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31702257</v>
      </c>
      <c r="K195" t="s">
        <v>744</v>
      </c>
      <c r="L195" s="6" t="s">
        <v>751</v>
      </c>
      <c r="M195" s="62">
        <v>199900</v>
      </c>
      <c r="N195" s="64">
        <v>0.9</v>
      </c>
      <c r="O195" s="36">
        <f t="shared" ref="O195:O258" si="3">M195*15%</f>
        <v>29985</v>
      </c>
      <c r="P195" s="25" t="s">
        <v>0</v>
      </c>
    </row>
    <row r="196" spans="1:16" x14ac:dyDescent="0.3">
      <c r="A196" s="25" t="s">
        <v>3215</v>
      </c>
      <c r="B196" s="26">
        <v>46093</v>
      </c>
      <c r="C196" s="26">
        <v>46098</v>
      </c>
      <c r="D196" s="25">
        <v>3319</v>
      </c>
      <c r="E196" s="25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31702266</v>
      </c>
      <c r="K196" t="s">
        <v>744</v>
      </c>
      <c r="L196" s="6" t="s">
        <v>752</v>
      </c>
      <c r="M196" s="62">
        <v>199900</v>
      </c>
      <c r="N196" s="64">
        <v>0.9</v>
      </c>
      <c r="O196" s="36">
        <f t="shared" si="3"/>
        <v>29985</v>
      </c>
      <c r="P196" s="25" t="s">
        <v>0</v>
      </c>
    </row>
    <row r="197" spans="1:16" x14ac:dyDescent="0.3">
      <c r="A197" s="25" t="s">
        <v>3215</v>
      </c>
      <c r="B197" s="26">
        <v>46093</v>
      </c>
      <c r="C197" s="26">
        <v>46098</v>
      </c>
      <c r="D197" s="25">
        <v>3319</v>
      </c>
      <c r="E197" s="25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31702275</v>
      </c>
      <c r="K197" t="s">
        <v>744</v>
      </c>
      <c r="L197" s="6" t="s">
        <v>753</v>
      </c>
      <c r="M197" s="62">
        <v>199900</v>
      </c>
      <c r="N197" s="64">
        <v>0.9</v>
      </c>
      <c r="O197" s="36">
        <f t="shared" si="3"/>
        <v>29985</v>
      </c>
      <c r="P197" s="25" t="s">
        <v>0</v>
      </c>
    </row>
    <row r="198" spans="1:16" x14ac:dyDescent="0.3">
      <c r="A198" s="25" t="s">
        <v>3215</v>
      </c>
      <c r="B198" s="26">
        <v>46093</v>
      </c>
      <c r="C198" s="26">
        <v>46098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31702284</v>
      </c>
      <c r="K198" t="s">
        <v>744</v>
      </c>
      <c r="L198" s="6" t="s">
        <v>754</v>
      </c>
      <c r="M198" s="62">
        <v>199900</v>
      </c>
      <c r="N198" s="64">
        <v>0.9</v>
      </c>
      <c r="O198" s="36">
        <f t="shared" si="3"/>
        <v>29985</v>
      </c>
      <c r="P198" s="25" t="s">
        <v>0</v>
      </c>
    </row>
    <row r="199" spans="1:16" x14ac:dyDescent="0.3">
      <c r="A199" s="25" t="s">
        <v>3215</v>
      </c>
      <c r="B199" s="26">
        <v>46093</v>
      </c>
      <c r="C199" s="26">
        <v>46098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31810318</v>
      </c>
      <c r="K199" t="s">
        <v>619</v>
      </c>
      <c r="L199" s="6" t="s">
        <v>755</v>
      </c>
      <c r="M199" s="62">
        <v>199900</v>
      </c>
      <c r="N199" s="64">
        <v>0.9</v>
      </c>
      <c r="O199" s="36">
        <f t="shared" si="3"/>
        <v>29985</v>
      </c>
      <c r="P199" s="25" t="s">
        <v>0</v>
      </c>
    </row>
    <row r="200" spans="1:16" x14ac:dyDescent="0.3">
      <c r="A200" s="25" t="s">
        <v>3215</v>
      </c>
      <c r="B200" s="26">
        <v>46093</v>
      </c>
      <c r="C200" s="26">
        <v>46098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31810327</v>
      </c>
      <c r="K200" t="s">
        <v>619</v>
      </c>
      <c r="L200" s="6" t="s">
        <v>756</v>
      </c>
      <c r="M200" s="62">
        <v>199900</v>
      </c>
      <c r="N200" s="64">
        <v>0.9</v>
      </c>
      <c r="O200" s="36">
        <f t="shared" si="3"/>
        <v>29985</v>
      </c>
      <c r="P200" s="25" t="s">
        <v>0</v>
      </c>
    </row>
    <row r="201" spans="1:16" x14ac:dyDescent="0.3">
      <c r="A201" s="25" t="s">
        <v>3215</v>
      </c>
      <c r="B201" s="26">
        <v>46093</v>
      </c>
      <c r="C201" s="26">
        <v>46098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31810336</v>
      </c>
      <c r="K201" t="s">
        <v>619</v>
      </c>
      <c r="L201" s="6" t="s">
        <v>757</v>
      </c>
      <c r="M201" s="62">
        <v>199900</v>
      </c>
      <c r="N201" s="64">
        <v>0.9</v>
      </c>
      <c r="O201" s="36">
        <f t="shared" si="3"/>
        <v>29985</v>
      </c>
      <c r="P201" s="25" t="s">
        <v>0</v>
      </c>
    </row>
    <row r="202" spans="1:16" x14ac:dyDescent="0.3">
      <c r="A202" s="25" t="s">
        <v>3215</v>
      </c>
      <c r="B202" s="26">
        <v>46093</v>
      </c>
      <c r="C202" s="26">
        <v>46098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31810345</v>
      </c>
      <c r="K202" t="s">
        <v>619</v>
      </c>
      <c r="L202" s="6" t="s">
        <v>758</v>
      </c>
      <c r="M202" s="62">
        <v>199900</v>
      </c>
      <c r="N202" s="64">
        <v>0.9</v>
      </c>
      <c r="O202" s="36">
        <f t="shared" si="3"/>
        <v>29985</v>
      </c>
      <c r="P202" s="25" t="s">
        <v>0</v>
      </c>
    </row>
    <row r="203" spans="1:16" x14ac:dyDescent="0.3">
      <c r="A203" s="25" t="s">
        <v>3215</v>
      </c>
      <c r="B203" s="26">
        <v>46093</v>
      </c>
      <c r="C203" s="26">
        <v>46098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31814047</v>
      </c>
      <c r="K203" t="s">
        <v>625</v>
      </c>
      <c r="L203" s="6" t="s">
        <v>759</v>
      </c>
      <c r="M203" s="62">
        <v>199900</v>
      </c>
      <c r="N203" s="64">
        <v>0.9</v>
      </c>
      <c r="O203" s="36">
        <f t="shared" si="3"/>
        <v>29985</v>
      </c>
      <c r="P203" s="25" t="s">
        <v>0</v>
      </c>
    </row>
    <row r="204" spans="1:16" x14ac:dyDescent="0.3">
      <c r="A204" s="25" t="s">
        <v>3215</v>
      </c>
      <c r="B204" s="26">
        <v>46093</v>
      </c>
      <c r="C204" s="26">
        <v>46098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31814056</v>
      </c>
      <c r="K204" t="s">
        <v>625</v>
      </c>
      <c r="L204" s="6" t="s">
        <v>760</v>
      </c>
      <c r="M204" s="62">
        <v>199900</v>
      </c>
      <c r="N204" s="64">
        <v>0.9</v>
      </c>
      <c r="O204" s="36">
        <f t="shared" si="3"/>
        <v>29985</v>
      </c>
      <c r="P204" s="25" t="s">
        <v>0</v>
      </c>
    </row>
    <row r="205" spans="1:16" x14ac:dyDescent="0.3">
      <c r="A205" s="25" t="s">
        <v>3215</v>
      </c>
      <c r="B205" s="26">
        <v>46093</v>
      </c>
      <c r="C205" s="26">
        <v>46098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31814065</v>
      </c>
      <c r="K205" t="s">
        <v>625</v>
      </c>
      <c r="L205" s="6" t="s">
        <v>761</v>
      </c>
      <c r="M205" s="62">
        <v>199900</v>
      </c>
      <c r="N205" s="64">
        <v>0.9</v>
      </c>
      <c r="O205" s="36">
        <f t="shared" si="3"/>
        <v>29985</v>
      </c>
      <c r="P205" s="25" t="s">
        <v>0</v>
      </c>
    </row>
    <row r="206" spans="1:16" x14ac:dyDescent="0.3">
      <c r="A206" s="25" t="s">
        <v>3215</v>
      </c>
      <c r="B206" s="26">
        <v>46093</v>
      </c>
      <c r="C206" s="26">
        <v>46098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31814074</v>
      </c>
      <c r="K206" t="s">
        <v>625</v>
      </c>
      <c r="L206" s="6" t="s">
        <v>762</v>
      </c>
      <c r="M206" s="62">
        <v>199900</v>
      </c>
      <c r="N206" s="64">
        <v>0.9</v>
      </c>
      <c r="O206" s="36">
        <f t="shared" si="3"/>
        <v>29985</v>
      </c>
      <c r="P206" s="25" t="s">
        <v>0</v>
      </c>
    </row>
    <row r="207" spans="1:16" x14ac:dyDescent="0.3">
      <c r="A207" s="25" t="s">
        <v>3215</v>
      </c>
      <c r="B207" s="26">
        <v>46093</v>
      </c>
      <c r="C207" s="26">
        <v>46098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31814083</v>
      </c>
      <c r="K207" t="s">
        <v>625</v>
      </c>
      <c r="L207" s="6" t="s">
        <v>763</v>
      </c>
      <c r="M207" s="62">
        <v>199900</v>
      </c>
      <c r="N207" s="64">
        <v>0.9</v>
      </c>
      <c r="O207" s="36">
        <f t="shared" si="3"/>
        <v>29985</v>
      </c>
      <c r="P207" s="25" t="s">
        <v>0</v>
      </c>
    </row>
    <row r="208" spans="1:16" x14ac:dyDescent="0.3">
      <c r="A208" s="25" t="s">
        <v>3215</v>
      </c>
      <c r="B208" s="26">
        <v>46093</v>
      </c>
      <c r="C208" s="26">
        <v>46098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32067068</v>
      </c>
      <c r="K208" t="s">
        <v>764</v>
      </c>
      <c r="L208" s="6" t="s">
        <v>765</v>
      </c>
      <c r="M208" s="62">
        <v>239900</v>
      </c>
      <c r="N208" s="64">
        <v>0.9</v>
      </c>
      <c r="O208" s="36">
        <f t="shared" si="3"/>
        <v>35985</v>
      </c>
      <c r="P208" s="25" t="s">
        <v>0</v>
      </c>
    </row>
    <row r="209" spans="1:16" x14ac:dyDescent="0.3">
      <c r="A209" s="25" t="s">
        <v>3215</v>
      </c>
      <c r="B209" s="26">
        <v>46093</v>
      </c>
      <c r="C209" s="26">
        <v>46098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32067077</v>
      </c>
      <c r="K209" t="s">
        <v>764</v>
      </c>
      <c r="L209" s="6" t="s">
        <v>766</v>
      </c>
      <c r="M209" s="62">
        <v>239900</v>
      </c>
      <c r="N209" s="64">
        <v>0.9</v>
      </c>
      <c r="O209" s="36">
        <f t="shared" si="3"/>
        <v>35985</v>
      </c>
      <c r="P209" s="25" t="s">
        <v>0</v>
      </c>
    </row>
    <row r="210" spans="1:16" x14ac:dyDescent="0.3">
      <c r="A210" s="25" t="s">
        <v>3215</v>
      </c>
      <c r="B210" s="26">
        <v>46093</v>
      </c>
      <c r="C210" s="26">
        <v>46098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32067086</v>
      </c>
      <c r="K210" t="s">
        <v>764</v>
      </c>
      <c r="L210" s="6" t="s">
        <v>767</v>
      </c>
      <c r="M210" s="62">
        <v>239900</v>
      </c>
      <c r="N210" s="64">
        <v>0.9</v>
      </c>
      <c r="O210" s="36">
        <f t="shared" si="3"/>
        <v>35985</v>
      </c>
      <c r="P210" s="25" t="s">
        <v>0</v>
      </c>
    </row>
    <row r="211" spans="1:16" x14ac:dyDescent="0.3">
      <c r="A211" s="25" t="s">
        <v>3215</v>
      </c>
      <c r="B211" s="26">
        <v>46093</v>
      </c>
      <c r="C211" s="26">
        <v>46098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32067095</v>
      </c>
      <c r="K211" t="s">
        <v>764</v>
      </c>
      <c r="L211" s="6" t="s">
        <v>768</v>
      </c>
      <c r="M211" s="62">
        <v>239900</v>
      </c>
      <c r="N211" s="64">
        <v>0.9</v>
      </c>
      <c r="O211" s="36">
        <f t="shared" si="3"/>
        <v>35985</v>
      </c>
      <c r="P211" s="25" t="s">
        <v>0</v>
      </c>
    </row>
    <row r="212" spans="1:16" x14ac:dyDescent="0.3">
      <c r="A212" s="25" t="s">
        <v>3215</v>
      </c>
      <c r="B212" s="26">
        <v>46093</v>
      </c>
      <c r="C212" s="26">
        <v>46098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32067102</v>
      </c>
      <c r="K212" t="s">
        <v>764</v>
      </c>
      <c r="L212" s="6" t="s">
        <v>769</v>
      </c>
      <c r="M212" s="62">
        <v>239900</v>
      </c>
      <c r="N212" s="64">
        <v>0.9</v>
      </c>
      <c r="O212" s="36">
        <f t="shared" si="3"/>
        <v>35985</v>
      </c>
      <c r="P212" s="25" t="s">
        <v>0</v>
      </c>
    </row>
    <row r="213" spans="1:16" x14ac:dyDescent="0.3">
      <c r="A213" s="25" t="s">
        <v>3215</v>
      </c>
      <c r="B213" s="26">
        <v>46093</v>
      </c>
      <c r="C213" s="26">
        <v>46098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32067111</v>
      </c>
      <c r="K213" t="s">
        <v>764</v>
      </c>
      <c r="L213" s="6" t="s">
        <v>770</v>
      </c>
      <c r="M213" s="62">
        <v>239900</v>
      </c>
      <c r="N213" s="64">
        <v>0.9</v>
      </c>
      <c r="O213" s="36">
        <f t="shared" si="3"/>
        <v>35985</v>
      </c>
      <c r="P213" s="25" t="s">
        <v>0</v>
      </c>
    </row>
    <row r="214" spans="1:16" x14ac:dyDescent="0.3">
      <c r="A214" s="25" t="s">
        <v>3215</v>
      </c>
      <c r="B214" s="26">
        <v>46093</v>
      </c>
      <c r="C214" s="26">
        <v>46098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32067120</v>
      </c>
      <c r="K214" t="s">
        <v>764</v>
      </c>
      <c r="L214" s="6" t="s">
        <v>771</v>
      </c>
      <c r="M214" s="62">
        <v>239900</v>
      </c>
      <c r="N214" s="64">
        <v>0.9</v>
      </c>
      <c r="O214" s="36">
        <f t="shared" si="3"/>
        <v>35985</v>
      </c>
      <c r="P214" s="25" t="s">
        <v>0</v>
      </c>
    </row>
    <row r="215" spans="1:16" x14ac:dyDescent="0.3">
      <c r="A215" s="25" t="s">
        <v>3215</v>
      </c>
      <c r="B215" s="26">
        <v>46093</v>
      </c>
      <c r="C215" s="26">
        <v>46098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32067139</v>
      </c>
      <c r="K215" t="s">
        <v>764</v>
      </c>
      <c r="L215" s="6" t="s">
        <v>772</v>
      </c>
      <c r="M215" s="62">
        <v>239900</v>
      </c>
      <c r="N215" s="64">
        <v>0.9</v>
      </c>
      <c r="O215" s="36">
        <f t="shared" si="3"/>
        <v>35985</v>
      </c>
      <c r="P215" s="25" t="s">
        <v>0</v>
      </c>
    </row>
    <row r="216" spans="1:16" x14ac:dyDescent="0.3">
      <c r="A216" s="25" t="s">
        <v>3215</v>
      </c>
      <c r="B216" s="26">
        <v>46093</v>
      </c>
      <c r="C216" s="26">
        <v>46098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32067148</v>
      </c>
      <c r="K216" t="s">
        <v>764</v>
      </c>
      <c r="L216" s="6" t="s">
        <v>773</v>
      </c>
      <c r="M216" s="62">
        <v>239900</v>
      </c>
      <c r="N216" s="64">
        <v>0.9</v>
      </c>
      <c r="O216" s="36">
        <f t="shared" si="3"/>
        <v>35985</v>
      </c>
      <c r="P216" s="25" t="s">
        <v>0</v>
      </c>
    </row>
    <row r="217" spans="1:16" x14ac:dyDescent="0.3">
      <c r="A217" s="25" t="s">
        <v>3215</v>
      </c>
      <c r="B217" s="26">
        <v>46093</v>
      </c>
      <c r="C217" s="26">
        <v>46098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32067157</v>
      </c>
      <c r="K217" t="s">
        <v>764</v>
      </c>
      <c r="L217" s="6" t="s">
        <v>774</v>
      </c>
      <c r="M217" s="62">
        <v>239900</v>
      </c>
      <c r="N217" s="64">
        <v>0.9</v>
      </c>
      <c r="O217" s="36">
        <f t="shared" si="3"/>
        <v>35985</v>
      </c>
      <c r="P217" s="25" t="s">
        <v>0</v>
      </c>
    </row>
    <row r="218" spans="1:16" x14ac:dyDescent="0.3">
      <c r="A218" s="25" t="s">
        <v>3215</v>
      </c>
      <c r="B218" s="26">
        <v>46093</v>
      </c>
      <c r="C218" s="26">
        <v>46098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33261284</v>
      </c>
      <c r="K218" t="s">
        <v>775</v>
      </c>
      <c r="L218" s="6" t="s">
        <v>776</v>
      </c>
      <c r="M218" s="62">
        <v>239900</v>
      </c>
      <c r="N218" s="64">
        <v>0.9</v>
      </c>
      <c r="O218" s="36">
        <f t="shared" si="3"/>
        <v>35985</v>
      </c>
      <c r="P218" s="25" t="s">
        <v>0</v>
      </c>
    </row>
    <row r="219" spans="1:16" x14ac:dyDescent="0.3">
      <c r="A219" s="25" t="s">
        <v>3215</v>
      </c>
      <c r="B219" s="26">
        <v>46093</v>
      </c>
      <c r="C219" s="26">
        <v>46098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33261293</v>
      </c>
      <c r="K219" t="s">
        <v>775</v>
      </c>
      <c r="L219" s="6" t="s">
        <v>777</v>
      </c>
      <c r="M219" s="62">
        <v>239900</v>
      </c>
      <c r="N219" s="64">
        <v>0.9</v>
      </c>
      <c r="O219" s="36">
        <f t="shared" si="3"/>
        <v>35985</v>
      </c>
      <c r="P219" s="25" t="s">
        <v>0</v>
      </c>
    </row>
    <row r="220" spans="1:16" x14ac:dyDescent="0.3">
      <c r="A220" s="25" t="s">
        <v>3215</v>
      </c>
      <c r="B220" s="26">
        <v>46093</v>
      </c>
      <c r="C220" s="26">
        <v>46098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33261300</v>
      </c>
      <c r="K220" t="s">
        <v>775</v>
      </c>
      <c r="L220" s="6" t="s">
        <v>778</v>
      </c>
      <c r="M220" s="62">
        <v>239900</v>
      </c>
      <c r="N220" s="64">
        <v>0.9</v>
      </c>
      <c r="O220" s="36">
        <f t="shared" si="3"/>
        <v>35985</v>
      </c>
      <c r="P220" s="25" t="s">
        <v>0</v>
      </c>
    </row>
    <row r="221" spans="1:16" x14ac:dyDescent="0.3">
      <c r="A221" s="25" t="s">
        <v>3215</v>
      </c>
      <c r="B221" s="26">
        <v>46093</v>
      </c>
      <c r="C221" s="26">
        <v>46098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33261319</v>
      </c>
      <c r="K221" t="s">
        <v>775</v>
      </c>
      <c r="L221" s="6" t="s">
        <v>779</v>
      </c>
      <c r="M221" s="62">
        <v>239900</v>
      </c>
      <c r="N221" s="64">
        <v>0.9</v>
      </c>
      <c r="O221" s="36">
        <f t="shared" si="3"/>
        <v>35985</v>
      </c>
      <c r="P221" s="25" t="s">
        <v>0</v>
      </c>
    </row>
    <row r="222" spans="1:16" x14ac:dyDescent="0.3">
      <c r="A222" s="25" t="s">
        <v>3215</v>
      </c>
      <c r="B222" s="26">
        <v>46093</v>
      </c>
      <c r="C222" s="26">
        <v>46098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33261328</v>
      </c>
      <c r="K222" t="s">
        <v>775</v>
      </c>
      <c r="L222" s="6" t="s">
        <v>780</v>
      </c>
      <c r="M222" s="62">
        <v>239900</v>
      </c>
      <c r="N222" s="64">
        <v>0.9</v>
      </c>
      <c r="O222" s="36">
        <f t="shared" si="3"/>
        <v>35985</v>
      </c>
      <c r="P222" s="25" t="s">
        <v>0</v>
      </c>
    </row>
    <row r="223" spans="1:16" x14ac:dyDescent="0.3">
      <c r="A223" s="25" t="s">
        <v>3215</v>
      </c>
      <c r="B223" s="26">
        <v>46093</v>
      </c>
      <c r="C223" s="26">
        <v>46098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33261346</v>
      </c>
      <c r="K223" t="s">
        <v>781</v>
      </c>
      <c r="L223" s="6" t="s">
        <v>782</v>
      </c>
      <c r="M223" s="62">
        <v>199900</v>
      </c>
      <c r="N223" s="64">
        <v>0.9</v>
      </c>
      <c r="O223" s="36">
        <f t="shared" si="3"/>
        <v>29985</v>
      </c>
      <c r="P223" s="25" t="s">
        <v>0</v>
      </c>
    </row>
    <row r="224" spans="1:16" x14ac:dyDescent="0.3">
      <c r="A224" s="25" t="s">
        <v>3215</v>
      </c>
      <c r="B224" s="26">
        <v>46093</v>
      </c>
      <c r="C224" s="26">
        <v>46098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33261355</v>
      </c>
      <c r="K224" t="s">
        <v>781</v>
      </c>
      <c r="L224" s="6" t="s">
        <v>783</v>
      </c>
      <c r="M224" s="62">
        <v>199900</v>
      </c>
      <c r="N224" s="64">
        <v>0.9</v>
      </c>
      <c r="O224" s="36">
        <f t="shared" si="3"/>
        <v>29985</v>
      </c>
      <c r="P224" s="25" t="s">
        <v>0</v>
      </c>
    </row>
    <row r="225" spans="1:16" x14ac:dyDescent="0.3">
      <c r="A225" s="25" t="s">
        <v>3215</v>
      </c>
      <c r="B225" s="26">
        <v>46093</v>
      </c>
      <c r="C225" s="26">
        <v>46098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33261364</v>
      </c>
      <c r="K225" t="s">
        <v>781</v>
      </c>
      <c r="L225" s="6" t="s">
        <v>784</v>
      </c>
      <c r="M225" s="62">
        <v>199900</v>
      </c>
      <c r="N225" s="64">
        <v>0.9</v>
      </c>
      <c r="O225" s="36">
        <f t="shared" si="3"/>
        <v>29985</v>
      </c>
      <c r="P225" s="25" t="s">
        <v>0</v>
      </c>
    </row>
    <row r="226" spans="1:16" x14ac:dyDescent="0.3">
      <c r="A226" s="25" t="s">
        <v>3215</v>
      </c>
      <c r="B226" s="26">
        <v>46093</v>
      </c>
      <c r="C226" s="26">
        <v>46098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33261373</v>
      </c>
      <c r="K226" t="s">
        <v>781</v>
      </c>
      <c r="L226" s="6" t="s">
        <v>785</v>
      </c>
      <c r="M226" s="62">
        <v>199900</v>
      </c>
      <c r="N226" s="64">
        <v>0.9</v>
      </c>
      <c r="O226" s="36">
        <f t="shared" si="3"/>
        <v>29985</v>
      </c>
      <c r="P226" s="25" t="s">
        <v>0</v>
      </c>
    </row>
    <row r="227" spans="1:16" x14ac:dyDescent="0.3">
      <c r="A227" s="25" t="s">
        <v>3215</v>
      </c>
      <c r="B227" s="26">
        <v>46093</v>
      </c>
      <c r="C227" s="26">
        <v>46098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33261382</v>
      </c>
      <c r="K227" t="s">
        <v>781</v>
      </c>
      <c r="L227" s="6" t="s">
        <v>786</v>
      </c>
      <c r="M227" s="62">
        <v>199900</v>
      </c>
      <c r="N227" s="64">
        <v>0.9</v>
      </c>
      <c r="O227" s="36">
        <f t="shared" si="3"/>
        <v>29985</v>
      </c>
      <c r="P227" s="25" t="s">
        <v>0</v>
      </c>
    </row>
    <row r="228" spans="1:16" x14ac:dyDescent="0.3">
      <c r="A228" s="25" t="s">
        <v>3215</v>
      </c>
      <c r="B228" s="26">
        <v>46093</v>
      </c>
      <c r="C228" s="26">
        <v>46098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33261391</v>
      </c>
      <c r="K228" t="s">
        <v>781</v>
      </c>
      <c r="L228" s="6" t="s">
        <v>787</v>
      </c>
      <c r="M228" s="62">
        <v>199900</v>
      </c>
      <c r="N228" s="64">
        <v>0.9</v>
      </c>
      <c r="O228" s="36">
        <f t="shared" si="3"/>
        <v>29985</v>
      </c>
      <c r="P228" s="25" t="s">
        <v>0</v>
      </c>
    </row>
    <row r="229" spans="1:16" x14ac:dyDescent="0.3">
      <c r="A229" s="25" t="s">
        <v>3215</v>
      </c>
      <c r="B229" s="26">
        <v>46093</v>
      </c>
      <c r="C229" s="26">
        <v>46098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33261408</v>
      </c>
      <c r="K229" t="s">
        <v>781</v>
      </c>
      <c r="L229" s="6" t="s">
        <v>788</v>
      </c>
      <c r="M229" s="62">
        <v>199900</v>
      </c>
      <c r="N229" s="64">
        <v>0.9</v>
      </c>
      <c r="O229" s="36">
        <f t="shared" si="3"/>
        <v>29985</v>
      </c>
      <c r="P229" s="25" t="s">
        <v>0</v>
      </c>
    </row>
    <row r="230" spans="1:16" x14ac:dyDescent="0.3">
      <c r="A230" s="25" t="s">
        <v>3215</v>
      </c>
      <c r="B230" s="26">
        <v>46093</v>
      </c>
      <c r="C230" s="26">
        <v>46098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33261417</v>
      </c>
      <c r="K230" t="s">
        <v>781</v>
      </c>
      <c r="L230" s="6" t="s">
        <v>789</v>
      </c>
      <c r="M230" s="62">
        <v>199900</v>
      </c>
      <c r="N230" s="64">
        <v>0.9</v>
      </c>
      <c r="O230" s="36">
        <f t="shared" si="3"/>
        <v>29985</v>
      </c>
      <c r="P230" s="25" t="s">
        <v>0</v>
      </c>
    </row>
    <row r="231" spans="1:16" x14ac:dyDescent="0.3">
      <c r="A231" s="25" t="s">
        <v>3215</v>
      </c>
      <c r="B231" s="26">
        <v>46093</v>
      </c>
      <c r="C231" s="26">
        <v>46098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33261426</v>
      </c>
      <c r="K231" t="s">
        <v>781</v>
      </c>
      <c r="L231" s="6" t="s">
        <v>790</v>
      </c>
      <c r="M231" s="62">
        <v>199900</v>
      </c>
      <c r="N231" s="64">
        <v>0.9</v>
      </c>
      <c r="O231" s="36">
        <f t="shared" si="3"/>
        <v>29985</v>
      </c>
      <c r="P231" s="25" t="s">
        <v>0</v>
      </c>
    </row>
    <row r="232" spans="1:16" x14ac:dyDescent="0.3">
      <c r="A232" s="25" t="s">
        <v>3215</v>
      </c>
      <c r="B232" s="26">
        <v>46093</v>
      </c>
      <c r="C232" s="26">
        <v>46098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33261435</v>
      </c>
      <c r="K232" t="s">
        <v>781</v>
      </c>
      <c r="L232" s="6" t="s">
        <v>791</v>
      </c>
      <c r="M232" s="62">
        <v>199900</v>
      </c>
      <c r="N232" s="64">
        <v>0.9</v>
      </c>
      <c r="O232" s="36">
        <f t="shared" si="3"/>
        <v>29985</v>
      </c>
      <c r="P232" s="25" t="s">
        <v>0</v>
      </c>
    </row>
    <row r="233" spans="1:16" x14ac:dyDescent="0.3">
      <c r="A233" s="25" t="s">
        <v>3215</v>
      </c>
      <c r="B233" s="26">
        <v>46093</v>
      </c>
      <c r="C233" s="26">
        <v>46098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33442918</v>
      </c>
      <c r="K233" t="s">
        <v>792</v>
      </c>
      <c r="L233" s="6" t="s">
        <v>793</v>
      </c>
      <c r="M233" s="62">
        <v>199900</v>
      </c>
      <c r="N233" s="64">
        <v>0.9</v>
      </c>
      <c r="O233" s="36">
        <f t="shared" si="3"/>
        <v>29985</v>
      </c>
      <c r="P233" s="25" t="s">
        <v>0</v>
      </c>
    </row>
    <row r="234" spans="1:16" x14ac:dyDescent="0.3">
      <c r="A234" s="25" t="s">
        <v>3215</v>
      </c>
      <c r="B234" s="26">
        <v>46093</v>
      </c>
      <c r="C234" s="26">
        <v>46098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33442927</v>
      </c>
      <c r="K234" t="s">
        <v>792</v>
      </c>
      <c r="L234" s="6" t="s">
        <v>794</v>
      </c>
      <c r="M234" s="62">
        <v>199900</v>
      </c>
      <c r="N234" s="64">
        <v>0.9</v>
      </c>
      <c r="O234" s="36">
        <f t="shared" si="3"/>
        <v>29985</v>
      </c>
      <c r="P234" s="25" t="s">
        <v>0</v>
      </c>
    </row>
    <row r="235" spans="1:16" x14ac:dyDescent="0.3">
      <c r="A235" s="25" t="s">
        <v>3215</v>
      </c>
      <c r="B235" s="26">
        <v>46093</v>
      </c>
      <c r="C235" s="26">
        <v>46098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33442936</v>
      </c>
      <c r="K235" t="s">
        <v>792</v>
      </c>
      <c r="L235" s="6" t="s">
        <v>795</v>
      </c>
      <c r="M235" s="62">
        <v>199900</v>
      </c>
      <c r="N235" s="64">
        <v>0.9</v>
      </c>
      <c r="O235" s="36">
        <f t="shared" si="3"/>
        <v>29985</v>
      </c>
      <c r="P235" s="25" t="s">
        <v>0</v>
      </c>
    </row>
    <row r="236" spans="1:16" x14ac:dyDescent="0.3">
      <c r="A236" s="25" t="s">
        <v>3215</v>
      </c>
      <c r="B236" s="26">
        <v>46093</v>
      </c>
      <c r="C236" s="26">
        <v>46098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33442945</v>
      </c>
      <c r="K236" t="s">
        <v>792</v>
      </c>
      <c r="L236" s="6" t="s">
        <v>796</v>
      </c>
      <c r="M236" s="62">
        <v>199900</v>
      </c>
      <c r="N236" s="64">
        <v>0.9</v>
      </c>
      <c r="O236" s="36">
        <f t="shared" si="3"/>
        <v>29985</v>
      </c>
      <c r="P236" s="25" t="s">
        <v>0</v>
      </c>
    </row>
    <row r="237" spans="1:16" x14ac:dyDescent="0.3">
      <c r="A237" s="25" t="s">
        <v>3215</v>
      </c>
      <c r="B237" s="26">
        <v>46093</v>
      </c>
      <c r="C237" s="26">
        <v>46098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33442954</v>
      </c>
      <c r="K237" t="s">
        <v>792</v>
      </c>
      <c r="L237" s="6" t="s">
        <v>797</v>
      </c>
      <c r="M237" s="62">
        <v>199900</v>
      </c>
      <c r="N237" s="64">
        <v>0.9</v>
      </c>
      <c r="O237" s="36">
        <f t="shared" si="3"/>
        <v>29985</v>
      </c>
      <c r="P237" s="25" t="s">
        <v>0</v>
      </c>
    </row>
    <row r="238" spans="1:16" x14ac:dyDescent="0.3">
      <c r="A238" s="25" t="s">
        <v>3215</v>
      </c>
      <c r="B238" s="26">
        <v>46093</v>
      </c>
      <c r="C238" s="26">
        <v>46098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33446254</v>
      </c>
      <c r="K238" t="s">
        <v>775</v>
      </c>
      <c r="L238" s="6" t="s">
        <v>798</v>
      </c>
      <c r="M238" s="62">
        <v>239900</v>
      </c>
      <c r="N238" s="64">
        <v>0.9</v>
      </c>
      <c r="O238" s="36">
        <f t="shared" si="3"/>
        <v>35985</v>
      </c>
      <c r="P238" s="25" t="s">
        <v>0</v>
      </c>
    </row>
    <row r="239" spans="1:16" x14ac:dyDescent="0.3">
      <c r="A239" s="25" t="s">
        <v>3215</v>
      </c>
      <c r="B239" s="26">
        <v>46093</v>
      </c>
      <c r="C239" s="26">
        <v>46098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33446263</v>
      </c>
      <c r="K239" t="s">
        <v>775</v>
      </c>
      <c r="L239" s="6" t="s">
        <v>799</v>
      </c>
      <c r="M239" s="62">
        <v>239900</v>
      </c>
      <c r="N239" s="64">
        <v>0.9</v>
      </c>
      <c r="O239" s="36">
        <f t="shared" si="3"/>
        <v>35985</v>
      </c>
      <c r="P239" s="25" t="s">
        <v>0</v>
      </c>
    </row>
    <row r="240" spans="1:16" x14ac:dyDescent="0.3">
      <c r="A240" s="25" t="s">
        <v>3215</v>
      </c>
      <c r="B240" s="26">
        <v>46093</v>
      </c>
      <c r="C240" s="26">
        <v>46098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33446272</v>
      </c>
      <c r="K240" t="s">
        <v>775</v>
      </c>
      <c r="L240" s="6" t="s">
        <v>800</v>
      </c>
      <c r="M240" s="62">
        <v>239900</v>
      </c>
      <c r="N240" s="64">
        <v>0.9</v>
      </c>
      <c r="O240" s="36">
        <f t="shared" si="3"/>
        <v>35985</v>
      </c>
      <c r="P240" s="25" t="s">
        <v>0</v>
      </c>
    </row>
    <row r="241" spans="1:16" x14ac:dyDescent="0.3">
      <c r="A241" s="25" t="s">
        <v>3215</v>
      </c>
      <c r="B241" s="26">
        <v>46093</v>
      </c>
      <c r="C241" s="26">
        <v>46098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33446281</v>
      </c>
      <c r="K241" t="s">
        <v>775</v>
      </c>
      <c r="L241" s="6" t="s">
        <v>801</v>
      </c>
      <c r="M241" s="62">
        <v>239900</v>
      </c>
      <c r="N241" s="64">
        <v>0.9</v>
      </c>
      <c r="O241" s="36">
        <f t="shared" si="3"/>
        <v>35985</v>
      </c>
      <c r="P241" s="25" t="s">
        <v>0</v>
      </c>
    </row>
    <row r="242" spans="1:16" x14ac:dyDescent="0.3">
      <c r="A242" s="25" t="s">
        <v>3215</v>
      </c>
      <c r="B242" s="26">
        <v>46093</v>
      </c>
      <c r="C242" s="26">
        <v>46098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33446290</v>
      </c>
      <c r="K242" t="s">
        <v>775</v>
      </c>
      <c r="L242" s="6" t="s">
        <v>802</v>
      </c>
      <c r="M242" s="62">
        <v>239900</v>
      </c>
      <c r="N242" s="64">
        <v>0.9</v>
      </c>
      <c r="O242" s="36">
        <f t="shared" si="3"/>
        <v>35985</v>
      </c>
      <c r="P242" s="25" t="s">
        <v>0</v>
      </c>
    </row>
    <row r="243" spans="1:16" x14ac:dyDescent="0.3">
      <c r="A243" s="25" t="s">
        <v>3215</v>
      </c>
      <c r="B243" s="26">
        <v>46093</v>
      </c>
      <c r="C243" s="26">
        <v>46098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33446307</v>
      </c>
      <c r="K243" t="s">
        <v>775</v>
      </c>
      <c r="L243" s="6" t="s">
        <v>803</v>
      </c>
      <c r="M243" s="62">
        <v>239900</v>
      </c>
      <c r="N243" s="64">
        <v>0.9</v>
      </c>
      <c r="O243" s="36">
        <f t="shared" si="3"/>
        <v>35985</v>
      </c>
      <c r="P243" s="25" t="s">
        <v>0</v>
      </c>
    </row>
    <row r="244" spans="1:16" x14ac:dyDescent="0.3">
      <c r="A244" s="25" t="s">
        <v>3215</v>
      </c>
      <c r="B244" s="26">
        <v>46093</v>
      </c>
      <c r="C244" s="26">
        <v>46098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33446316</v>
      </c>
      <c r="K244" t="s">
        <v>775</v>
      </c>
      <c r="L244" s="6" t="s">
        <v>804</v>
      </c>
      <c r="M244" s="62">
        <v>239900</v>
      </c>
      <c r="N244" s="64">
        <v>0.9</v>
      </c>
      <c r="O244" s="36">
        <f t="shared" si="3"/>
        <v>35985</v>
      </c>
      <c r="P244" s="25" t="s">
        <v>0</v>
      </c>
    </row>
    <row r="245" spans="1:16" x14ac:dyDescent="0.3">
      <c r="A245" s="25" t="s">
        <v>3215</v>
      </c>
      <c r="B245" s="26">
        <v>46093</v>
      </c>
      <c r="C245" s="26">
        <v>46098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33446325</v>
      </c>
      <c r="K245" t="s">
        <v>775</v>
      </c>
      <c r="L245" s="6" t="s">
        <v>805</v>
      </c>
      <c r="M245" s="62">
        <v>239900</v>
      </c>
      <c r="N245" s="64">
        <v>0.9</v>
      </c>
      <c r="O245" s="36">
        <f t="shared" si="3"/>
        <v>35985</v>
      </c>
      <c r="P245" s="25" t="s">
        <v>0</v>
      </c>
    </row>
    <row r="246" spans="1:16" x14ac:dyDescent="0.3">
      <c r="A246" s="25" t="s">
        <v>3215</v>
      </c>
      <c r="B246" s="26">
        <v>46093</v>
      </c>
      <c r="C246" s="26">
        <v>46098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33446334</v>
      </c>
      <c r="K246" t="s">
        <v>775</v>
      </c>
      <c r="L246" s="6" t="s">
        <v>806</v>
      </c>
      <c r="M246" s="62">
        <v>239900</v>
      </c>
      <c r="N246" s="64">
        <v>0.9</v>
      </c>
      <c r="O246" s="36">
        <f t="shared" si="3"/>
        <v>35985</v>
      </c>
      <c r="P246" s="25" t="s">
        <v>0</v>
      </c>
    </row>
    <row r="247" spans="1:16" x14ac:dyDescent="0.3">
      <c r="A247" s="25" t="s">
        <v>3215</v>
      </c>
      <c r="B247" s="26">
        <v>46093</v>
      </c>
      <c r="C247" s="26">
        <v>46098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33446343</v>
      </c>
      <c r="K247" t="s">
        <v>775</v>
      </c>
      <c r="L247" t="s">
        <v>807</v>
      </c>
      <c r="M247" s="39">
        <v>239900</v>
      </c>
      <c r="N247" s="64">
        <v>0.9</v>
      </c>
      <c r="O247" s="36">
        <f t="shared" si="3"/>
        <v>35985</v>
      </c>
      <c r="P247" s="25" t="s">
        <v>0</v>
      </c>
    </row>
    <row r="248" spans="1:16" x14ac:dyDescent="0.3">
      <c r="A248" s="25" t="s">
        <v>3215</v>
      </c>
      <c r="B248" s="26">
        <v>46093</v>
      </c>
      <c r="C248" s="26">
        <v>46098</v>
      </c>
      <c r="D248" s="25">
        <v>3319</v>
      </c>
      <c r="E248" s="25">
        <v>327</v>
      </c>
      <c r="F248" s="25">
        <v>2</v>
      </c>
      <c r="G248" s="28">
        <v>2</v>
      </c>
      <c r="H248" s="28">
        <v>81433</v>
      </c>
      <c r="I248" s="28" t="s">
        <v>17</v>
      </c>
      <c r="J248" s="28">
        <v>33439422</v>
      </c>
      <c r="K248" t="s">
        <v>808</v>
      </c>
      <c r="L248" t="s">
        <v>809</v>
      </c>
      <c r="M248" s="39">
        <v>299900</v>
      </c>
      <c r="N248" s="64">
        <v>0.9</v>
      </c>
      <c r="O248" s="36">
        <f t="shared" si="3"/>
        <v>44985</v>
      </c>
      <c r="P248" s="25" t="s">
        <v>0</v>
      </c>
    </row>
    <row r="249" spans="1:16" x14ac:dyDescent="0.3">
      <c r="A249" s="25" t="s">
        <v>3215</v>
      </c>
      <c r="B249" s="26">
        <v>46093</v>
      </c>
      <c r="C249" s="26">
        <v>46098</v>
      </c>
      <c r="D249" s="25">
        <v>3319</v>
      </c>
      <c r="E249" s="25">
        <v>327</v>
      </c>
      <c r="F249" s="25">
        <v>2</v>
      </c>
      <c r="G249" s="28">
        <v>2</v>
      </c>
      <c r="H249" s="28">
        <v>81433</v>
      </c>
      <c r="I249" s="28" t="s">
        <v>17</v>
      </c>
      <c r="J249" s="28">
        <v>33439431</v>
      </c>
      <c r="K249" t="s">
        <v>808</v>
      </c>
      <c r="L249" t="s">
        <v>810</v>
      </c>
      <c r="M249" s="39">
        <v>299900</v>
      </c>
      <c r="N249" s="64">
        <v>0.9</v>
      </c>
      <c r="O249" s="36">
        <f t="shared" si="3"/>
        <v>44985</v>
      </c>
      <c r="P249" s="25" t="s">
        <v>0</v>
      </c>
    </row>
    <row r="250" spans="1:16" x14ac:dyDescent="0.3">
      <c r="A250" s="25" t="s">
        <v>3215</v>
      </c>
      <c r="B250" s="26">
        <v>46093</v>
      </c>
      <c r="C250" s="26">
        <v>46098</v>
      </c>
      <c r="D250" s="25">
        <v>3319</v>
      </c>
      <c r="E250" s="25">
        <v>327</v>
      </c>
      <c r="F250" s="25">
        <v>2</v>
      </c>
      <c r="G250" s="28">
        <v>2</v>
      </c>
      <c r="H250" s="28">
        <v>81433</v>
      </c>
      <c r="I250" s="28" t="s">
        <v>17</v>
      </c>
      <c r="J250" s="28">
        <v>33439440</v>
      </c>
      <c r="K250" t="s">
        <v>808</v>
      </c>
      <c r="L250" t="s">
        <v>811</v>
      </c>
      <c r="M250" s="39">
        <v>299900</v>
      </c>
      <c r="N250" s="64">
        <v>0.9</v>
      </c>
      <c r="O250" s="36">
        <f t="shared" si="3"/>
        <v>44985</v>
      </c>
      <c r="P250" s="25" t="s">
        <v>0</v>
      </c>
    </row>
    <row r="251" spans="1:16" x14ac:dyDescent="0.3">
      <c r="A251" s="25" t="s">
        <v>3215</v>
      </c>
      <c r="B251" s="26">
        <v>46093</v>
      </c>
      <c r="C251" s="26">
        <v>46098</v>
      </c>
      <c r="D251" s="25">
        <v>3319</v>
      </c>
      <c r="E251" s="25">
        <v>327</v>
      </c>
      <c r="F251" s="25">
        <v>2</v>
      </c>
      <c r="G251" s="28">
        <v>2</v>
      </c>
      <c r="H251" s="28">
        <v>81433</v>
      </c>
      <c r="I251" s="28" t="s">
        <v>17</v>
      </c>
      <c r="J251" s="28">
        <v>33439459</v>
      </c>
      <c r="K251" t="s">
        <v>808</v>
      </c>
      <c r="L251" t="s">
        <v>812</v>
      </c>
      <c r="M251" s="39">
        <v>299900</v>
      </c>
      <c r="N251" s="64">
        <v>0.9</v>
      </c>
      <c r="O251" s="36">
        <f t="shared" si="3"/>
        <v>44985</v>
      </c>
      <c r="P251" s="25" t="s">
        <v>0</v>
      </c>
    </row>
    <row r="252" spans="1:16" x14ac:dyDescent="0.3">
      <c r="A252" s="25" t="s">
        <v>3215</v>
      </c>
      <c r="B252" s="26">
        <v>46093</v>
      </c>
      <c r="C252" s="26">
        <v>46098</v>
      </c>
      <c r="D252" s="25">
        <v>3319</v>
      </c>
      <c r="E252" s="25">
        <v>327</v>
      </c>
      <c r="F252" s="25">
        <v>2</v>
      </c>
      <c r="G252" s="28">
        <v>2</v>
      </c>
      <c r="H252" s="28">
        <v>81433</v>
      </c>
      <c r="I252" s="28" t="s">
        <v>17</v>
      </c>
      <c r="J252" s="28">
        <v>33439468</v>
      </c>
      <c r="K252" t="s">
        <v>808</v>
      </c>
      <c r="L252" t="s">
        <v>813</v>
      </c>
      <c r="M252" s="39">
        <v>299900</v>
      </c>
      <c r="N252" s="64">
        <v>0.9</v>
      </c>
      <c r="O252" s="36">
        <f t="shared" si="3"/>
        <v>44985</v>
      </c>
      <c r="P252" s="25" t="s">
        <v>0</v>
      </c>
    </row>
    <row r="253" spans="1:16" x14ac:dyDescent="0.3">
      <c r="A253" s="25" t="s">
        <v>3215</v>
      </c>
      <c r="B253" s="26">
        <v>46093</v>
      </c>
      <c r="C253" s="26">
        <v>46098</v>
      </c>
      <c r="D253" s="25">
        <v>3319</v>
      </c>
      <c r="E253" s="25">
        <v>327</v>
      </c>
      <c r="F253" s="25">
        <v>2</v>
      </c>
      <c r="G253" s="28">
        <v>2</v>
      </c>
      <c r="H253" s="28">
        <v>81433</v>
      </c>
      <c r="I253" s="28" t="s">
        <v>17</v>
      </c>
      <c r="J253" s="28">
        <v>38095884</v>
      </c>
      <c r="K253" t="s">
        <v>808</v>
      </c>
      <c r="L253" t="s">
        <v>814</v>
      </c>
      <c r="M253" s="39">
        <v>299900</v>
      </c>
      <c r="N253" s="64">
        <v>0.9</v>
      </c>
      <c r="O253" s="36">
        <f t="shared" si="3"/>
        <v>44985</v>
      </c>
      <c r="P253" s="25" t="s">
        <v>0</v>
      </c>
    </row>
    <row r="254" spans="1:16" x14ac:dyDescent="0.3">
      <c r="A254" s="25" t="s">
        <v>3215</v>
      </c>
      <c r="B254" s="26">
        <v>46093</v>
      </c>
      <c r="C254" s="26">
        <v>46098</v>
      </c>
      <c r="D254" s="25">
        <v>3319</v>
      </c>
      <c r="E254" s="25">
        <v>327</v>
      </c>
      <c r="F254" s="25">
        <v>2</v>
      </c>
      <c r="G254" s="28">
        <v>2</v>
      </c>
      <c r="H254" s="28">
        <v>81433</v>
      </c>
      <c r="I254" s="28" t="s">
        <v>17</v>
      </c>
      <c r="J254" s="28">
        <v>38095893</v>
      </c>
      <c r="K254" t="s">
        <v>808</v>
      </c>
      <c r="L254" t="s">
        <v>815</v>
      </c>
      <c r="M254" s="39">
        <v>299900</v>
      </c>
      <c r="N254" s="64">
        <v>0.9</v>
      </c>
      <c r="O254" s="36">
        <f t="shared" si="3"/>
        <v>44985</v>
      </c>
      <c r="P254" s="25" t="s">
        <v>0</v>
      </c>
    </row>
    <row r="255" spans="1:16" x14ac:dyDescent="0.3">
      <c r="A255" s="25" t="s">
        <v>3215</v>
      </c>
      <c r="B255" s="26">
        <v>46093</v>
      </c>
      <c r="C255" s="26">
        <v>46098</v>
      </c>
      <c r="D255" s="25">
        <v>3319</v>
      </c>
      <c r="E255" s="25">
        <v>327</v>
      </c>
      <c r="F255" s="25">
        <v>2</v>
      </c>
      <c r="G255" s="28">
        <v>2</v>
      </c>
      <c r="H255" s="28">
        <v>81433</v>
      </c>
      <c r="I255" s="28" t="s">
        <v>17</v>
      </c>
      <c r="J255" s="28">
        <v>38095900</v>
      </c>
      <c r="K255" t="s">
        <v>808</v>
      </c>
      <c r="L255" t="s">
        <v>816</v>
      </c>
      <c r="M255" s="39">
        <v>299900</v>
      </c>
      <c r="N255" s="64">
        <v>0.9</v>
      </c>
      <c r="O255" s="36">
        <f t="shared" si="3"/>
        <v>44985</v>
      </c>
      <c r="P255" s="25" t="s">
        <v>0</v>
      </c>
    </row>
    <row r="256" spans="1:16" x14ac:dyDescent="0.3">
      <c r="A256" s="25" t="s">
        <v>3215</v>
      </c>
      <c r="B256" s="26">
        <v>46093</v>
      </c>
      <c r="C256" s="26">
        <v>46098</v>
      </c>
      <c r="D256" s="25">
        <v>3319</v>
      </c>
      <c r="E256" s="25">
        <v>327</v>
      </c>
      <c r="F256" s="25">
        <v>2</v>
      </c>
      <c r="G256" s="28">
        <v>2</v>
      </c>
      <c r="H256" s="28">
        <v>81433</v>
      </c>
      <c r="I256" s="28" t="s">
        <v>17</v>
      </c>
      <c r="J256" s="28">
        <v>38095919</v>
      </c>
      <c r="K256" t="s">
        <v>808</v>
      </c>
      <c r="L256" t="s">
        <v>817</v>
      </c>
      <c r="M256" s="39">
        <v>299900</v>
      </c>
      <c r="N256" s="64">
        <v>0.9</v>
      </c>
      <c r="O256" s="36">
        <f t="shared" si="3"/>
        <v>44985</v>
      </c>
      <c r="P256" s="25" t="s">
        <v>0</v>
      </c>
    </row>
    <row r="257" spans="1:16" x14ac:dyDescent="0.3">
      <c r="A257" s="25" t="s">
        <v>3215</v>
      </c>
      <c r="B257" s="26">
        <v>46093</v>
      </c>
      <c r="C257" s="26">
        <v>46098</v>
      </c>
      <c r="D257" s="25">
        <v>3319</v>
      </c>
      <c r="E257" s="25">
        <v>327</v>
      </c>
      <c r="F257" s="25">
        <v>2</v>
      </c>
      <c r="G257" s="28">
        <v>2</v>
      </c>
      <c r="H257" s="28">
        <v>81433</v>
      </c>
      <c r="I257" s="28" t="s">
        <v>17</v>
      </c>
      <c r="J257" s="28">
        <v>38095928</v>
      </c>
      <c r="K257" t="s">
        <v>808</v>
      </c>
      <c r="L257" t="s">
        <v>818</v>
      </c>
      <c r="M257" s="39">
        <v>299900</v>
      </c>
      <c r="N257" s="64">
        <v>0.9</v>
      </c>
      <c r="O257" s="36">
        <f t="shared" si="3"/>
        <v>44985</v>
      </c>
      <c r="P257" s="25" t="s">
        <v>0</v>
      </c>
    </row>
    <row r="258" spans="1:16" x14ac:dyDescent="0.3">
      <c r="A258" s="25" t="s">
        <v>3215</v>
      </c>
      <c r="B258" s="26">
        <v>46093</v>
      </c>
      <c r="C258" s="26">
        <v>46098</v>
      </c>
      <c r="D258" s="25">
        <v>3319</v>
      </c>
      <c r="E258" s="25">
        <v>327</v>
      </c>
      <c r="F258" s="25">
        <v>2</v>
      </c>
      <c r="G258" s="28">
        <v>2</v>
      </c>
      <c r="H258" s="28">
        <v>70056</v>
      </c>
      <c r="I258" s="28" t="s">
        <v>17</v>
      </c>
      <c r="J258" s="28">
        <v>33438361</v>
      </c>
      <c r="K258" t="s">
        <v>819</v>
      </c>
      <c r="L258" t="s">
        <v>820</v>
      </c>
      <c r="M258" s="39">
        <v>379900</v>
      </c>
      <c r="N258" s="64">
        <v>0.9</v>
      </c>
      <c r="O258" s="36">
        <f t="shared" si="3"/>
        <v>56985</v>
      </c>
      <c r="P258" s="25" t="s">
        <v>0</v>
      </c>
    </row>
    <row r="259" spans="1:16" x14ac:dyDescent="0.3">
      <c r="A259" s="25" t="s">
        <v>3215</v>
      </c>
      <c r="B259" s="26">
        <v>46093</v>
      </c>
      <c r="C259" s="26">
        <v>46098</v>
      </c>
      <c r="D259" s="25">
        <v>3319</v>
      </c>
      <c r="E259" s="25">
        <v>327</v>
      </c>
      <c r="F259" s="25">
        <v>2</v>
      </c>
      <c r="G259" s="28">
        <v>2</v>
      </c>
      <c r="H259" s="28">
        <v>70056</v>
      </c>
      <c r="I259" s="28" t="s">
        <v>17</v>
      </c>
      <c r="J259" s="28">
        <v>33438370</v>
      </c>
      <c r="K259" t="s">
        <v>819</v>
      </c>
      <c r="L259" t="s">
        <v>821</v>
      </c>
      <c r="M259" s="39">
        <v>379900</v>
      </c>
      <c r="N259" s="64">
        <v>0.9</v>
      </c>
      <c r="O259" s="36">
        <f t="shared" ref="O259:O287" si="4">M259*15%</f>
        <v>56985</v>
      </c>
      <c r="P259" s="25" t="s">
        <v>0</v>
      </c>
    </row>
    <row r="260" spans="1:16" x14ac:dyDescent="0.3">
      <c r="A260" s="25" t="s">
        <v>3215</v>
      </c>
      <c r="B260" s="26">
        <v>46093</v>
      </c>
      <c r="C260" s="26">
        <v>46098</v>
      </c>
      <c r="D260" s="25">
        <v>3319</v>
      </c>
      <c r="E260" s="25">
        <v>327</v>
      </c>
      <c r="F260" s="25">
        <v>2</v>
      </c>
      <c r="G260" s="28">
        <v>2</v>
      </c>
      <c r="H260" s="28">
        <v>70056</v>
      </c>
      <c r="I260" s="28" t="s">
        <v>17</v>
      </c>
      <c r="J260" s="28">
        <v>33438389</v>
      </c>
      <c r="K260" t="s">
        <v>819</v>
      </c>
      <c r="L260" t="s">
        <v>822</v>
      </c>
      <c r="M260" s="39">
        <v>379900</v>
      </c>
      <c r="N260" s="64">
        <v>0.9</v>
      </c>
      <c r="O260" s="36">
        <f t="shared" si="4"/>
        <v>56985</v>
      </c>
      <c r="P260" s="25" t="s">
        <v>0</v>
      </c>
    </row>
    <row r="261" spans="1:16" x14ac:dyDescent="0.3">
      <c r="A261" s="25" t="s">
        <v>3215</v>
      </c>
      <c r="B261" s="26">
        <v>46093</v>
      </c>
      <c r="C261" s="26">
        <v>46098</v>
      </c>
      <c r="D261" s="25">
        <v>3319</v>
      </c>
      <c r="E261" s="25">
        <v>327</v>
      </c>
      <c r="F261" s="25">
        <v>2</v>
      </c>
      <c r="G261" s="28">
        <v>2</v>
      </c>
      <c r="H261" s="28">
        <v>70056</v>
      </c>
      <c r="I261" s="28" t="s">
        <v>17</v>
      </c>
      <c r="J261" s="28">
        <v>33438398</v>
      </c>
      <c r="K261" t="s">
        <v>819</v>
      </c>
      <c r="L261" t="s">
        <v>823</v>
      </c>
      <c r="M261" s="39">
        <v>379900</v>
      </c>
      <c r="N261" s="64">
        <v>0.9</v>
      </c>
      <c r="O261" s="36">
        <f t="shared" si="4"/>
        <v>56985</v>
      </c>
      <c r="P261" s="25" t="s">
        <v>0</v>
      </c>
    </row>
    <row r="262" spans="1:16" x14ac:dyDescent="0.3">
      <c r="A262" s="25" t="s">
        <v>3215</v>
      </c>
      <c r="B262" s="26">
        <v>46093</v>
      </c>
      <c r="C262" s="26">
        <v>46098</v>
      </c>
      <c r="D262" s="25">
        <v>3319</v>
      </c>
      <c r="E262" s="25">
        <v>327</v>
      </c>
      <c r="F262" s="25">
        <v>2</v>
      </c>
      <c r="G262" s="28">
        <v>2</v>
      </c>
      <c r="H262" s="28">
        <v>70056</v>
      </c>
      <c r="I262" s="28" t="s">
        <v>17</v>
      </c>
      <c r="J262" s="28">
        <v>33438405</v>
      </c>
      <c r="K262" t="s">
        <v>819</v>
      </c>
      <c r="L262" t="s">
        <v>824</v>
      </c>
      <c r="M262" s="39">
        <v>379900</v>
      </c>
      <c r="N262" s="64">
        <v>0.9</v>
      </c>
      <c r="O262" s="36">
        <f t="shared" si="4"/>
        <v>56985</v>
      </c>
      <c r="P262" s="25" t="s">
        <v>0</v>
      </c>
    </row>
    <row r="263" spans="1:16" x14ac:dyDescent="0.3">
      <c r="A263" s="25" t="s">
        <v>3215</v>
      </c>
      <c r="B263" s="26">
        <v>46093</v>
      </c>
      <c r="C263" s="26">
        <v>46098</v>
      </c>
      <c r="D263" s="25">
        <v>3319</v>
      </c>
      <c r="E263" s="25">
        <v>327</v>
      </c>
      <c r="F263" s="25">
        <v>2</v>
      </c>
      <c r="G263" s="28">
        <v>2</v>
      </c>
      <c r="H263" s="28">
        <v>70056</v>
      </c>
      <c r="I263" s="28" t="s">
        <v>17</v>
      </c>
      <c r="J263" s="28">
        <v>33438469</v>
      </c>
      <c r="K263" t="s">
        <v>825</v>
      </c>
      <c r="L263" t="s">
        <v>826</v>
      </c>
      <c r="M263" s="39">
        <v>399900</v>
      </c>
      <c r="N263" s="64">
        <v>0.9</v>
      </c>
      <c r="O263" s="36">
        <f t="shared" si="4"/>
        <v>59985</v>
      </c>
      <c r="P263" s="25" t="s">
        <v>0</v>
      </c>
    </row>
    <row r="264" spans="1:16" x14ac:dyDescent="0.3">
      <c r="A264" s="25" t="s">
        <v>3215</v>
      </c>
      <c r="B264" s="26">
        <v>46093</v>
      </c>
      <c r="C264" s="26">
        <v>46098</v>
      </c>
      <c r="D264" s="25">
        <v>3319</v>
      </c>
      <c r="E264" s="25">
        <v>327</v>
      </c>
      <c r="F264" s="25">
        <v>2</v>
      </c>
      <c r="G264" s="28">
        <v>2</v>
      </c>
      <c r="H264" s="28">
        <v>70056</v>
      </c>
      <c r="I264" s="28" t="s">
        <v>17</v>
      </c>
      <c r="J264" s="28">
        <v>33438478</v>
      </c>
      <c r="K264" t="s">
        <v>825</v>
      </c>
      <c r="L264" t="s">
        <v>827</v>
      </c>
      <c r="M264" s="39">
        <v>399900</v>
      </c>
      <c r="N264" s="64">
        <v>0.9</v>
      </c>
      <c r="O264" s="36">
        <f t="shared" si="4"/>
        <v>59985</v>
      </c>
      <c r="P264" s="25" t="s">
        <v>0</v>
      </c>
    </row>
    <row r="265" spans="1:16" x14ac:dyDescent="0.3">
      <c r="A265" s="25" t="s">
        <v>3215</v>
      </c>
      <c r="B265" s="26">
        <v>46093</v>
      </c>
      <c r="C265" s="26">
        <v>46098</v>
      </c>
      <c r="D265" s="25">
        <v>3319</v>
      </c>
      <c r="E265" s="25">
        <v>327</v>
      </c>
      <c r="F265" s="25">
        <v>2</v>
      </c>
      <c r="G265" s="28">
        <v>2</v>
      </c>
      <c r="H265" s="28">
        <v>70056</v>
      </c>
      <c r="I265" s="28" t="s">
        <v>17</v>
      </c>
      <c r="J265" s="28">
        <v>33438487</v>
      </c>
      <c r="K265" t="s">
        <v>825</v>
      </c>
      <c r="L265" t="s">
        <v>828</v>
      </c>
      <c r="M265" s="39">
        <v>399900</v>
      </c>
      <c r="N265" s="64">
        <v>0.9</v>
      </c>
      <c r="O265" s="36">
        <f t="shared" si="4"/>
        <v>59985</v>
      </c>
      <c r="P265" s="25" t="s">
        <v>0</v>
      </c>
    </row>
    <row r="266" spans="1:16" x14ac:dyDescent="0.3">
      <c r="A266" s="25" t="s">
        <v>3215</v>
      </c>
      <c r="B266" s="26">
        <v>46093</v>
      </c>
      <c r="C266" s="26">
        <v>46098</v>
      </c>
      <c r="D266" s="25">
        <v>3319</v>
      </c>
      <c r="E266" s="25">
        <v>327</v>
      </c>
      <c r="F266" s="25">
        <v>2</v>
      </c>
      <c r="G266" s="28">
        <v>2</v>
      </c>
      <c r="H266" s="28">
        <v>70056</v>
      </c>
      <c r="I266" s="28" t="s">
        <v>17</v>
      </c>
      <c r="J266" s="28">
        <v>33438496</v>
      </c>
      <c r="K266" t="s">
        <v>825</v>
      </c>
      <c r="L266" t="s">
        <v>829</v>
      </c>
      <c r="M266" s="39">
        <v>399900</v>
      </c>
      <c r="N266" s="64">
        <v>0.9</v>
      </c>
      <c r="O266" s="36">
        <f t="shared" si="4"/>
        <v>59985</v>
      </c>
      <c r="P266" s="25" t="s">
        <v>0</v>
      </c>
    </row>
    <row r="267" spans="1:16" x14ac:dyDescent="0.3">
      <c r="A267" s="25" t="s">
        <v>3215</v>
      </c>
      <c r="B267" s="26">
        <v>46093</v>
      </c>
      <c r="C267" s="26">
        <v>46098</v>
      </c>
      <c r="D267" s="25">
        <v>3319</v>
      </c>
      <c r="E267" s="25">
        <v>327</v>
      </c>
      <c r="F267" s="25">
        <v>2</v>
      </c>
      <c r="G267" s="28">
        <v>2</v>
      </c>
      <c r="H267" s="28">
        <v>70056</v>
      </c>
      <c r="I267" s="28" t="s">
        <v>17</v>
      </c>
      <c r="J267" s="28">
        <v>33438503</v>
      </c>
      <c r="K267" t="s">
        <v>825</v>
      </c>
      <c r="L267" t="s">
        <v>830</v>
      </c>
      <c r="M267" s="39">
        <v>399900</v>
      </c>
      <c r="N267" s="64">
        <v>0.9</v>
      </c>
      <c r="O267" s="36">
        <f t="shared" si="4"/>
        <v>59985</v>
      </c>
      <c r="P267" s="25" t="s">
        <v>0</v>
      </c>
    </row>
    <row r="268" spans="1:16" x14ac:dyDescent="0.3">
      <c r="A268" s="25" t="s">
        <v>3215</v>
      </c>
      <c r="B268" s="26">
        <v>46093</v>
      </c>
      <c r="C268" s="26">
        <v>46098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25799817</v>
      </c>
      <c r="K268" t="s">
        <v>672</v>
      </c>
      <c r="L268" t="s">
        <v>831</v>
      </c>
      <c r="M268" s="39">
        <v>239900</v>
      </c>
      <c r="N268" s="64">
        <v>0.9</v>
      </c>
      <c r="O268" s="36">
        <f t="shared" si="4"/>
        <v>35985</v>
      </c>
      <c r="P268" s="25" t="s">
        <v>0</v>
      </c>
    </row>
    <row r="269" spans="1:16" x14ac:dyDescent="0.3">
      <c r="A269" s="25" t="s">
        <v>3215</v>
      </c>
      <c r="B269" s="26">
        <v>46093</v>
      </c>
      <c r="C269" s="26">
        <v>46098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26174641</v>
      </c>
      <c r="K269" t="s">
        <v>832</v>
      </c>
      <c r="L269" t="s">
        <v>833</v>
      </c>
      <c r="M269" s="39">
        <v>259900</v>
      </c>
      <c r="N269" s="64">
        <v>0.9</v>
      </c>
      <c r="O269" s="36">
        <f t="shared" si="4"/>
        <v>38985</v>
      </c>
      <c r="P269" s="25" t="s">
        <v>0</v>
      </c>
    </row>
    <row r="270" spans="1:16" x14ac:dyDescent="0.3">
      <c r="A270" s="25" t="s">
        <v>3215</v>
      </c>
      <c r="B270" s="26">
        <v>46093</v>
      </c>
      <c r="C270" s="26">
        <v>46098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26174650</v>
      </c>
      <c r="K270" t="s">
        <v>832</v>
      </c>
      <c r="L270" t="s">
        <v>834</v>
      </c>
      <c r="M270" s="39">
        <v>259900</v>
      </c>
      <c r="N270" s="64">
        <v>0.9</v>
      </c>
      <c r="O270" s="36">
        <f t="shared" si="4"/>
        <v>38985</v>
      </c>
      <c r="P270" s="25" t="s">
        <v>0</v>
      </c>
    </row>
    <row r="271" spans="1:16" x14ac:dyDescent="0.3">
      <c r="A271" s="25" t="s">
        <v>3215</v>
      </c>
      <c r="B271" s="26">
        <v>46093</v>
      </c>
      <c r="C271" s="26">
        <v>46098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26174687</v>
      </c>
      <c r="K271" t="s">
        <v>832</v>
      </c>
      <c r="L271" t="s">
        <v>835</v>
      </c>
      <c r="M271" s="39">
        <v>259900</v>
      </c>
      <c r="N271" s="64">
        <v>0.9</v>
      </c>
      <c r="O271" s="36">
        <f t="shared" si="4"/>
        <v>38985</v>
      </c>
      <c r="P271" s="25" t="s">
        <v>0</v>
      </c>
    </row>
    <row r="272" spans="1:16" x14ac:dyDescent="0.3">
      <c r="A272" s="25" t="s">
        <v>3215</v>
      </c>
      <c r="B272" s="26">
        <v>46093</v>
      </c>
      <c r="C272" s="26">
        <v>46098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26174703</v>
      </c>
      <c r="K272" t="s">
        <v>836</v>
      </c>
      <c r="L272" t="s">
        <v>837</v>
      </c>
      <c r="M272" s="39">
        <v>259900</v>
      </c>
      <c r="N272" s="64">
        <v>0.9</v>
      </c>
      <c r="O272" s="36">
        <f t="shared" si="4"/>
        <v>38985</v>
      </c>
      <c r="P272" s="25" t="s">
        <v>0</v>
      </c>
    </row>
    <row r="273" spans="1:16" x14ac:dyDescent="0.3">
      <c r="A273" s="25" t="s">
        <v>3215</v>
      </c>
      <c r="B273" s="26">
        <v>46093</v>
      </c>
      <c r="C273" s="26">
        <v>46098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26174730</v>
      </c>
      <c r="K273" t="s">
        <v>836</v>
      </c>
      <c r="L273" t="s">
        <v>838</v>
      </c>
      <c r="M273" s="39">
        <v>259900</v>
      </c>
      <c r="N273" s="64">
        <v>0.9</v>
      </c>
      <c r="O273" s="36">
        <f t="shared" si="4"/>
        <v>38985</v>
      </c>
      <c r="P273" s="25" t="s">
        <v>0</v>
      </c>
    </row>
    <row r="274" spans="1:16" x14ac:dyDescent="0.3">
      <c r="A274" s="25" t="s">
        <v>3215</v>
      </c>
      <c r="B274" s="26">
        <v>46093</v>
      </c>
      <c r="C274" s="26">
        <v>46098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25160890</v>
      </c>
      <c r="K274" t="s">
        <v>839</v>
      </c>
      <c r="L274" t="s">
        <v>840</v>
      </c>
      <c r="M274" s="39">
        <v>239900</v>
      </c>
      <c r="N274" s="64">
        <v>0.9</v>
      </c>
      <c r="O274" s="36">
        <f t="shared" si="4"/>
        <v>35985</v>
      </c>
      <c r="P274" s="25" t="s">
        <v>0</v>
      </c>
    </row>
    <row r="275" spans="1:16" x14ac:dyDescent="0.3">
      <c r="A275" s="25" t="s">
        <v>3215</v>
      </c>
      <c r="B275" s="26">
        <v>46093</v>
      </c>
      <c r="C275" s="26">
        <v>46098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25160925</v>
      </c>
      <c r="K275" t="s">
        <v>839</v>
      </c>
      <c r="L275" t="s">
        <v>841</v>
      </c>
      <c r="M275" s="39">
        <v>239900</v>
      </c>
      <c r="N275" s="64">
        <v>0.9</v>
      </c>
      <c r="O275" s="36">
        <f t="shared" si="4"/>
        <v>35985</v>
      </c>
      <c r="P275" s="25" t="s">
        <v>0</v>
      </c>
    </row>
    <row r="276" spans="1:16" x14ac:dyDescent="0.3">
      <c r="A276" s="25" t="s">
        <v>3215</v>
      </c>
      <c r="B276" s="26">
        <v>46093</v>
      </c>
      <c r="C276" s="26">
        <v>46098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25160934</v>
      </c>
      <c r="K276" t="s">
        <v>839</v>
      </c>
      <c r="L276" t="s">
        <v>842</v>
      </c>
      <c r="M276" s="39">
        <v>239900</v>
      </c>
      <c r="N276" s="64">
        <v>0.9</v>
      </c>
      <c r="O276" s="36">
        <f t="shared" si="4"/>
        <v>35985</v>
      </c>
      <c r="P276" s="25" t="s">
        <v>0</v>
      </c>
    </row>
    <row r="277" spans="1:16" x14ac:dyDescent="0.3">
      <c r="A277" s="25" t="s">
        <v>3215</v>
      </c>
      <c r="B277" s="26">
        <v>46093</v>
      </c>
      <c r="C277" s="26">
        <v>46098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26268013</v>
      </c>
      <c r="K277" t="s">
        <v>843</v>
      </c>
      <c r="L277" t="s">
        <v>844</v>
      </c>
      <c r="M277" s="39">
        <v>239900</v>
      </c>
      <c r="N277" s="64">
        <v>0.9</v>
      </c>
      <c r="O277" s="36">
        <f t="shared" si="4"/>
        <v>35985</v>
      </c>
      <c r="P277" s="25" t="s">
        <v>0</v>
      </c>
    </row>
    <row r="278" spans="1:16" x14ac:dyDescent="0.3">
      <c r="A278" s="25" t="s">
        <v>3215</v>
      </c>
      <c r="B278" s="26">
        <v>46093</v>
      </c>
      <c r="C278" s="26">
        <v>46098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26268022</v>
      </c>
      <c r="K278" t="s">
        <v>843</v>
      </c>
      <c r="L278" t="s">
        <v>845</v>
      </c>
      <c r="M278" s="39">
        <v>239900</v>
      </c>
      <c r="N278" s="64">
        <v>0.9</v>
      </c>
      <c r="O278" s="36">
        <f t="shared" si="4"/>
        <v>35985</v>
      </c>
      <c r="P278" s="25" t="s">
        <v>0</v>
      </c>
    </row>
    <row r="279" spans="1:16" x14ac:dyDescent="0.3">
      <c r="A279" s="25" t="s">
        <v>3215</v>
      </c>
      <c r="B279" s="26">
        <v>46093</v>
      </c>
      <c r="C279" s="26">
        <v>46098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26268040</v>
      </c>
      <c r="K279" t="s">
        <v>843</v>
      </c>
      <c r="L279" t="s">
        <v>846</v>
      </c>
      <c r="M279" s="39">
        <v>239900</v>
      </c>
      <c r="N279" s="64">
        <v>0.9</v>
      </c>
      <c r="O279" s="36">
        <f t="shared" si="4"/>
        <v>35985</v>
      </c>
      <c r="P279" s="25" t="s">
        <v>0</v>
      </c>
    </row>
    <row r="280" spans="1:16" x14ac:dyDescent="0.3">
      <c r="A280" s="25" t="s">
        <v>3215</v>
      </c>
      <c r="B280" s="26">
        <v>46093</v>
      </c>
      <c r="C280" s="26">
        <v>46098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26268059</v>
      </c>
      <c r="K280" t="s">
        <v>843</v>
      </c>
      <c r="L280" t="s">
        <v>847</v>
      </c>
      <c r="M280" s="39">
        <v>239900</v>
      </c>
      <c r="N280" s="64">
        <v>0.9</v>
      </c>
      <c r="O280" s="36">
        <f t="shared" si="4"/>
        <v>35985</v>
      </c>
      <c r="P280" s="25" t="s">
        <v>0</v>
      </c>
    </row>
    <row r="281" spans="1:16" x14ac:dyDescent="0.3">
      <c r="A281" s="25" t="s">
        <v>3215</v>
      </c>
      <c r="B281" s="26">
        <v>46093</v>
      </c>
      <c r="C281" s="26">
        <v>46098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28071294</v>
      </c>
      <c r="K281" t="s">
        <v>728</v>
      </c>
      <c r="L281" t="s">
        <v>848</v>
      </c>
      <c r="M281" s="39">
        <v>239900</v>
      </c>
      <c r="N281" s="64">
        <v>0.9</v>
      </c>
      <c r="O281" s="36">
        <f t="shared" si="4"/>
        <v>35985</v>
      </c>
      <c r="P281" s="25" t="s">
        <v>0</v>
      </c>
    </row>
    <row r="282" spans="1:16" x14ac:dyDescent="0.3">
      <c r="A282" s="25" t="s">
        <v>3215</v>
      </c>
      <c r="B282" s="26">
        <v>46093</v>
      </c>
      <c r="C282" s="26">
        <v>46098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31810354</v>
      </c>
      <c r="K282" t="s">
        <v>619</v>
      </c>
      <c r="L282" t="s">
        <v>848</v>
      </c>
      <c r="M282" s="39">
        <v>199900</v>
      </c>
      <c r="N282" s="64">
        <v>0.9</v>
      </c>
      <c r="O282" s="36">
        <f t="shared" si="4"/>
        <v>29985</v>
      </c>
      <c r="P282" s="25" t="s">
        <v>0</v>
      </c>
    </row>
    <row r="283" spans="1:16" x14ac:dyDescent="0.3">
      <c r="A283" s="25" t="s">
        <v>3215</v>
      </c>
      <c r="B283" s="26">
        <v>46093</v>
      </c>
      <c r="C283" s="26">
        <v>46098</v>
      </c>
      <c r="D283" s="25">
        <v>3319</v>
      </c>
      <c r="E283" s="25">
        <v>327</v>
      </c>
      <c r="F283" s="25">
        <v>2</v>
      </c>
      <c r="G283" s="28">
        <v>2</v>
      </c>
      <c r="H283" s="28">
        <v>81433</v>
      </c>
      <c r="I283" s="28" t="s">
        <v>17</v>
      </c>
      <c r="J283" s="28">
        <v>27865054</v>
      </c>
      <c r="K283" t="s">
        <v>849</v>
      </c>
      <c r="L283" t="s">
        <v>850</v>
      </c>
      <c r="M283" s="39">
        <v>319900</v>
      </c>
      <c r="N283" s="64">
        <v>0.9</v>
      </c>
      <c r="O283" s="36">
        <f t="shared" si="4"/>
        <v>47985</v>
      </c>
      <c r="P283" s="25" t="s">
        <v>0</v>
      </c>
    </row>
    <row r="284" spans="1:16" x14ac:dyDescent="0.3">
      <c r="A284" s="25" t="s">
        <v>3215</v>
      </c>
      <c r="B284" s="26">
        <v>46093</v>
      </c>
      <c r="C284" s="26">
        <v>46098</v>
      </c>
      <c r="D284" s="25">
        <v>3319</v>
      </c>
      <c r="E284" s="25">
        <v>327</v>
      </c>
      <c r="F284" s="25">
        <v>2</v>
      </c>
      <c r="G284" s="28">
        <v>2</v>
      </c>
      <c r="H284" s="28">
        <v>81433</v>
      </c>
      <c r="I284" s="28" t="s">
        <v>17</v>
      </c>
      <c r="J284" s="28">
        <v>27865063</v>
      </c>
      <c r="K284" t="s">
        <v>849</v>
      </c>
      <c r="L284" t="s">
        <v>851</v>
      </c>
      <c r="M284" s="39">
        <v>319900</v>
      </c>
      <c r="N284" s="64">
        <v>0.9</v>
      </c>
      <c r="O284" s="36">
        <f t="shared" si="4"/>
        <v>47985</v>
      </c>
      <c r="P284" s="25" t="s">
        <v>0</v>
      </c>
    </row>
    <row r="285" spans="1:16" x14ac:dyDescent="0.3">
      <c r="A285" s="25" t="s">
        <v>3215</v>
      </c>
      <c r="B285" s="26">
        <v>46093</v>
      </c>
      <c r="C285" s="26">
        <v>46098</v>
      </c>
      <c r="D285" s="25">
        <v>3319</v>
      </c>
      <c r="E285" s="25">
        <v>327</v>
      </c>
      <c r="F285" s="25">
        <v>2</v>
      </c>
      <c r="G285" s="28">
        <v>2</v>
      </c>
      <c r="H285" s="28">
        <v>81433</v>
      </c>
      <c r="I285" s="28" t="s">
        <v>17</v>
      </c>
      <c r="J285" s="28">
        <v>27865027</v>
      </c>
      <c r="K285" t="s">
        <v>849</v>
      </c>
      <c r="L285" t="s">
        <v>852</v>
      </c>
      <c r="M285" s="39">
        <v>319900</v>
      </c>
      <c r="N285" s="64">
        <v>0.9</v>
      </c>
      <c r="O285" s="36">
        <f t="shared" si="4"/>
        <v>47985</v>
      </c>
      <c r="P285" s="25" t="s">
        <v>0</v>
      </c>
    </row>
    <row r="286" spans="1:16" x14ac:dyDescent="0.3">
      <c r="A286" s="25" t="s">
        <v>3215</v>
      </c>
      <c r="B286" s="26">
        <v>46093</v>
      </c>
      <c r="C286" s="26">
        <v>46098</v>
      </c>
      <c r="D286" s="25">
        <v>3319</v>
      </c>
      <c r="E286" s="25">
        <v>327</v>
      </c>
      <c r="F286" s="25">
        <v>2</v>
      </c>
      <c r="G286" s="28">
        <v>2</v>
      </c>
      <c r="H286" s="28">
        <v>81433</v>
      </c>
      <c r="I286" s="28" t="s">
        <v>17</v>
      </c>
      <c r="J286" s="28">
        <v>27865081</v>
      </c>
      <c r="K286" t="s">
        <v>849</v>
      </c>
      <c r="L286" t="s">
        <v>853</v>
      </c>
      <c r="M286" s="39">
        <v>319900</v>
      </c>
      <c r="N286" s="64">
        <v>0.9</v>
      </c>
      <c r="O286" s="36">
        <f t="shared" si="4"/>
        <v>47985</v>
      </c>
      <c r="P286" s="25" t="s">
        <v>0</v>
      </c>
    </row>
    <row r="287" spans="1:16" x14ac:dyDescent="0.3">
      <c r="A287" s="25" t="s">
        <v>3215</v>
      </c>
      <c r="B287" s="26">
        <v>46093</v>
      </c>
      <c r="C287" s="26">
        <v>46098</v>
      </c>
      <c r="D287" s="25">
        <v>3319</v>
      </c>
      <c r="E287" s="25">
        <v>327</v>
      </c>
      <c r="F287" s="25">
        <v>2</v>
      </c>
      <c r="G287" s="28">
        <v>2</v>
      </c>
      <c r="H287" s="28">
        <v>81433</v>
      </c>
      <c r="I287" s="28" t="s">
        <v>17</v>
      </c>
      <c r="J287" s="28">
        <v>27865090</v>
      </c>
      <c r="K287" t="s">
        <v>849</v>
      </c>
      <c r="L287" t="s">
        <v>854</v>
      </c>
      <c r="M287" s="39">
        <v>319900</v>
      </c>
      <c r="N287" s="64">
        <v>0.9</v>
      </c>
      <c r="O287" s="36">
        <f t="shared" si="4"/>
        <v>47985</v>
      </c>
      <c r="P287" s="25" t="s">
        <v>0</v>
      </c>
    </row>
    <row r="288" spans="1:16" x14ac:dyDescent="0.3">
      <c r="A288" s="25" t="s">
        <v>3215</v>
      </c>
      <c r="B288" s="26">
        <v>46093</v>
      </c>
      <c r="C288" s="26">
        <v>46098</v>
      </c>
      <c r="D288" s="25">
        <v>3319</v>
      </c>
      <c r="E288" s="25">
        <v>327</v>
      </c>
      <c r="F288" s="25">
        <v>2</v>
      </c>
      <c r="G288" s="16">
        <v>1</v>
      </c>
      <c r="H288" s="16">
        <v>80700</v>
      </c>
      <c r="I288" s="16" t="s">
        <v>17</v>
      </c>
      <c r="J288" s="60">
        <v>41136681</v>
      </c>
      <c r="K288" s="13" t="s">
        <v>1609</v>
      </c>
      <c r="L288" s="16" t="s">
        <v>2833</v>
      </c>
      <c r="M288" s="63">
        <v>159900</v>
      </c>
      <c r="N288" s="64">
        <v>0.9</v>
      </c>
      <c r="O288" s="36">
        <f t="shared" ref="O288:O291" si="5">M288*15%</f>
        <v>23985</v>
      </c>
      <c r="P288" s="25" t="s">
        <v>0</v>
      </c>
    </row>
    <row r="289" spans="1:16" x14ac:dyDescent="0.3">
      <c r="A289" s="25" t="s">
        <v>3215</v>
      </c>
      <c r="B289" s="26">
        <v>46093</v>
      </c>
      <c r="C289" s="26">
        <v>46098</v>
      </c>
      <c r="D289" s="25">
        <v>3319</v>
      </c>
      <c r="E289" s="25">
        <v>327</v>
      </c>
      <c r="F289" s="25">
        <v>2</v>
      </c>
      <c r="G289" s="16">
        <v>1</v>
      </c>
      <c r="H289" s="16">
        <v>80700</v>
      </c>
      <c r="I289" s="16" t="s">
        <v>17</v>
      </c>
      <c r="J289" s="60">
        <v>41136690</v>
      </c>
      <c r="K289" s="13" t="s">
        <v>1609</v>
      </c>
      <c r="L289" s="16" t="s">
        <v>2834</v>
      </c>
      <c r="M289" s="63">
        <v>159900</v>
      </c>
      <c r="N289" s="64">
        <v>0.9</v>
      </c>
      <c r="O289" s="36">
        <f t="shared" si="5"/>
        <v>23985</v>
      </c>
      <c r="P289" s="25" t="s">
        <v>0</v>
      </c>
    </row>
    <row r="290" spans="1:16" x14ac:dyDescent="0.3">
      <c r="A290" s="25" t="s">
        <v>3215</v>
      </c>
      <c r="B290" s="26">
        <v>46093</v>
      </c>
      <c r="C290" s="26">
        <v>46098</v>
      </c>
      <c r="D290" s="25">
        <v>3319</v>
      </c>
      <c r="E290" s="25">
        <v>327</v>
      </c>
      <c r="F290" s="25">
        <v>2</v>
      </c>
      <c r="G290" s="16">
        <v>1</v>
      </c>
      <c r="H290" s="16">
        <v>80700</v>
      </c>
      <c r="I290" s="16" t="s">
        <v>17</v>
      </c>
      <c r="J290" s="60">
        <v>41136707</v>
      </c>
      <c r="K290" s="13" t="s">
        <v>1609</v>
      </c>
      <c r="L290" s="16" t="s">
        <v>2835</v>
      </c>
      <c r="M290" s="63">
        <v>159900</v>
      </c>
      <c r="N290" s="64">
        <v>0.9</v>
      </c>
      <c r="O290" s="36">
        <f t="shared" si="5"/>
        <v>23985</v>
      </c>
      <c r="P290" s="25" t="s">
        <v>0</v>
      </c>
    </row>
    <row r="291" spans="1:16" x14ac:dyDescent="0.3">
      <c r="A291" s="25" t="s">
        <v>3215</v>
      </c>
      <c r="B291" s="26">
        <v>46093</v>
      </c>
      <c r="C291" s="26">
        <v>46098</v>
      </c>
      <c r="D291" s="25">
        <v>3319</v>
      </c>
      <c r="E291" s="25">
        <v>327</v>
      </c>
      <c r="F291" s="25">
        <v>2</v>
      </c>
      <c r="G291" s="16">
        <v>1</v>
      </c>
      <c r="H291" s="16">
        <v>80700</v>
      </c>
      <c r="I291" s="16" t="s">
        <v>17</v>
      </c>
      <c r="J291" s="60">
        <v>41136716</v>
      </c>
      <c r="K291" s="13" t="s">
        <v>1609</v>
      </c>
      <c r="L291" s="16" t="s">
        <v>2836</v>
      </c>
      <c r="M291" s="63">
        <v>159900</v>
      </c>
      <c r="N291" s="64">
        <v>0.9</v>
      </c>
      <c r="O291" s="36">
        <f t="shared" si="5"/>
        <v>23985</v>
      </c>
      <c r="P291" s="25" t="s">
        <v>0</v>
      </c>
    </row>
  </sheetData>
  <autoFilter ref="A1:P287" xr:uid="{00000000-0009-0000-0000-000002000000}"/>
  <phoneticPr fontId="14" type="noConversion"/>
  <conditionalFormatting sqref="J1">
    <cfRule type="duplicateValues" dxfId="359" priority="3"/>
    <cfRule type="duplicateValues" dxfId="358" priority="4"/>
    <cfRule type="duplicateValues" dxfId="357" priority="5"/>
    <cfRule type="duplicateValues" dxfId="356" priority="6"/>
  </conditionalFormatting>
  <conditionalFormatting sqref="J1:J1048576">
    <cfRule type="duplicateValues" dxfId="355" priority="1"/>
    <cfRule type="duplicateValues" dxfId="354" priority="2"/>
  </conditionalFormatting>
  <conditionalFormatting sqref="J2:J16">
    <cfRule type="duplicateValues" dxfId="353" priority="35"/>
    <cfRule type="duplicateValues" dxfId="352" priority="47"/>
  </conditionalFormatting>
  <conditionalFormatting sqref="J2:J197">
    <cfRule type="duplicateValues" dxfId="351" priority="49"/>
  </conditionalFormatting>
  <conditionalFormatting sqref="J2:J287">
    <cfRule type="duplicateValues" dxfId="350" priority="48"/>
  </conditionalFormatting>
  <conditionalFormatting sqref="J17:J23">
    <cfRule type="duplicateValues" dxfId="349" priority="46"/>
  </conditionalFormatting>
  <conditionalFormatting sqref="J24:J26">
    <cfRule type="duplicateValues" dxfId="348" priority="45"/>
  </conditionalFormatting>
  <conditionalFormatting sqref="J27:J33">
    <cfRule type="duplicateValues" dxfId="347" priority="44"/>
  </conditionalFormatting>
  <conditionalFormatting sqref="J32:J33">
    <cfRule type="duplicateValues" dxfId="346" priority="34"/>
  </conditionalFormatting>
  <conditionalFormatting sqref="J34:J37">
    <cfRule type="duplicateValues" dxfId="345" priority="37"/>
  </conditionalFormatting>
  <conditionalFormatting sqref="J34:J39">
    <cfRule type="duplicateValues" dxfId="344" priority="38"/>
  </conditionalFormatting>
  <conditionalFormatting sqref="J38:J39">
    <cfRule type="duplicateValues" dxfId="343" priority="36"/>
  </conditionalFormatting>
  <conditionalFormatting sqref="J40:J41">
    <cfRule type="duplicateValues" dxfId="342" priority="43"/>
  </conditionalFormatting>
  <conditionalFormatting sqref="J42">
    <cfRule type="duplicateValues" dxfId="341" priority="42"/>
  </conditionalFormatting>
  <conditionalFormatting sqref="J43:J44">
    <cfRule type="duplicateValues" dxfId="340" priority="41"/>
  </conditionalFormatting>
  <conditionalFormatting sqref="J45:J46">
    <cfRule type="duplicateValues" dxfId="339" priority="33"/>
  </conditionalFormatting>
  <conditionalFormatting sqref="J47:J54">
    <cfRule type="duplicateValues" dxfId="338" priority="40"/>
  </conditionalFormatting>
  <conditionalFormatting sqref="J55:J59">
    <cfRule type="duplicateValues" dxfId="337" priority="39"/>
  </conditionalFormatting>
  <conditionalFormatting sqref="J90:J92">
    <cfRule type="duplicateValues" dxfId="336" priority="32"/>
  </conditionalFormatting>
  <conditionalFormatting sqref="J93:J96">
    <cfRule type="duplicateValues" dxfId="335" priority="31"/>
  </conditionalFormatting>
  <conditionalFormatting sqref="J97:J98">
    <cfRule type="duplicateValues" dxfId="334" priority="30"/>
  </conditionalFormatting>
  <conditionalFormatting sqref="J99:J100">
    <cfRule type="duplicateValues" dxfId="333" priority="29"/>
  </conditionalFormatting>
  <conditionalFormatting sqref="J101:J105">
    <cfRule type="duplicateValues" dxfId="332" priority="28"/>
    <cfRule type="duplicateValues" dxfId="331" priority="27"/>
  </conditionalFormatting>
  <conditionalFormatting sqref="J106">
    <cfRule type="duplicateValues" dxfId="330" priority="26"/>
  </conditionalFormatting>
  <conditionalFormatting sqref="J107:J114">
    <cfRule type="duplicateValues" dxfId="329" priority="25"/>
  </conditionalFormatting>
  <conditionalFormatting sqref="J115">
    <cfRule type="duplicateValues" dxfId="328" priority="24"/>
  </conditionalFormatting>
  <conditionalFormatting sqref="J116:J117">
    <cfRule type="duplicateValues" dxfId="327" priority="23"/>
  </conditionalFormatting>
  <conditionalFormatting sqref="J118:J123">
    <cfRule type="duplicateValues" dxfId="326" priority="22"/>
  </conditionalFormatting>
  <conditionalFormatting sqref="J124:J132">
    <cfRule type="duplicateValues" dxfId="325" priority="21"/>
  </conditionalFormatting>
  <conditionalFormatting sqref="J133:J137">
    <cfRule type="duplicateValues" dxfId="324" priority="20"/>
  </conditionalFormatting>
  <conditionalFormatting sqref="J138:J142">
    <cfRule type="duplicateValues" dxfId="323" priority="19"/>
  </conditionalFormatting>
  <conditionalFormatting sqref="J143:J147">
    <cfRule type="duplicateValues" dxfId="322" priority="18"/>
  </conditionalFormatting>
  <conditionalFormatting sqref="J148:J157">
    <cfRule type="duplicateValues" dxfId="321" priority="17"/>
  </conditionalFormatting>
  <conditionalFormatting sqref="J158:J162">
    <cfRule type="duplicateValues" dxfId="320" priority="15"/>
  </conditionalFormatting>
  <conditionalFormatting sqref="J163:J172">
    <cfRule type="duplicateValues" dxfId="319" priority="16"/>
    <cfRule type="duplicateValues" dxfId="318" priority="11"/>
  </conditionalFormatting>
  <conditionalFormatting sqref="J173:J177">
    <cfRule type="duplicateValues" dxfId="317" priority="14"/>
    <cfRule type="duplicateValues" dxfId="316" priority="12"/>
    <cfRule type="duplicateValues" dxfId="315" priority="13"/>
  </conditionalFormatting>
  <conditionalFormatting sqref="J178:J187">
    <cfRule type="duplicateValues" dxfId="314" priority="7"/>
  </conditionalFormatting>
  <conditionalFormatting sqref="J188:J197">
    <cfRule type="duplicateValues" dxfId="313" priority="10"/>
    <cfRule type="duplicateValues" dxfId="312" priority="9"/>
    <cfRule type="duplicateValues" dxfId="311" priority="8"/>
  </conditionalFormatting>
  <conditionalFormatting sqref="J198:J287">
    <cfRule type="duplicateValues" dxfId="310" priority="50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zoomScale="90" zoomScaleNormal="90" workbookViewId="0">
      <selection activeCell="H23" sqref="H23"/>
    </sheetView>
  </sheetViews>
  <sheetFormatPr defaultColWidth="19.44140625" defaultRowHeight="15" x14ac:dyDescent="0.25"/>
  <cols>
    <col min="1" max="1" width="20.6640625" style="47" customWidth="1"/>
    <col min="2" max="3" width="11.6640625" style="47" customWidth="1"/>
    <col min="4" max="6" width="8.6640625" style="47" customWidth="1"/>
    <col min="7" max="7" width="8.6640625" style="23" customWidth="1"/>
    <col min="8" max="9" width="11.6640625" style="23" customWidth="1"/>
    <col min="10" max="10" width="11.6640625" style="52" customWidth="1"/>
    <col min="11" max="11" width="11.6640625" style="21" customWidth="1"/>
    <col min="12" max="12" width="67.5546875" style="23" customWidth="1"/>
    <col min="13" max="13" width="15.88671875" style="56" customWidth="1"/>
    <col min="14" max="14" width="8.6640625" style="23" customWidth="1"/>
    <col min="15" max="15" width="15.88671875" style="56" customWidth="1"/>
    <col min="16" max="16" width="15.88671875" style="47" customWidth="1"/>
    <col min="17" max="16384" width="19.44140625" style="20"/>
  </cols>
  <sheetData>
    <row r="1" spans="1:16" ht="30" customHeight="1" x14ac:dyDescent="0.25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ht="15.6" x14ac:dyDescent="0.3">
      <c r="A2" s="25" t="s">
        <v>3214</v>
      </c>
      <c r="B2" s="26">
        <v>46093</v>
      </c>
      <c r="C2" s="26">
        <v>46098</v>
      </c>
      <c r="D2" s="25">
        <v>3319</v>
      </c>
      <c r="E2" s="25">
        <v>327</v>
      </c>
      <c r="F2" s="25">
        <v>2</v>
      </c>
      <c r="G2" s="48">
        <v>1</v>
      </c>
      <c r="H2" s="46">
        <v>81433</v>
      </c>
      <c r="I2" s="48" t="s">
        <v>17</v>
      </c>
      <c r="J2" s="49">
        <v>28701399</v>
      </c>
      <c r="K2" s="45" t="s">
        <v>590</v>
      </c>
      <c r="L2" s="45" t="s">
        <v>855</v>
      </c>
      <c r="M2" s="54">
        <v>299900</v>
      </c>
      <c r="N2" s="57">
        <v>0.9</v>
      </c>
      <c r="O2" s="36">
        <f>M2*10%</f>
        <v>29990</v>
      </c>
      <c r="P2" s="28" t="s">
        <v>0</v>
      </c>
    </row>
    <row r="3" spans="1:16" ht="15.6" x14ac:dyDescent="0.3">
      <c r="A3" s="25" t="s">
        <v>3214</v>
      </c>
      <c r="B3" s="26">
        <v>46093</v>
      </c>
      <c r="C3" s="26">
        <v>46098</v>
      </c>
      <c r="D3" s="25">
        <v>3319</v>
      </c>
      <c r="E3" s="25">
        <v>327</v>
      </c>
      <c r="F3" s="25">
        <v>2</v>
      </c>
      <c r="G3" s="48">
        <v>1</v>
      </c>
      <c r="H3" s="46">
        <v>81433</v>
      </c>
      <c r="I3" s="48" t="s">
        <v>17</v>
      </c>
      <c r="J3" s="49">
        <v>28701353</v>
      </c>
      <c r="K3" s="45" t="s">
        <v>590</v>
      </c>
      <c r="L3" s="45" t="s">
        <v>856</v>
      </c>
      <c r="M3" s="54">
        <v>299900</v>
      </c>
      <c r="N3" s="57">
        <v>0.9</v>
      </c>
      <c r="O3" s="36">
        <f t="shared" ref="O3:O66" si="0">M3*10%</f>
        <v>29990</v>
      </c>
      <c r="P3" s="28" t="s">
        <v>0</v>
      </c>
    </row>
    <row r="4" spans="1:16" ht="15.6" x14ac:dyDescent="0.3">
      <c r="A4" s="25" t="s">
        <v>3214</v>
      </c>
      <c r="B4" s="26">
        <v>46093</v>
      </c>
      <c r="C4" s="26">
        <v>46098</v>
      </c>
      <c r="D4" s="25">
        <v>3319</v>
      </c>
      <c r="E4" s="25">
        <v>327</v>
      </c>
      <c r="F4" s="25">
        <v>2</v>
      </c>
      <c r="G4" s="48">
        <v>1</v>
      </c>
      <c r="H4" s="46">
        <v>81433</v>
      </c>
      <c r="I4" s="48" t="s">
        <v>17</v>
      </c>
      <c r="J4" s="49">
        <v>28701380</v>
      </c>
      <c r="K4" s="45" t="s">
        <v>590</v>
      </c>
      <c r="L4" s="45" t="s">
        <v>857</v>
      </c>
      <c r="M4" s="54">
        <v>299900</v>
      </c>
      <c r="N4" s="57">
        <v>0.9</v>
      </c>
      <c r="O4" s="36">
        <f t="shared" si="0"/>
        <v>29990</v>
      </c>
      <c r="P4" s="28" t="s">
        <v>0</v>
      </c>
    </row>
    <row r="5" spans="1:16" ht="15.6" x14ac:dyDescent="0.3">
      <c r="A5" s="25" t="s">
        <v>3214</v>
      </c>
      <c r="B5" s="26">
        <v>46093</v>
      </c>
      <c r="C5" s="26">
        <v>46098</v>
      </c>
      <c r="D5" s="25">
        <v>3319</v>
      </c>
      <c r="E5" s="25">
        <v>327</v>
      </c>
      <c r="F5" s="25">
        <v>2</v>
      </c>
      <c r="G5" s="48">
        <v>1</v>
      </c>
      <c r="H5" s="46">
        <v>81433</v>
      </c>
      <c r="I5" s="48" t="s">
        <v>17</v>
      </c>
      <c r="J5" s="49">
        <v>28701362</v>
      </c>
      <c r="K5" s="45" t="s">
        <v>590</v>
      </c>
      <c r="L5" s="45" t="s">
        <v>858</v>
      </c>
      <c r="M5" s="54">
        <v>299900</v>
      </c>
      <c r="N5" s="57">
        <v>0.9</v>
      </c>
      <c r="O5" s="36">
        <f t="shared" si="0"/>
        <v>29990</v>
      </c>
      <c r="P5" s="28" t="s">
        <v>0</v>
      </c>
    </row>
    <row r="6" spans="1:16" ht="15.6" x14ac:dyDescent="0.3">
      <c r="A6" s="25" t="s">
        <v>3214</v>
      </c>
      <c r="B6" s="26">
        <v>46093</v>
      </c>
      <c r="C6" s="26">
        <v>46098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28701371</v>
      </c>
      <c r="K6" s="45" t="s">
        <v>590</v>
      </c>
      <c r="L6" s="45" t="s">
        <v>859</v>
      </c>
      <c r="M6" s="54">
        <v>299900</v>
      </c>
      <c r="N6" s="57">
        <v>0.9</v>
      </c>
      <c r="O6" s="36">
        <f t="shared" si="0"/>
        <v>29990</v>
      </c>
      <c r="P6" s="28" t="s">
        <v>0</v>
      </c>
    </row>
    <row r="7" spans="1:16" ht="15.6" x14ac:dyDescent="0.3">
      <c r="A7" s="25" t="s">
        <v>3214</v>
      </c>
      <c r="B7" s="26">
        <v>46093</v>
      </c>
      <c r="C7" s="26">
        <v>46098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28701326</v>
      </c>
      <c r="K7" s="45" t="s">
        <v>683</v>
      </c>
      <c r="L7" s="45" t="s">
        <v>860</v>
      </c>
      <c r="M7" s="54">
        <v>199900</v>
      </c>
      <c r="N7" s="57">
        <v>0.9</v>
      </c>
      <c r="O7" s="36">
        <f t="shared" si="0"/>
        <v>19990</v>
      </c>
      <c r="P7" s="28" t="s">
        <v>0</v>
      </c>
    </row>
    <row r="8" spans="1:16" ht="15.6" x14ac:dyDescent="0.3">
      <c r="A8" s="25" t="s">
        <v>3214</v>
      </c>
      <c r="B8" s="26">
        <v>46093</v>
      </c>
      <c r="C8" s="26">
        <v>46098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28701264</v>
      </c>
      <c r="K8" s="45" t="s">
        <v>683</v>
      </c>
      <c r="L8" s="45" t="s">
        <v>861</v>
      </c>
      <c r="M8" s="54">
        <v>199900</v>
      </c>
      <c r="N8" s="57">
        <v>0.9</v>
      </c>
      <c r="O8" s="36">
        <f t="shared" si="0"/>
        <v>19990</v>
      </c>
      <c r="P8" s="28" t="s">
        <v>0</v>
      </c>
    </row>
    <row r="9" spans="1:16" ht="15.6" x14ac:dyDescent="0.3">
      <c r="A9" s="25" t="s">
        <v>3214</v>
      </c>
      <c r="B9" s="26">
        <v>46093</v>
      </c>
      <c r="C9" s="26">
        <v>46098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28701291</v>
      </c>
      <c r="K9" s="45" t="s">
        <v>683</v>
      </c>
      <c r="L9" s="45" t="s">
        <v>862</v>
      </c>
      <c r="M9" s="54">
        <v>199900</v>
      </c>
      <c r="N9" s="57">
        <v>0.9</v>
      </c>
      <c r="O9" s="36">
        <f t="shared" si="0"/>
        <v>19990</v>
      </c>
      <c r="P9" s="28" t="s">
        <v>0</v>
      </c>
    </row>
    <row r="10" spans="1:16" ht="15.6" x14ac:dyDescent="0.3">
      <c r="A10" s="25" t="s">
        <v>3214</v>
      </c>
      <c r="B10" s="26">
        <v>46093</v>
      </c>
      <c r="C10" s="26">
        <v>46098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28701335</v>
      </c>
      <c r="K10" s="45" t="s">
        <v>683</v>
      </c>
      <c r="L10" s="45" t="s">
        <v>863</v>
      </c>
      <c r="M10" s="54">
        <v>199900</v>
      </c>
      <c r="N10" s="57">
        <v>0.9</v>
      </c>
      <c r="O10" s="36">
        <f t="shared" si="0"/>
        <v>19990</v>
      </c>
      <c r="P10" s="28" t="s">
        <v>0</v>
      </c>
    </row>
    <row r="11" spans="1:16" ht="15.6" x14ac:dyDescent="0.3">
      <c r="A11" s="25" t="s">
        <v>3214</v>
      </c>
      <c r="B11" s="26">
        <v>46093</v>
      </c>
      <c r="C11" s="26">
        <v>46098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28701344</v>
      </c>
      <c r="K11" s="45" t="s">
        <v>683</v>
      </c>
      <c r="L11" s="45" t="s">
        <v>864</v>
      </c>
      <c r="M11" s="54">
        <v>199900</v>
      </c>
      <c r="N11" s="57">
        <v>0.9</v>
      </c>
      <c r="O11" s="36">
        <f t="shared" si="0"/>
        <v>19990</v>
      </c>
      <c r="P11" s="28" t="s">
        <v>0</v>
      </c>
    </row>
    <row r="12" spans="1:16" ht="15.6" x14ac:dyDescent="0.3">
      <c r="A12" s="25" t="s">
        <v>3214</v>
      </c>
      <c r="B12" s="26">
        <v>46093</v>
      </c>
      <c r="C12" s="26">
        <v>46098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28701317</v>
      </c>
      <c r="K12" s="45" t="s">
        <v>683</v>
      </c>
      <c r="L12" s="45" t="s">
        <v>865</v>
      </c>
      <c r="M12" s="54">
        <v>199900</v>
      </c>
      <c r="N12" s="57">
        <v>0.9</v>
      </c>
      <c r="O12" s="36">
        <f t="shared" si="0"/>
        <v>19990</v>
      </c>
      <c r="P12" s="28" t="s">
        <v>0</v>
      </c>
    </row>
    <row r="13" spans="1:16" ht="15.6" x14ac:dyDescent="0.3">
      <c r="A13" s="25" t="s">
        <v>3214</v>
      </c>
      <c r="B13" s="26">
        <v>46093</v>
      </c>
      <c r="C13" s="26">
        <v>46098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28701273</v>
      </c>
      <c r="K13" s="45" t="s">
        <v>683</v>
      </c>
      <c r="L13" s="45" t="s">
        <v>866</v>
      </c>
      <c r="M13" s="54">
        <v>199900</v>
      </c>
      <c r="N13" s="57">
        <v>0.9</v>
      </c>
      <c r="O13" s="36">
        <f t="shared" si="0"/>
        <v>19990</v>
      </c>
      <c r="P13" s="28" t="s">
        <v>0</v>
      </c>
    </row>
    <row r="14" spans="1:16" ht="15.6" x14ac:dyDescent="0.3">
      <c r="A14" s="25" t="s">
        <v>3214</v>
      </c>
      <c r="B14" s="26">
        <v>46093</v>
      </c>
      <c r="C14" s="26">
        <v>46098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28701255</v>
      </c>
      <c r="K14" s="45" t="s">
        <v>683</v>
      </c>
      <c r="L14" s="45" t="s">
        <v>867</v>
      </c>
      <c r="M14" s="54">
        <v>199900</v>
      </c>
      <c r="N14" s="57">
        <v>0.9</v>
      </c>
      <c r="O14" s="36">
        <f t="shared" si="0"/>
        <v>19990</v>
      </c>
      <c r="P14" s="28" t="s">
        <v>0</v>
      </c>
    </row>
    <row r="15" spans="1:16" ht="15.6" x14ac:dyDescent="0.3">
      <c r="A15" s="25" t="s">
        <v>3214</v>
      </c>
      <c r="B15" s="26">
        <v>46093</v>
      </c>
      <c r="C15" s="26">
        <v>46098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28701308</v>
      </c>
      <c r="K15" s="45" t="s">
        <v>683</v>
      </c>
      <c r="L15" s="45" t="s">
        <v>868</v>
      </c>
      <c r="M15" s="54">
        <v>199900</v>
      </c>
      <c r="N15" s="57">
        <v>0.9</v>
      </c>
      <c r="O15" s="36">
        <f t="shared" si="0"/>
        <v>19990</v>
      </c>
      <c r="P15" s="28" t="s">
        <v>0</v>
      </c>
    </row>
    <row r="16" spans="1:16" ht="15.6" x14ac:dyDescent="0.3">
      <c r="A16" s="25" t="s">
        <v>3214</v>
      </c>
      <c r="B16" s="26">
        <v>46093</v>
      </c>
      <c r="C16" s="26">
        <v>46098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28701282</v>
      </c>
      <c r="K16" s="45" t="s">
        <v>683</v>
      </c>
      <c r="L16" s="45" t="s">
        <v>869</v>
      </c>
      <c r="M16" s="54">
        <v>199900</v>
      </c>
      <c r="N16" s="57">
        <v>0.9</v>
      </c>
      <c r="O16" s="36">
        <f t="shared" si="0"/>
        <v>19990</v>
      </c>
      <c r="P16" s="28" t="s">
        <v>0</v>
      </c>
    </row>
    <row r="17" spans="1:16" ht="15.6" x14ac:dyDescent="0.3">
      <c r="A17" s="25" t="s">
        <v>3214</v>
      </c>
      <c r="B17" s="26">
        <v>46093</v>
      </c>
      <c r="C17" s="26">
        <v>46098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66651523</v>
      </c>
      <c r="K17" s="53" t="s">
        <v>870</v>
      </c>
      <c r="L17" s="43" t="s">
        <v>871</v>
      </c>
      <c r="M17" s="54">
        <v>239900</v>
      </c>
      <c r="N17" s="57">
        <v>0.9</v>
      </c>
      <c r="O17" s="36">
        <f t="shared" si="0"/>
        <v>23990</v>
      </c>
      <c r="P17" s="28" t="s">
        <v>0</v>
      </c>
    </row>
    <row r="18" spans="1:16" ht="15.6" x14ac:dyDescent="0.3">
      <c r="A18" s="25" t="s">
        <v>3214</v>
      </c>
      <c r="B18" s="26">
        <v>46093</v>
      </c>
      <c r="C18" s="26">
        <v>46098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66651505</v>
      </c>
      <c r="K18" s="53" t="s">
        <v>870</v>
      </c>
      <c r="L18" s="43" t="s">
        <v>872</v>
      </c>
      <c r="M18" s="54">
        <v>239900</v>
      </c>
      <c r="N18" s="57">
        <v>0.9</v>
      </c>
      <c r="O18" s="36">
        <f t="shared" si="0"/>
        <v>23990</v>
      </c>
      <c r="P18" s="28" t="s">
        <v>0</v>
      </c>
    </row>
    <row r="19" spans="1:16" ht="15.6" x14ac:dyDescent="0.3">
      <c r="A19" s="25" t="s">
        <v>3214</v>
      </c>
      <c r="B19" s="26">
        <v>46093</v>
      </c>
      <c r="C19" s="26">
        <v>46098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66651569</v>
      </c>
      <c r="K19" s="53" t="s">
        <v>870</v>
      </c>
      <c r="L19" s="43" t="s">
        <v>873</v>
      </c>
      <c r="M19" s="54">
        <v>239900</v>
      </c>
      <c r="N19" s="57">
        <v>0.9</v>
      </c>
      <c r="O19" s="36">
        <f t="shared" si="0"/>
        <v>23990</v>
      </c>
      <c r="P19" s="28" t="s">
        <v>0</v>
      </c>
    </row>
    <row r="20" spans="1:16" ht="15.6" x14ac:dyDescent="0.3">
      <c r="A20" s="25" t="s">
        <v>3214</v>
      </c>
      <c r="B20" s="26">
        <v>46093</v>
      </c>
      <c r="C20" s="26">
        <v>46098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66651498</v>
      </c>
      <c r="K20" s="53" t="s">
        <v>870</v>
      </c>
      <c r="L20" s="43" t="s">
        <v>874</v>
      </c>
      <c r="M20" s="54">
        <v>239900</v>
      </c>
      <c r="N20" s="57">
        <v>0.9</v>
      </c>
      <c r="O20" s="36">
        <f t="shared" si="0"/>
        <v>23990</v>
      </c>
      <c r="P20" s="28" t="s">
        <v>0</v>
      </c>
    </row>
    <row r="21" spans="1:16" ht="15.6" x14ac:dyDescent="0.3">
      <c r="A21" s="25" t="s">
        <v>3214</v>
      </c>
      <c r="B21" s="26">
        <v>46093</v>
      </c>
      <c r="C21" s="26">
        <v>46098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66651578</v>
      </c>
      <c r="K21" s="53" t="s">
        <v>870</v>
      </c>
      <c r="L21" s="43" t="s">
        <v>875</v>
      </c>
      <c r="M21" s="54">
        <v>239900</v>
      </c>
      <c r="N21" s="57">
        <v>0.9</v>
      </c>
      <c r="O21" s="36">
        <f t="shared" si="0"/>
        <v>23990</v>
      </c>
      <c r="P21" s="28" t="s">
        <v>0</v>
      </c>
    </row>
    <row r="22" spans="1:16" ht="15.6" x14ac:dyDescent="0.3">
      <c r="A22" s="25" t="s">
        <v>3214</v>
      </c>
      <c r="B22" s="26">
        <v>46093</v>
      </c>
      <c r="C22" s="26">
        <v>46098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66651514</v>
      </c>
      <c r="K22" s="53" t="s">
        <v>870</v>
      </c>
      <c r="L22" s="43" t="s">
        <v>876</v>
      </c>
      <c r="M22" s="54">
        <v>239900</v>
      </c>
      <c r="N22" s="57">
        <v>0.9</v>
      </c>
      <c r="O22" s="36">
        <f t="shared" si="0"/>
        <v>23990</v>
      </c>
      <c r="P22" s="28" t="s">
        <v>0</v>
      </c>
    </row>
    <row r="23" spans="1:16" ht="15.6" x14ac:dyDescent="0.3">
      <c r="A23" s="25" t="s">
        <v>3214</v>
      </c>
      <c r="B23" s="26">
        <v>46093</v>
      </c>
      <c r="C23" s="26">
        <v>46098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66651587</v>
      </c>
      <c r="K23" s="53" t="s">
        <v>870</v>
      </c>
      <c r="L23" s="43" t="s">
        <v>877</v>
      </c>
      <c r="M23" s="54">
        <v>239900</v>
      </c>
      <c r="N23" s="57">
        <v>0.9</v>
      </c>
      <c r="O23" s="36">
        <f t="shared" si="0"/>
        <v>23990</v>
      </c>
      <c r="P23" s="28" t="s">
        <v>0</v>
      </c>
    </row>
    <row r="24" spans="1:16" ht="15.6" x14ac:dyDescent="0.3">
      <c r="A24" s="25" t="s">
        <v>3214</v>
      </c>
      <c r="B24" s="26">
        <v>46093</v>
      </c>
      <c r="C24" s="26">
        <v>46098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66651532</v>
      </c>
      <c r="K24" s="53" t="s">
        <v>870</v>
      </c>
      <c r="L24" s="43" t="s">
        <v>878</v>
      </c>
      <c r="M24" s="54">
        <v>239900</v>
      </c>
      <c r="N24" s="57">
        <v>0.9</v>
      </c>
      <c r="O24" s="36">
        <f t="shared" si="0"/>
        <v>23990</v>
      </c>
      <c r="P24" s="28" t="s">
        <v>0</v>
      </c>
    </row>
    <row r="25" spans="1:16" ht="15.6" x14ac:dyDescent="0.3">
      <c r="A25" s="25" t="s">
        <v>3214</v>
      </c>
      <c r="B25" s="26">
        <v>46093</v>
      </c>
      <c r="C25" s="26">
        <v>46098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66651541</v>
      </c>
      <c r="K25" s="53" t="s">
        <v>870</v>
      </c>
      <c r="L25" s="43" t="s">
        <v>879</v>
      </c>
      <c r="M25" s="54">
        <v>239900</v>
      </c>
      <c r="N25" s="57">
        <v>0.9</v>
      </c>
      <c r="O25" s="36">
        <f t="shared" si="0"/>
        <v>23990</v>
      </c>
      <c r="P25" s="28" t="s">
        <v>0</v>
      </c>
    </row>
    <row r="26" spans="1:16" ht="15.6" x14ac:dyDescent="0.3">
      <c r="A26" s="25" t="s">
        <v>3214</v>
      </c>
      <c r="B26" s="26">
        <v>46093</v>
      </c>
      <c r="C26" s="26">
        <v>46098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66651550</v>
      </c>
      <c r="K26" s="53" t="s">
        <v>870</v>
      </c>
      <c r="L26" s="43" t="s">
        <v>880</v>
      </c>
      <c r="M26" s="54">
        <v>239900</v>
      </c>
      <c r="N26" s="57">
        <v>0.9</v>
      </c>
      <c r="O26" s="36">
        <f t="shared" si="0"/>
        <v>23990</v>
      </c>
      <c r="P26" s="28" t="s">
        <v>0</v>
      </c>
    </row>
    <row r="27" spans="1:16" ht="15.6" x14ac:dyDescent="0.3">
      <c r="A27" s="25" t="s">
        <v>3214</v>
      </c>
      <c r="B27" s="26">
        <v>46093</v>
      </c>
      <c r="C27" s="26">
        <v>46098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66657778</v>
      </c>
      <c r="K27" s="53" t="s">
        <v>881</v>
      </c>
      <c r="L27" s="43" t="s">
        <v>882</v>
      </c>
      <c r="M27" s="54">
        <v>299900</v>
      </c>
      <c r="N27" s="57">
        <v>0.9</v>
      </c>
      <c r="O27" s="36">
        <f t="shared" si="0"/>
        <v>29990</v>
      </c>
      <c r="P27" s="28" t="s">
        <v>0</v>
      </c>
    </row>
    <row r="28" spans="1:16" ht="15.6" x14ac:dyDescent="0.3">
      <c r="A28" s="25" t="s">
        <v>3214</v>
      </c>
      <c r="B28" s="26">
        <v>46093</v>
      </c>
      <c r="C28" s="26">
        <v>46098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66657741</v>
      </c>
      <c r="K28" s="53" t="s">
        <v>881</v>
      </c>
      <c r="L28" s="43" t="s">
        <v>883</v>
      </c>
      <c r="M28" s="54">
        <v>299900</v>
      </c>
      <c r="N28" s="57">
        <v>0.9</v>
      </c>
      <c r="O28" s="36">
        <f t="shared" si="0"/>
        <v>29990</v>
      </c>
      <c r="P28" s="28" t="s">
        <v>0</v>
      </c>
    </row>
    <row r="29" spans="1:16" ht="15.6" x14ac:dyDescent="0.3">
      <c r="A29" s="25" t="s">
        <v>3214</v>
      </c>
      <c r="B29" s="26">
        <v>46093</v>
      </c>
      <c r="C29" s="26">
        <v>46098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66657723</v>
      </c>
      <c r="K29" s="53" t="s">
        <v>881</v>
      </c>
      <c r="L29" s="43" t="s">
        <v>884</v>
      </c>
      <c r="M29" s="54">
        <v>299900</v>
      </c>
      <c r="N29" s="57">
        <v>0.9</v>
      </c>
      <c r="O29" s="36">
        <f t="shared" si="0"/>
        <v>29990</v>
      </c>
      <c r="P29" s="28" t="s">
        <v>0</v>
      </c>
    </row>
    <row r="30" spans="1:16" ht="15.6" x14ac:dyDescent="0.3">
      <c r="A30" s="25" t="s">
        <v>3214</v>
      </c>
      <c r="B30" s="26">
        <v>46093</v>
      </c>
      <c r="C30" s="26">
        <v>46098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66657732</v>
      </c>
      <c r="K30" s="53" t="s">
        <v>881</v>
      </c>
      <c r="L30" s="43" t="s">
        <v>885</v>
      </c>
      <c r="M30" s="54">
        <v>299900</v>
      </c>
      <c r="N30" s="57">
        <v>0.9</v>
      </c>
      <c r="O30" s="36">
        <f t="shared" si="0"/>
        <v>29990</v>
      </c>
      <c r="P30" s="28" t="s">
        <v>0</v>
      </c>
    </row>
    <row r="31" spans="1:16" ht="15.6" x14ac:dyDescent="0.3">
      <c r="A31" s="25" t="s">
        <v>3214</v>
      </c>
      <c r="B31" s="26">
        <v>46093</v>
      </c>
      <c r="C31" s="26">
        <v>46098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66657803</v>
      </c>
      <c r="K31" s="53" t="s">
        <v>881</v>
      </c>
      <c r="L31" s="43" t="s">
        <v>886</v>
      </c>
      <c r="M31" s="54">
        <v>299900</v>
      </c>
      <c r="N31" s="57">
        <v>0.9</v>
      </c>
      <c r="O31" s="36">
        <f t="shared" si="0"/>
        <v>29990</v>
      </c>
      <c r="P31" s="28" t="s">
        <v>0</v>
      </c>
    </row>
    <row r="32" spans="1:16" ht="15.6" x14ac:dyDescent="0.3">
      <c r="A32" s="25" t="s">
        <v>3214</v>
      </c>
      <c r="B32" s="26">
        <v>46093</v>
      </c>
      <c r="C32" s="26">
        <v>46098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66657750</v>
      </c>
      <c r="K32" s="53" t="s">
        <v>881</v>
      </c>
      <c r="L32" s="43" t="s">
        <v>887</v>
      </c>
      <c r="M32" s="54">
        <v>299900</v>
      </c>
      <c r="N32" s="57">
        <v>0.9</v>
      </c>
      <c r="O32" s="36">
        <f t="shared" si="0"/>
        <v>29990</v>
      </c>
      <c r="P32" s="28" t="s">
        <v>0</v>
      </c>
    </row>
    <row r="33" spans="1:16" ht="15.6" x14ac:dyDescent="0.3">
      <c r="A33" s="25" t="s">
        <v>3214</v>
      </c>
      <c r="B33" s="26">
        <v>46093</v>
      </c>
      <c r="C33" s="26">
        <v>46098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66657796</v>
      </c>
      <c r="K33" s="53" t="s">
        <v>881</v>
      </c>
      <c r="L33" s="43" t="s">
        <v>888</v>
      </c>
      <c r="M33" s="54">
        <v>299900</v>
      </c>
      <c r="N33" s="57">
        <v>0.9</v>
      </c>
      <c r="O33" s="36">
        <f t="shared" si="0"/>
        <v>29990</v>
      </c>
      <c r="P33" s="28" t="s">
        <v>0</v>
      </c>
    </row>
    <row r="34" spans="1:16" s="22" customFormat="1" ht="15.6" x14ac:dyDescent="0.3">
      <c r="A34" s="25" t="s">
        <v>3214</v>
      </c>
      <c r="B34" s="26">
        <v>46093</v>
      </c>
      <c r="C34" s="26">
        <v>46098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66657787</v>
      </c>
      <c r="K34" s="53" t="s">
        <v>881</v>
      </c>
      <c r="L34" s="43" t="s">
        <v>889</v>
      </c>
      <c r="M34" s="54">
        <v>299900</v>
      </c>
      <c r="N34" s="57">
        <v>0.9</v>
      </c>
      <c r="O34" s="36">
        <f t="shared" si="0"/>
        <v>29990</v>
      </c>
      <c r="P34" s="28" t="s">
        <v>0</v>
      </c>
    </row>
    <row r="35" spans="1:16" s="22" customFormat="1" ht="15.6" x14ac:dyDescent="0.3">
      <c r="A35" s="25" t="s">
        <v>3214</v>
      </c>
      <c r="B35" s="26">
        <v>46093</v>
      </c>
      <c r="C35" s="26">
        <v>46098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33442883</v>
      </c>
      <c r="K35" s="53" t="s">
        <v>792</v>
      </c>
      <c r="L35" s="43" t="s">
        <v>890</v>
      </c>
      <c r="M35" s="54">
        <v>199900</v>
      </c>
      <c r="N35" s="57">
        <v>0.9</v>
      </c>
      <c r="O35" s="36">
        <f t="shared" si="0"/>
        <v>19990</v>
      </c>
      <c r="P35" s="28" t="s">
        <v>0</v>
      </c>
    </row>
    <row r="36" spans="1:16" s="22" customFormat="1" ht="15.6" x14ac:dyDescent="0.3">
      <c r="A36" s="25" t="s">
        <v>3214</v>
      </c>
      <c r="B36" s="26">
        <v>46093</v>
      </c>
      <c r="C36" s="26">
        <v>46098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33442909</v>
      </c>
      <c r="K36" s="53" t="s">
        <v>792</v>
      </c>
      <c r="L36" s="43" t="s">
        <v>891</v>
      </c>
      <c r="M36" s="54">
        <v>199900</v>
      </c>
      <c r="N36" s="57">
        <v>0.9</v>
      </c>
      <c r="O36" s="36">
        <f t="shared" si="0"/>
        <v>19990</v>
      </c>
      <c r="P36" s="28" t="s">
        <v>0</v>
      </c>
    </row>
    <row r="37" spans="1:16" s="22" customFormat="1" ht="15.6" x14ac:dyDescent="0.3">
      <c r="A37" s="25" t="s">
        <v>3214</v>
      </c>
      <c r="B37" s="26">
        <v>46093</v>
      </c>
      <c r="C37" s="26">
        <v>46098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33442874</v>
      </c>
      <c r="K37" s="53" t="s">
        <v>792</v>
      </c>
      <c r="L37" s="43" t="s">
        <v>892</v>
      </c>
      <c r="M37" s="54">
        <v>199900</v>
      </c>
      <c r="N37" s="57">
        <v>0.9</v>
      </c>
      <c r="O37" s="36">
        <f t="shared" si="0"/>
        <v>19990</v>
      </c>
      <c r="P37" s="28" t="s">
        <v>0</v>
      </c>
    </row>
    <row r="38" spans="1:16" s="22" customFormat="1" ht="15.6" x14ac:dyDescent="0.3">
      <c r="A38" s="25" t="s">
        <v>3214</v>
      </c>
      <c r="B38" s="26">
        <v>46093</v>
      </c>
      <c r="C38" s="26">
        <v>46098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33442865</v>
      </c>
      <c r="K38" s="53" t="s">
        <v>792</v>
      </c>
      <c r="L38" s="43" t="s">
        <v>893</v>
      </c>
      <c r="M38" s="54">
        <v>199900</v>
      </c>
      <c r="N38" s="57">
        <v>0.9</v>
      </c>
      <c r="O38" s="36">
        <f t="shared" si="0"/>
        <v>19990</v>
      </c>
      <c r="P38" s="28" t="s">
        <v>0</v>
      </c>
    </row>
    <row r="39" spans="1:16" s="22" customFormat="1" ht="15.6" x14ac:dyDescent="0.3">
      <c r="A39" s="25" t="s">
        <v>3214</v>
      </c>
      <c r="B39" s="26">
        <v>46093</v>
      </c>
      <c r="C39" s="26">
        <v>46098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33442892</v>
      </c>
      <c r="K39" s="53" t="s">
        <v>792</v>
      </c>
      <c r="L39" s="43" t="s">
        <v>894</v>
      </c>
      <c r="M39" s="54">
        <v>199900</v>
      </c>
      <c r="N39" s="57">
        <v>0.9</v>
      </c>
      <c r="O39" s="36">
        <f t="shared" si="0"/>
        <v>19990</v>
      </c>
      <c r="P39" s="28" t="s">
        <v>0</v>
      </c>
    </row>
    <row r="40" spans="1:16" ht="15.6" x14ac:dyDescent="0.3">
      <c r="A40" s="25" t="s">
        <v>3214</v>
      </c>
      <c r="B40" s="26">
        <v>46093</v>
      </c>
      <c r="C40" s="26">
        <v>46098</v>
      </c>
      <c r="D40" s="25">
        <v>3319</v>
      </c>
      <c r="E40" s="25">
        <v>327</v>
      </c>
      <c r="F40" s="25">
        <v>2</v>
      </c>
      <c r="G40" s="48">
        <v>1</v>
      </c>
      <c r="H40" s="48">
        <v>70044</v>
      </c>
      <c r="I40" s="48" t="s">
        <v>17</v>
      </c>
      <c r="J40" s="50">
        <v>70802398</v>
      </c>
      <c r="K40" s="53" t="s">
        <v>895</v>
      </c>
      <c r="L40" s="43" t="s">
        <v>896</v>
      </c>
      <c r="M40" s="54">
        <v>199900</v>
      </c>
      <c r="N40" s="57">
        <v>0.9</v>
      </c>
      <c r="O40" s="36">
        <f t="shared" si="0"/>
        <v>19990</v>
      </c>
      <c r="P40" s="28" t="s">
        <v>0</v>
      </c>
    </row>
    <row r="41" spans="1:16" ht="15.6" x14ac:dyDescent="0.3">
      <c r="A41" s="25" t="s">
        <v>3214</v>
      </c>
      <c r="B41" s="26">
        <v>46093</v>
      </c>
      <c r="C41" s="26">
        <v>46098</v>
      </c>
      <c r="D41" s="25">
        <v>3319</v>
      </c>
      <c r="E41" s="25">
        <v>327</v>
      </c>
      <c r="F41" s="25">
        <v>2</v>
      </c>
      <c r="G41" s="48">
        <v>1</v>
      </c>
      <c r="H41" s="48">
        <v>70044</v>
      </c>
      <c r="I41" s="48" t="s">
        <v>17</v>
      </c>
      <c r="J41" s="50">
        <v>70802432</v>
      </c>
      <c r="K41" s="53" t="s">
        <v>895</v>
      </c>
      <c r="L41" s="43" t="s">
        <v>897</v>
      </c>
      <c r="M41" s="54">
        <v>199900</v>
      </c>
      <c r="N41" s="57">
        <v>0.9</v>
      </c>
      <c r="O41" s="36">
        <f t="shared" si="0"/>
        <v>19990</v>
      </c>
      <c r="P41" s="28" t="s">
        <v>0</v>
      </c>
    </row>
    <row r="42" spans="1:16" ht="15.6" x14ac:dyDescent="0.3">
      <c r="A42" s="25" t="s">
        <v>3214</v>
      </c>
      <c r="B42" s="26">
        <v>46093</v>
      </c>
      <c r="C42" s="26">
        <v>46098</v>
      </c>
      <c r="D42" s="25">
        <v>3319</v>
      </c>
      <c r="E42" s="25">
        <v>327</v>
      </c>
      <c r="F42" s="25">
        <v>2</v>
      </c>
      <c r="G42" s="48">
        <v>1</v>
      </c>
      <c r="H42" s="48">
        <v>70044</v>
      </c>
      <c r="I42" s="48" t="s">
        <v>17</v>
      </c>
      <c r="J42" s="50">
        <v>70802414</v>
      </c>
      <c r="K42" s="53" t="s">
        <v>895</v>
      </c>
      <c r="L42" s="43" t="s">
        <v>898</v>
      </c>
      <c r="M42" s="54">
        <v>199900</v>
      </c>
      <c r="N42" s="57">
        <v>0.9</v>
      </c>
      <c r="O42" s="36">
        <f t="shared" si="0"/>
        <v>19990</v>
      </c>
      <c r="P42" s="28" t="s">
        <v>0</v>
      </c>
    </row>
    <row r="43" spans="1:16" ht="15.6" x14ac:dyDescent="0.3">
      <c r="A43" s="25" t="s">
        <v>3214</v>
      </c>
      <c r="B43" s="26">
        <v>46093</v>
      </c>
      <c r="C43" s="26">
        <v>46098</v>
      </c>
      <c r="D43" s="25">
        <v>3319</v>
      </c>
      <c r="E43" s="25">
        <v>327</v>
      </c>
      <c r="F43" s="25">
        <v>2</v>
      </c>
      <c r="G43" s="48">
        <v>1</v>
      </c>
      <c r="H43" s="48">
        <v>70044</v>
      </c>
      <c r="I43" s="48" t="s">
        <v>17</v>
      </c>
      <c r="J43" s="50">
        <v>70802405</v>
      </c>
      <c r="K43" s="53" t="s">
        <v>895</v>
      </c>
      <c r="L43" s="43" t="s">
        <v>899</v>
      </c>
      <c r="M43" s="54">
        <v>199900</v>
      </c>
      <c r="N43" s="57">
        <v>0.9</v>
      </c>
      <c r="O43" s="36">
        <f t="shared" si="0"/>
        <v>19990</v>
      </c>
      <c r="P43" s="28" t="s">
        <v>0</v>
      </c>
    </row>
    <row r="44" spans="1:16" ht="15.6" x14ac:dyDescent="0.3">
      <c r="A44" s="25" t="s">
        <v>3214</v>
      </c>
      <c r="B44" s="26">
        <v>46093</v>
      </c>
      <c r="C44" s="26">
        <v>46098</v>
      </c>
      <c r="D44" s="25">
        <v>3319</v>
      </c>
      <c r="E44" s="25">
        <v>327</v>
      </c>
      <c r="F44" s="25">
        <v>2</v>
      </c>
      <c r="G44" s="48">
        <v>1</v>
      </c>
      <c r="H44" s="48">
        <v>70044</v>
      </c>
      <c r="I44" s="48" t="s">
        <v>17</v>
      </c>
      <c r="J44" s="50">
        <v>70802423</v>
      </c>
      <c r="K44" s="53" t="s">
        <v>895</v>
      </c>
      <c r="L44" s="43" t="s">
        <v>900</v>
      </c>
      <c r="M44" s="54">
        <v>199900</v>
      </c>
      <c r="N44" s="57">
        <v>0.9</v>
      </c>
      <c r="O44" s="36">
        <f t="shared" si="0"/>
        <v>19990</v>
      </c>
      <c r="P44" s="28" t="s">
        <v>0</v>
      </c>
    </row>
    <row r="45" spans="1:16" ht="15.6" x14ac:dyDescent="0.3">
      <c r="A45" s="25" t="s">
        <v>3214</v>
      </c>
      <c r="B45" s="26">
        <v>46093</v>
      </c>
      <c r="C45" s="26">
        <v>46098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66657769</v>
      </c>
      <c r="K45" s="53" t="s">
        <v>881</v>
      </c>
      <c r="L45" s="43" t="s">
        <v>901</v>
      </c>
      <c r="M45" s="54">
        <v>299900</v>
      </c>
      <c r="N45" s="57">
        <v>0.9</v>
      </c>
      <c r="O45" s="36">
        <f t="shared" si="0"/>
        <v>29990</v>
      </c>
      <c r="P45" s="28" t="s">
        <v>0</v>
      </c>
    </row>
    <row r="46" spans="1:16" ht="15.6" x14ac:dyDescent="0.3">
      <c r="A46" s="25" t="s">
        <v>3214</v>
      </c>
      <c r="B46" s="26">
        <v>46093</v>
      </c>
      <c r="C46" s="26">
        <v>46098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66657812</v>
      </c>
      <c r="K46" s="53" t="s">
        <v>881</v>
      </c>
      <c r="L46" s="43" t="s">
        <v>902</v>
      </c>
      <c r="M46" s="54">
        <v>299900</v>
      </c>
      <c r="N46" s="57">
        <v>0.9</v>
      </c>
      <c r="O46" s="36">
        <f t="shared" si="0"/>
        <v>29990</v>
      </c>
      <c r="P46" s="28" t="s">
        <v>0</v>
      </c>
    </row>
    <row r="47" spans="1:16" ht="15.6" x14ac:dyDescent="0.3">
      <c r="A47" s="25" t="s">
        <v>3214</v>
      </c>
      <c r="B47" s="26">
        <v>46093</v>
      </c>
      <c r="C47" s="26">
        <v>46098</v>
      </c>
      <c r="D47" s="25">
        <v>3319</v>
      </c>
      <c r="E47" s="25">
        <v>327</v>
      </c>
      <c r="F47" s="25">
        <v>2</v>
      </c>
      <c r="G47" s="48">
        <v>1</v>
      </c>
      <c r="H47" s="48">
        <v>80700</v>
      </c>
      <c r="I47" s="48" t="s">
        <v>17</v>
      </c>
      <c r="J47" s="50">
        <v>67292580</v>
      </c>
      <c r="K47" s="53" t="s">
        <v>903</v>
      </c>
      <c r="L47" s="43" t="s">
        <v>904</v>
      </c>
      <c r="M47" s="54">
        <v>139900</v>
      </c>
      <c r="N47" s="57">
        <v>0.9</v>
      </c>
      <c r="O47" s="36">
        <f t="shared" si="0"/>
        <v>13990</v>
      </c>
      <c r="P47" s="28" t="s">
        <v>0</v>
      </c>
    </row>
    <row r="48" spans="1:16" ht="15.6" x14ac:dyDescent="0.3">
      <c r="A48" s="25" t="s">
        <v>3214</v>
      </c>
      <c r="B48" s="26">
        <v>46093</v>
      </c>
      <c r="C48" s="26">
        <v>46098</v>
      </c>
      <c r="D48" s="25">
        <v>3319</v>
      </c>
      <c r="E48" s="25">
        <v>327</v>
      </c>
      <c r="F48" s="25">
        <v>2</v>
      </c>
      <c r="G48" s="48">
        <v>1</v>
      </c>
      <c r="H48" s="48">
        <v>80700</v>
      </c>
      <c r="I48" s="48" t="s">
        <v>17</v>
      </c>
      <c r="J48" s="50">
        <v>67292599</v>
      </c>
      <c r="K48" s="53" t="s">
        <v>903</v>
      </c>
      <c r="L48" s="43" t="s">
        <v>905</v>
      </c>
      <c r="M48" s="54">
        <v>139900</v>
      </c>
      <c r="N48" s="57">
        <v>0.9</v>
      </c>
      <c r="O48" s="36">
        <f t="shared" si="0"/>
        <v>13990</v>
      </c>
      <c r="P48" s="28" t="s">
        <v>0</v>
      </c>
    </row>
    <row r="49" spans="1:16" ht="15.6" x14ac:dyDescent="0.3">
      <c r="A49" s="25" t="s">
        <v>3214</v>
      </c>
      <c r="B49" s="26">
        <v>46093</v>
      </c>
      <c r="C49" s="26">
        <v>46098</v>
      </c>
      <c r="D49" s="25">
        <v>3319</v>
      </c>
      <c r="E49" s="25">
        <v>327</v>
      </c>
      <c r="F49" s="25">
        <v>2</v>
      </c>
      <c r="G49" s="48">
        <v>1</v>
      </c>
      <c r="H49" s="48">
        <v>80700</v>
      </c>
      <c r="I49" s="48" t="s">
        <v>17</v>
      </c>
      <c r="J49" s="50">
        <v>67292615</v>
      </c>
      <c r="K49" s="53" t="s">
        <v>903</v>
      </c>
      <c r="L49" s="43" t="s">
        <v>906</v>
      </c>
      <c r="M49" s="54">
        <v>139900</v>
      </c>
      <c r="N49" s="57">
        <v>0.9</v>
      </c>
      <c r="O49" s="36">
        <f t="shared" si="0"/>
        <v>13990</v>
      </c>
      <c r="P49" s="28" t="s">
        <v>0</v>
      </c>
    </row>
    <row r="50" spans="1:16" ht="15.6" x14ac:dyDescent="0.3">
      <c r="A50" s="25" t="s">
        <v>3214</v>
      </c>
      <c r="B50" s="26">
        <v>46093</v>
      </c>
      <c r="C50" s="26">
        <v>46098</v>
      </c>
      <c r="D50" s="25">
        <v>3319</v>
      </c>
      <c r="E50" s="25">
        <v>327</v>
      </c>
      <c r="F50" s="25">
        <v>2</v>
      </c>
      <c r="G50" s="48">
        <v>1</v>
      </c>
      <c r="H50" s="48">
        <v>80700</v>
      </c>
      <c r="I50" s="48" t="s">
        <v>17</v>
      </c>
      <c r="J50" s="50">
        <v>67292606</v>
      </c>
      <c r="K50" s="53" t="s">
        <v>903</v>
      </c>
      <c r="L50" s="43" t="s">
        <v>907</v>
      </c>
      <c r="M50" s="54">
        <v>139900</v>
      </c>
      <c r="N50" s="57">
        <v>0.9</v>
      </c>
      <c r="O50" s="36">
        <f t="shared" si="0"/>
        <v>13990</v>
      </c>
      <c r="P50" s="28" t="s">
        <v>0</v>
      </c>
    </row>
    <row r="51" spans="1:16" ht="15.6" x14ac:dyDescent="0.3">
      <c r="A51" s="25" t="s">
        <v>3214</v>
      </c>
      <c r="B51" s="26">
        <v>46093</v>
      </c>
      <c r="C51" s="26">
        <v>46098</v>
      </c>
      <c r="D51" s="25">
        <v>3319</v>
      </c>
      <c r="E51" s="25">
        <v>327</v>
      </c>
      <c r="F51" s="25">
        <v>2</v>
      </c>
      <c r="G51" s="48">
        <v>1</v>
      </c>
      <c r="H51" s="48">
        <v>80700</v>
      </c>
      <c r="I51" s="48" t="s">
        <v>17</v>
      </c>
      <c r="J51" s="50">
        <v>67292571</v>
      </c>
      <c r="K51" s="53" t="s">
        <v>903</v>
      </c>
      <c r="L51" s="43" t="s">
        <v>908</v>
      </c>
      <c r="M51" s="54">
        <v>139900</v>
      </c>
      <c r="N51" s="57">
        <v>0.9</v>
      </c>
      <c r="O51" s="36">
        <f t="shared" si="0"/>
        <v>13990</v>
      </c>
      <c r="P51" s="28" t="s">
        <v>0</v>
      </c>
    </row>
    <row r="52" spans="1:16" ht="15.6" x14ac:dyDescent="0.3">
      <c r="A52" s="25" t="s">
        <v>3214</v>
      </c>
      <c r="B52" s="26">
        <v>46093</v>
      </c>
      <c r="C52" s="26">
        <v>46098</v>
      </c>
      <c r="D52" s="25">
        <v>3319</v>
      </c>
      <c r="E52" s="25">
        <v>327</v>
      </c>
      <c r="F52" s="25">
        <v>2</v>
      </c>
      <c r="G52" s="48">
        <v>1</v>
      </c>
      <c r="H52" s="48">
        <v>80700</v>
      </c>
      <c r="I52" s="48" t="s">
        <v>17</v>
      </c>
      <c r="J52" s="50">
        <v>67292624</v>
      </c>
      <c r="K52" s="53" t="s">
        <v>903</v>
      </c>
      <c r="L52" s="43" t="s">
        <v>909</v>
      </c>
      <c r="M52" s="54">
        <v>139900</v>
      </c>
      <c r="N52" s="57">
        <v>0.9</v>
      </c>
      <c r="O52" s="36">
        <f t="shared" si="0"/>
        <v>13990</v>
      </c>
      <c r="P52" s="28" t="s">
        <v>0</v>
      </c>
    </row>
    <row r="53" spans="1:16" ht="15.6" x14ac:dyDescent="0.3">
      <c r="A53" s="25" t="s">
        <v>3214</v>
      </c>
      <c r="B53" s="26">
        <v>46093</v>
      </c>
      <c r="C53" s="26">
        <v>46098</v>
      </c>
      <c r="D53" s="25">
        <v>3319</v>
      </c>
      <c r="E53" s="25">
        <v>327</v>
      </c>
      <c r="F53" s="25">
        <v>2</v>
      </c>
      <c r="G53" s="48">
        <v>1</v>
      </c>
      <c r="H53" s="48">
        <v>80700</v>
      </c>
      <c r="I53" s="48" t="s">
        <v>17</v>
      </c>
      <c r="J53" s="50">
        <v>67292633</v>
      </c>
      <c r="K53" s="53" t="s">
        <v>903</v>
      </c>
      <c r="L53" s="43" t="s">
        <v>910</v>
      </c>
      <c r="M53" s="54">
        <v>139900</v>
      </c>
      <c r="N53" s="57">
        <v>0.9</v>
      </c>
      <c r="O53" s="36">
        <f t="shared" si="0"/>
        <v>13990</v>
      </c>
      <c r="P53" s="28" t="s">
        <v>0</v>
      </c>
    </row>
    <row r="54" spans="1:16" ht="15.6" x14ac:dyDescent="0.3">
      <c r="A54" s="25" t="s">
        <v>3214</v>
      </c>
      <c r="B54" s="26">
        <v>46093</v>
      </c>
      <c r="C54" s="26">
        <v>46098</v>
      </c>
      <c r="D54" s="25">
        <v>3319</v>
      </c>
      <c r="E54" s="25">
        <v>327</v>
      </c>
      <c r="F54" s="25">
        <v>2</v>
      </c>
      <c r="G54" s="48">
        <v>1</v>
      </c>
      <c r="H54" s="48">
        <v>80700</v>
      </c>
      <c r="I54" s="48" t="s">
        <v>17</v>
      </c>
      <c r="J54" s="50">
        <v>67292642</v>
      </c>
      <c r="K54" s="53" t="s">
        <v>903</v>
      </c>
      <c r="L54" s="43" t="s">
        <v>911</v>
      </c>
      <c r="M54" s="54">
        <v>139900</v>
      </c>
      <c r="N54" s="57">
        <v>0.9</v>
      </c>
      <c r="O54" s="36">
        <f t="shared" si="0"/>
        <v>13990</v>
      </c>
      <c r="P54" s="28" t="s">
        <v>0</v>
      </c>
    </row>
    <row r="55" spans="1:16" ht="15.6" x14ac:dyDescent="0.3">
      <c r="A55" s="25" t="s">
        <v>3214</v>
      </c>
      <c r="B55" s="26">
        <v>46093</v>
      </c>
      <c r="C55" s="26">
        <v>46098</v>
      </c>
      <c r="D55" s="25">
        <v>3319</v>
      </c>
      <c r="E55" s="25">
        <v>327</v>
      </c>
      <c r="F55" s="25">
        <v>2</v>
      </c>
      <c r="G55" s="48">
        <v>1</v>
      </c>
      <c r="H55" s="48">
        <v>70044</v>
      </c>
      <c r="I55" s="28" t="s">
        <v>17</v>
      </c>
      <c r="J55" s="50">
        <v>70802530</v>
      </c>
      <c r="K55" s="53" t="s">
        <v>912</v>
      </c>
      <c r="L55" s="43" t="s">
        <v>913</v>
      </c>
      <c r="M55" s="54">
        <v>239900</v>
      </c>
      <c r="N55" s="57">
        <v>0.9</v>
      </c>
      <c r="O55" s="36">
        <f t="shared" si="0"/>
        <v>23990</v>
      </c>
      <c r="P55" s="28" t="s">
        <v>0</v>
      </c>
    </row>
    <row r="56" spans="1:16" ht="15.6" x14ac:dyDescent="0.3">
      <c r="A56" s="25" t="s">
        <v>3214</v>
      </c>
      <c r="B56" s="26">
        <v>46093</v>
      </c>
      <c r="C56" s="26">
        <v>46098</v>
      </c>
      <c r="D56" s="25">
        <v>3319</v>
      </c>
      <c r="E56" s="25">
        <v>327</v>
      </c>
      <c r="F56" s="25">
        <v>2</v>
      </c>
      <c r="G56" s="48">
        <v>1</v>
      </c>
      <c r="H56" s="48">
        <v>70044</v>
      </c>
      <c r="I56" s="28" t="s">
        <v>17</v>
      </c>
      <c r="J56" s="50">
        <v>70802549</v>
      </c>
      <c r="K56" s="53" t="s">
        <v>912</v>
      </c>
      <c r="L56" s="43" t="s">
        <v>914</v>
      </c>
      <c r="M56" s="54">
        <v>239900</v>
      </c>
      <c r="N56" s="57">
        <v>0.9</v>
      </c>
      <c r="O56" s="36">
        <f t="shared" si="0"/>
        <v>23990</v>
      </c>
      <c r="P56" s="28" t="s">
        <v>0</v>
      </c>
    </row>
    <row r="57" spans="1:16" ht="15.6" x14ac:dyDescent="0.3">
      <c r="A57" s="25" t="s">
        <v>3214</v>
      </c>
      <c r="B57" s="26">
        <v>46093</v>
      </c>
      <c r="C57" s="26">
        <v>46098</v>
      </c>
      <c r="D57" s="25">
        <v>3319</v>
      </c>
      <c r="E57" s="25">
        <v>327</v>
      </c>
      <c r="F57" s="25">
        <v>2</v>
      </c>
      <c r="G57" s="48">
        <v>1</v>
      </c>
      <c r="H57" s="48">
        <v>70044</v>
      </c>
      <c r="I57" s="28" t="s">
        <v>17</v>
      </c>
      <c r="J57" s="50">
        <v>70802558</v>
      </c>
      <c r="K57" s="53" t="s">
        <v>912</v>
      </c>
      <c r="L57" s="43" t="s">
        <v>915</v>
      </c>
      <c r="M57" s="54">
        <v>239900</v>
      </c>
      <c r="N57" s="57">
        <v>0.9</v>
      </c>
      <c r="O57" s="36">
        <f t="shared" si="0"/>
        <v>23990</v>
      </c>
      <c r="P57" s="28" t="s">
        <v>0</v>
      </c>
    </row>
    <row r="58" spans="1:16" ht="15.6" x14ac:dyDescent="0.3">
      <c r="A58" s="25" t="s">
        <v>3214</v>
      </c>
      <c r="B58" s="26">
        <v>46093</v>
      </c>
      <c r="C58" s="26">
        <v>46098</v>
      </c>
      <c r="D58" s="25">
        <v>3319</v>
      </c>
      <c r="E58" s="25">
        <v>327</v>
      </c>
      <c r="F58" s="25">
        <v>2</v>
      </c>
      <c r="G58" s="48">
        <v>1</v>
      </c>
      <c r="H58" s="48">
        <v>70044</v>
      </c>
      <c r="I58" s="28" t="s">
        <v>17</v>
      </c>
      <c r="J58" s="50">
        <v>70802567</v>
      </c>
      <c r="K58" s="53" t="s">
        <v>912</v>
      </c>
      <c r="L58" s="43" t="s">
        <v>916</v>
      </c>
      <c r="M58" s="54">
        <v>239900</v>
      </c>
      <c r="N58" s="57">
        <v>0.9</v>
      </c>
      <c r="O58" s="36">
        <f t="shared" si="0"/>
        <v>23990</v>
      </c>
      <c r="P58" s="28" t="s">
        <v>0</v>
      </c>
    </row>
    <row r="59" spans="1:16" ht="15.6" x14ac:dyDescent="0.3">
      <c r="A59" s="25" t="s">
        <v>3214</v>
      </c>
      <c r="B59" s="26">
        <v>46093</v>
      </c>
      <c r="C59" s="26">
        <v>46098</v>
      </c>
      <c r="D59" s="25">
        <v>3319</v>
      </c>
      <c r="E59" s="25">
        <v>327</v>
      </c>
      <c r="F59" s="25">
        <v>2</v>
      </c>
      <c r="G59" s="48">
        <v>1</v>
      </c>
      <c r="H59" s="48">
        <v>70044</v>
      </c>
      <c r="I59" s="28" t="s">
        <v>17</v>
      </c>
      <c r="J59" s="50">
        <v>70802576</v>
      </c>
      <c r="K59" s="53" t="s">
        <v>912</v>
      </c>
      <c r="L59" s="43" t="s">
        <v>917</v>
      </c>
      <c r="M59" s="54">
        <v>239900</v>
      </c>
      <c r="N59" s="57">
        <v>0.9</v>
      </c>
      <c r="O59" s="36">
        <f t="shared" si="0"/>
        <v>23990</v>
      </c>
      <c r="P59" s="28" t="s">
        <v>0</v>
      </c>
    </row>
    <row r="60" spans="1:16" ht="15.6" x14ac:dyDescent="0.3">
      <c r="A60" s="25" t="s">
        <v>3214</v>
      </c>
      <c r="B60" s="26">
        <v>46093</v>
      </c>
      <c r="C60" s="26">
        <v>46098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67293883</v>
      </c>
      <c r="K60" s="38" t="s">
        <v>918</v>
      </c>
      <c r="L60" t="s">
        <v>919</v>
      </c>
      <c r="M60" s="37">
        <v>219900</v>
      </c>
      <c r="N60" s="57">
        <v>0.9</v>
      </c>
      <c r="O60" s="36">
        <f t="shared" si="0"/>
        <v>21990</v>
      </c>
      <c r="P60" s="28" t="s">
        <v>0</v>
      </c>
    </row>
    <row r="61" spans="1:16" ht="15.6" x14ac:dyDescent="0.3">
      <c r="A61" s="25" t="s">
        <v>3214</v>
      </c>
      <c r="B61" s="26">
        <v>46093</v>
      </c>
      <c r="C61" s="26">
        <v>46098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67293918</v>
      </c>
      <c r="K61" s="38" t="s">
        <v>918</v>
      </c>
      <c r="L61" t="s">
        <v>920</v>
      </c>
      <c r="M61" s="37">
        <v>219900</v>
      </c>
      <c r="N61" s="57">
        <v>0.9</v>
      </c>
      <c r="O61" s="36">
        <f t="shared" si="0"/>
        <v>21990</v>
      </c>
      <c r="P61" s="28" t="s">
        <v>0</v>
      </c>
    </row>
    <row r="62" spans="1:16" ht="15.6" x14ac:dyDescent="0.3">
      <c r="A62" s="25" t="s">
        <v>3214</v>
      </c>
      <c r="B62" s="26">
        <v>46093</v>
      </c>
      <c r="C62" s="26">
        <v>46098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67293927</v>
      </c>
      <c r="K62" s="38" t="s">
        <v>918</v>
      </c>
      <c r="L62" t="s">
        <v>921</v>
      </c>
      <c r="M62" s="37">
        <v>219900</v>
      </c>
      <c r="N62" s="57">
        <v>0.9</v>
      </c>
      <c r="O62" s="36">
        <f t="shared" si="0"/>
        <v>21990</v>
      </c>
      <c r="P62" s="28" t="s">
        <v>0</v>
      </c>
    </row>
    <row r="63" spans="1:16" ht="15.6" x14ac:dyDescent="0.3">
      <c r="A63" s="25" t="s">
        <v>3214</v>
      </c>
      <c r="B63" s="26">
        <v>46093</v>
      </c>
      <c r="C63" s="26">
        <v>46098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67293936</v>
      </c>
      <c r="K63" s="38" t="s">
        <v>918</v>
      </c>
      <c r="L63" t="s">
        <v>922</v>
      </c>
      <c r="M63" s="37">
        <v>219900</v>
      </c>
      <c r="N63" s="57">
        <v>0.9</v>
      </c>
      <c r="O63" s="36">
        <f t="shared" si="0"/>
        <v>21990</v>
      </c>
      <c r="P63" s="28" t="s">
        <v>0</v>
      </c>
    </row>
    <row r="64" spans="1:16" ht="15.6" x14ac:dyDescent="0.3">
      <c r="A64" s="25" t="s">
        <v>3214</v>
      </c>
      <c r="B64" s="26">
        <v>46093</v>
      </c>
      <c r="C64" s="26">
        <v>46098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67293954</v>
      </c>
      <c r="K64" s="38" t="s">
        <v>918</v>
      </c>
      <c r="L64" t="s">
        <v>923</v>
      </c>
      <c r="M64" s="37">
        <v>219900</v>
      </c>
      <c r="N64" s="57">
        <v>0.9</v>
      </c>
      <c r="O64" s="36">
        <f t="shared" si="0"/>
        <v>21990</v>
      </c>
      <c r="P64" s="28" t="s">
        <v>0</v>
      </c>
    </row>
    <row r="65" spans="1:16" ht="15.6" x14ac:dyDescent="0.3">
      <c r="A65" s="25" t="s">
        <v>3214</v>
      </c>
      <c r="B65" s="26">
        <v>46093</v>
      </c>
      <c r="C65" s="26">
        <v>46098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67293865</v>
      </c>
      <c r="K65" s="38" t="s">
        <v>918</v>
      </c>
      <c r="L65" t="s">
        <v>924</v>
      </c>
      <c r="M65" s="37">
        <v>219900</v>
      </c>
      <c r="N65" s="57">
        <v>0.9</v>
      </c>
      <c r="O65" s="36">
        <f t="shared" si="0"/>
        <v>21990</v>
      </c>
      <c r="P65" s="28" t="s">
        <v>0</v>
      </c>
    </row>
    <row r="66" spans="1:16" ht="15.6" x14ac:dyDescent="0.3">
      <c r="A66" s="25" t="s">
        <v>3214</v>
      </c>
      <c r="B66" s="26">
        <v>46093</v>
      </c>
      <c r="C66" s="26">
        <v>46098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67293945</v>
      </c>
      <c r="K66" s="38" t="s">
        <v>918</v>
      </c>
      <c r="L66" t="s">
        <v>925</v>
      </c>
      <c r="M66" s="37">
        <v>219900</v>
      </c>
      <c r="N66" s="57">
        <v>0.9</v>
      </c>
      <c r="O66" s="36">
        <f t="shared" si="0"/>
        <v>21990</v>
      </c>
      <c r="P66" s="28" t="s">
        <v>0</v>
      </c>
    </row>
    <row r="67" spans="1:16" ht="15.6" x14ac:dyDescent="0.3">
      <c r="A67" s="25" t="s">
        <v>3214</v>
      </c>
      <c r="B67" s="26">
        <v>46093</v>
      </c>
      <c r="C67" s="26">
        <v>46098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67293874</v>
      </c>
      <c r="K67" s="38" t="s">
        <v>918</v>
      </c>
      <c r="L67" t="s">
        <v>926</v>
      </c>
      <c r="M67" s="37">
        <v>219900</v>
      </c>
      <c r="N67" s="57">
        <v>0.9</v>
      </c>
      <c r="O67" s="36">
        <f t="shared" ref="O67:O130" si="1">M67*10%</f>
        <v>21990</v>
      </c>
      <c r="P67" s="28" t="s">
        <v>0</v>
      </c>
    </row>
    <row r="68" spans="1:16" ht="15.6" x14ac:dyDescent="0.3">
      <c r="A68" s="25" t="s">
        <v>3214</v>
      </c>
      <c r="B68" s="26">
        <v>46093</v>
      </c>
      <c r="C68" s="26">
        <v>46098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67293892</v>
      </c>
      <c r="K68" s="38" t="s">
        <v>918</v>
      </c>
      <c r="L68" t="s">
        <v>927</v>
      </c>
      <c r="M68" s="37">
        <v>219900</v>
      </c>
      <c r="N68" s="57">
        <v>0.9</v>
      </c>
      <c r="O68" s="36">
        <f t="shared" si="1"/>
        <v>21990</v>
      </c>
      <c r="P68" s="28" t="s">
        <v>0</v>
      </c>
    </row>
    <row r="69" spans="1:16" ht="15.6" x14ac:dyDescent="0.3">
      <c r="A69" s="25" t="s">
        <v>3214</v>
      </c>
      <c r="B69" s="26">
        <v>46093</v>
      </c>
      <c r="C69" s="26">
        <v>46098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67293909</v>
      </c>
      <c r="K69" s="38" t="s">
        <v>918</v>
      </c>
      <c r="L69" t="s">
        <v>928</v>
      </c>
      <c r="M69" s="37">
        <v>219900</v>
      </c>
      <c r="N69" s="57">
        <v>0.9</v>
      </c>
      <c r="O69" s="36">
        <f t="shared" si="1"/>
        <v>21990</v>
      </c>
      <c r="P69" s="28" t="s">
        <v>0</v>
      </c>
    </row>
    <row r="70" spans="1:16" ht="15.6" x14ac:dyDescent="0.3">
      <c r="A70" s="25" t="s">
        <v>3214</v>
      </c>
      <c r="B70" s="26">
        <v>46093</v>
      </c>
      <c r="C70" s="26">
        <v>46098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66161651</v>
      </c>
      <c r="K70" s="38" t="s">
        <v>929</v>
      </c>
      <c r="L70" t="s">
        <v>930</v>
      </c>
      <c r="M70" s="37">
        <v>219900</v>
      </c>
      <c r="N70" s="57">
        <v>0.9</v>
      </c>
      <c r="O70" s="36">
        <f t="shared" si="1"/>
        <v>21990</v>
      </c>
      <c r="P70" s="28" t="s">
        <v>0</v>
      </c>
    </row>
    <row r="71" spans="1:16" ht="15.6" x14ac:dyDescent="0.3">
      <c r="A71" s="25" t="s">
        <v>3214</v>
      </c>
      <c r="B71" s="26">
        <v>46093</v>
      </c>
      <c r="C71" s="26">
        <v>46098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66161688</v>
      </c>
      <c r="K71" s="38" t="s">
        <v>929</v>
      </c>
      <c r="L71" t="s">
        <v>931</v>
      </c>
      <c r="M71" s="37">
        <v>219900</v>
      </c>
      <c r="N71" s="57">
        <v>0.9</v>
      </c>
      <c r="O71" s="36">
        <f t="shared" si="1"/>
        <v>21990</v>
      </c>
      <c r="P71" s="28" t="s">
        <v>0</v>
      </c>
    </row>
    <row r="72" spans="1:16" ht="15.6" x14ac:dyDescent="0.3">
      <c r="A72" s="25" t="s">
        <v>3214</v>
      </c>
      <c r="B72" s="26">
        <v>46093</v>
      </c>
      <c r="C72" s="26">
        <v>46098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66161660</v>
      </c>
      <c r="K72" s="38" t="s">
        <v>929</v>
      </c>
      <c r="L72" t="s">
        <v>932</v>
      </c>
      <c r="M72" s="37">
        <v>219900</v>
      </c>
      <c r="N72" s="57">
        <v>0.9</v>
      </c>
      <c r="O72" s="36">
        <f t="shared" si="1"/>
        <v>21990</v>
      </c>
      <c r="P72" s="28" t="s">
        <v>0</v>
      </c>
    </row>
    <row r="73" spans="1:16" ht="15.6" x14ac:dyDescent="0.3">
      <c r="A73" s="25" t="s">
        <v>3214</v>
      </c>
      <c r="B73" s="26">
        <v>46093</v>
      </c>
      <c r="C73" s="26">
        <v>46098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66161697</v>
      </c>
      <c r="K73" s="38" t="s">
        <v>929</v>
      </c>
      <c r="L73" t="s">
        <v>933</v>
      </c>
      <c r="M73" s="37">
        <v>219900</v>
      </c>
      <c r="N73" s="57">
        <v>0.9</v>
      </c>
      <c r="O73" s="36">
        <f t="shared" si="1"/>
        <v>21990</v>
      </c>
      <c r="P73" s="28" t="s">
        <v>0</v>
      </c>
    </row>
    <row r="74" spans="1:16" ht="15.6" x14ac:dyDescent="0.3">
      <c r="A74" s="25" t="s">
        <v>3214</v>
      </c>
      <c r="B74" s="26">
        <v>46093</v>
      </c>
      <c r="C74" s="26">
        <v>46098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66161704</v>
      </c>
      <c r="K74" s="38" t="s">
        <v>929</v>
      </c>
      <c r="L74" t="s">
        <v>934</v>
      </c>
      <c r="M74" s="37">
        <v>219900</v>
      </c>
      <c r="N74" s="57">
        <v>0.9</v>
      </c>
      <c r="O74" s="36">
        <f t="shared" si="1"/>
        <v>21990</v>
      </c>
      <c r="P74" s="28" t="s">
        <v>0</v>
      </c>
    </row>
    <row r="75" spans="1:16" ht="15.6" x14ac:dyDescent="0.3">
      <c r="A75" s="25" t="s">
        <v>3214</v>
      </c>
      <c r="B75" s="26">
        <v>46093</v>
      </c>
      <c r="C75" s="26">
        <v>46098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66161722</v>
      </c>
      <c r="K75" s="38" t="s">
        <v>929</v>
      </c>
      <c r="L75" t="s">
        <v>935</v>
      </c>
      <c r="M75" s="37">
        <v>219900</v>
      </c>
      <c r="N75" s="57">
        <v>0.9</v>
      </c>
      <c r="O75" s="36">
        <f t="shared" si="1"/>
        <v>21990</v>
      </c>
      <c r="P75" s="28" t="s">
        <v>0</v>
      </c>
    </row>
    <row r="76" spans="1:16" ht="15.6" x14ac:dyDescent="0.3">
      <c r="A76" s="25" t="s">
        <v>3214</v>
      </c>
      <c r="B76" s="26">
        <v>46093</v>
      </c>
      <c r="C76" s="26">
        <v>46098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66161731</v>
      </c>
      <c r="K76" s="38" t="s">
        <v>929</v>
      </c>
      <c r="L76" t="s">
        <v>936</v>
      </c>
      <c r="M76" s="37">
        <v>219900</v>
      </c>
      <c r="N76" s="57">
        <v>0.9</v>
      </c>
      <c r="O76" s="36">
        <f t="shared" si="1"/>
        <v>21990</v>
      </c>
      <c r="P76" s="28" t="s">
        <v>0</v>
      </c>
    </row>
    <row r="77" spans="1:16" ht="15.6" x14ac:dyDescent="0.3">
      <c r="A77" s="25" t="s">
        <v>3214</v>
      </c>
      <c r="B77" s="26">
        <v>46093</v>
      </c>
      <c r="C77" s="26">
        <v>46098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66161679</v>
      </c>
      <c r="K77" s="38" t="s">
        <v>929</v>
      </c>
      <c r="L77" t="s">
        <v>937</v>
      </c>
      <c r="M77" s="37">
        <v>219900</v>
      </c>
      <c r="N77" s="57">
        <v>0.9</v>
      </c>
      <c r="O77" s="36">
        <f t="shared" si="1"/>
        <v>21990</v>
      </c>
      <c r="P77" s="28" t="s">
        <v>0</v>
      </c>
    </row>
    <row r="78" spans="1:16" ht="15.6" x14ac:dyDescent="0.3">
      <c r="A78" s="25" t="s">
        <v>3214</v>
      </c>
      <c r="B78" s="26">
        <v>46093</v>
      </c>
      <c r="C78" s="26">
        <v>46098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66161713</v>
      </c>
      <c r="K78" s="38" t="s">
        <v>929</v>
      </c>
      <c r="L78" t="s">
        <v>938</v>
      </c>
      <c r="M78" s="37">
        <v>219900</v>
      </c>
      <c r="N78" s="57">
        <v>0.9</v>
      </c>
      <c r="O78" s="36">
        <f t="shared" si="1"/>
        <v>21990</v>
      </c>
      <c r="P78" s="28" t="s">
        <v>0</v>
      </c>
    </row>
    <row r="79" spans="1:16" ht="15.6" x14ac:dyDescent="0.3">
      <c r="A79" s="25" t="s">
        <v>3214</v>
      </c>
      <c r="B79" s="26">
        <v>46093</v>
      </c>
      <c r="C79" s="26">
        <v>46098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66161740</v>
      </c>
      <c r="K79" s="38" t="s">
        <v>929</v>
      </c>
      <c r="L79" t="s">
        <v>939</v>
      </c>
      <c r="M79" s="37">
        <v>219900</v>
      </c>
      <c r="N79" s="57">
        <v>0.9</v>
      </c>
      <c r="O79" s="36">
        <f t="shared" si="1"/>
        <v>21990</v>
      </c>
      <c r="P79" s="28" t="s">
        <v>0</v>
      </c>
    </row>
    <row r="80" spans="1:16" ht="15.6" x14ac:dyDescent="0.3">
      <c r="A80" s="25" t="s">
        <v>3214</v>
      </c>
      <c r="B80" s="26">
        <v>46093</v>
      </c>
      <c r="C80" s="26">
        <v>46098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66158727</v>
      </c>
      <c r="K80" s="38" t="s">
        <v>940</v>
      </c>
      <c r="L80" t="s">
        <v>941</v>
      </c>
      <c r="M80" s="37">
        <v>219900</v>
      </c>
      <c r="N80" s="57">
        <v>0.9</v>
      </c>
      <c r="O80" s="36">
        <f t="shared" si="1"/>
        <v>21990</v>
      </c>
      <c r="P80" s="28" t="s">
        <v>0</v>
      </c>
    </row>
    <row r="81" spans="1:16" ht="15.6" x14ac:dyDescent="0.3">
      <c r="A81" s="25" t="s">
        <v>3214</v>
      </c>
      <c r="B81" s="26">
        <v>46093</v>
      </c>
      <c r="C81" s="26">
        <v>46098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66158709</v>
      </c>
      <c r="K81" s="38" t="s">
        <v>940</v>
      </c>
      <c r="L81" t="s">
        <v>942</v>
      </c>
      <c r="M81" s="37">
        <v>219900</v>
      </c>
      <c r="N81" s="57">
        <v>0.9</v>
      </c>
      <c r="O81" s="36">
        <f t="shared" si="1"/>
        <v>21990</v>
      </c>
      <c r="P81" s="28" t="s">
        <v>0</v>
      </c>
    </row>
    <row r="82" spans="1:16" ht="15.6" x14ac:dyDescent="0.3">
      <c r="A82" s="25" t="s">
        <v>3214</v>
      </c>
      <c r="B82" s="26">
        <v>46093</v>
      </c>
      <c r="C82" s="26">
        <v>46098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66158674</v>
      </c>
      <c r="K82" s="38" t="s">
        <v>940</v>
      </c>
      <c r="L82" t="s">
        <v>943</v>
      </c>
      <c r="M82" s="37">
        <v>219900</v>
      </c>
      <c r="N82" s="57">
        <v>0.9</v>
      </c>
      <c r="O82" s="36">
        <f t="shared" si="1"/>
        <v>21990</v>
      </c>
      <c r="P82" s="28" t="s">
        <v>0</v>
      </c>
    </row>
    <row r="83" spans="1:16" ht="15.6" x14ac:dyDescent="0.3">
      <c r="A83" s="25" t="s">
        <v>3214</v>
      </c>
      <c r="B83" s="26">
        <v>46093</v>
      </c>
      <c r="C83" s="26">
        <v>46098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66158718</v>
      </c>
      <c r="K83" s="38" t="s">
        <v>940</v>
      </c>
      <c r="L83" t="s">
        <v>944</v>
      </c>
      <c r="M83" s="37">
        <v>219900</v>
      </c>
      <c r="N83" s="57">
        <v>0.9</v>
      </c>
      <c r="O83" s="36">
        <f t="shared" si="1"/>
        <v>21990</v>
      </c>
      <c r="P83" s="28" t="s">
        <v>0</v>
      </c>
    </row>
    <row r="84" spans="1:16" ht="15.6" x14ac:dyDescent="0.3">
      <c r="A84" s="25" t="s">
        <v>3214</v>
      </c>
      <c r="B84" s="26">
        <v>46093</v>
      </c>
      <c r="C84" s="26">
        <v>46098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66158665</v>
      </c>
      <c r="K84" s="38" t="s">
        <v>940</v>
      </c>
      <c r="L84" t="s">
        <v>945</v>
      </c>
      <c r="M84" s="37">
        <v>219900</v>
      </c>
      <c r="N84" s="57">
        <v>0.9</v>
      </c>
      <c r="O84" s="36">
        <f t="shared" si="1"/>
        <v>21990</v>
      </c>
      <c r="P84" s="28" t="s">
        <v>0</v>
      </c>
    </row>
    <row r="85" spans="1:16" ht="15.6" x14ac:dyDescent="0.3">
      <c r="A85" s="25" t="s">
        <v>3214</v>
      </c>
      <c r="B85" s="26">
        <v>46093</v>
      </c>
      <c r="C85" s="26">
        <v>46098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66158692</v>
      </c>
      <c r="K85" s="38" t="s">
        <v>940</v>
      </c>
      <c r="L85" t="s">
        <v>946</v>
      </c>
      <c r="M85" s="37">
        <v>219900</v>
      </c>
      <c r="N85" s="57">
        <v>0.9</v>
      </c>
      <c r="O85" s="36">
        <f t="shared" si="1"/>
        <v>21990</v>
      </c>
      <c r="P85" s="28" t="s">
        <v>0</v>
      </c>
    </row>
    <row r="86" spans="1:16" ht="15.6" x14ac:dyDescent="0.3">
      <c r="A86" s="25" t="s">
        <v>3214</v>
      </c>
      <c r="B86" s="26">
        <v>46093</v>
      </c>
      <c r="C86" s="26">
        <v>46098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66158736</v>
      </c>
      <c r="K86" s="38" t="s">
        <v>940</v>
      </c>
      <c r="L86" t="s">
        <v>947</v>
      </c>
      <c r="M86" s="37">
        <v>219900</v>
      </c>
      <c r="N86" s="57">
        <v>0.9</v>
      </c>
      <c r="O86" s="36">
        <f t="shared" si="1"/>
        <v>21990</v>
      </c>
      <c r="P86" s="28" t="s">
        <v>0</v>
      </c>
    </row>
    <row r="87" spans="1:16" ht="15.6" x14ac:dyDescent="0.3">
      <c r="A87" s="25" t="s">
        <v>3214</v>
      </c>
      <c r="B87" s="26">
        <v>46093</v>
      </c>
      <c r="C87" s="26">
        <v>46098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66158745</v>
      </c>
      <c r="K87" s="38" t="s">
        <v>940</v>
      </c>
      <c r="L87" t="s">
        <v>948</v>
      </c>
      <c r="M87" s="37">
        <v>219900</v>
      </c>
      <c r="N87" s="57">
        <v>0.9</v>
      </c>
      <c r="O87" s="36">
        <f t="shared" si="1"/>
        <v>21990</v>
      </c>
      <c r="P87" s="28" t="s">
        <v>0</v>
      </c>
    </row>
    <row r="88" spans="1:16" ht="15.6" x14ac:dyDescent="0.3">
      <c r="A88" s="25" t="s">
        <v>3214</v>
      </c>
      <c r="B88" s="26">
        <v>46093</v>
      </c>
      <c r="C88" s="26">
        <v>46098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66158656</v>
      </c>
      <c r="K88" s="38" t="s">
        <v>940</v>
      </c>
      <c r="L88" t="s">
        <v>949</v>
      </c>
      <c r="M88" s="37">
        <v>219900</v>
      </c>
      <c r="N88" s="57">
        <v>0.9</v>
      </c>
      <c r="O88" s="36">
        <f t="shared" si="1"/>
        <v>21990</v>
      </c>
      <c r="P88" s="28" t="s">
        <v>0</v>
      </c>
    </row>
    <row r="89" spans="1:16" ht="15.6" x14ac:dyDescent="0.3">
      <c r="A89" s="25" t="s">
        <v>3214</v>
      </c>
      <c r="B89" s="26">
        <v>46093</v>
      </c>
      <c r="C89" s="26">
        <v>46098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66158683</v>
      </c>
      <c r="K89" s="38" t="s">
        <v>940</v>
      </c>
      <c r="L89" t="s">
        <v>950</v>
      </c>
      <c r="M89" s="37">
        <v>219900</v>
      </c>
      <c r="N89" s="57">
        <v>0.9</v>
      </c>
      <c r="O89" s="36">
        <f t="shared" si="1"/>
        <v>21990</v>
      </c>
      <c r="P89" s="28" t="s">
        <v>0</v>
      </c>
    </row>
    <row r="90" spans="1:16" ht="15.6" x14ac:dyDescent="0.3">
      <c r="A90" s="25" t="s">
        <v>3214</v>
      </c>
      <c r="B90" s="26">
        <v>46093</v>
      </c>
      <c r="C90" s="26">
        <v>46098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67293990</v>
      </c>
      <c r="K90" s="53" t="s">
        <v>951</v>
      </c>
      <c r="L90" s="43" t="s">
        <v>952</v>
      </c>
      <c r="M90" s="54">
        <v>219900</v>
      </c>
      <c r="N90" s="57">
        <v>0.9</v>
      </c>
      <c r="O90" s="36">
        <f t="shared" si="1"/>
        <v>21990</v>
      </c>
      <c r="P90" s="28" t="s">
        <v>0</v>
      </c>
    </row>
    <row r="91" spans="1:16" ht="15.6" x14ac:dyDescent="0.3">
      <c r="A91" s="25" t="s">
        <v>3214</v>
      </c>
      <c r="B91" s="26">
        <v>46093</v>
      </c>
      <c r="C91" s="26">
        <v>46098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67293981</v>
      </c>
      <c r="K91" s="53" t="s">
        <v>951</v>
      </c>
      <c r="L91" s="43" t="s">
        <v>953</v>
      </c>
      <c r="M91" s="54">
        <v>219900</v>
      </c>
      <c r="N91" s="57">
        <v>0.9</v>
      </c>
      <c r="O91" s="36">
        <f t="shared" si="1"/>
        <v>21990</v>
      </c>
      <c r="P91" s="28" t="s">
        <v>0</v>
      </c>
    </row>
    <row r="92" spans="1:16" ht="15.6" x14ac:dyDescent="0.3">
      <c r="A92" s="25" t="s">
        <v>3214</v>
      </c>
      <c r="B92" s="26">
        <v>46093</v>
      </c>
      <c r="C92" s="26">
        <v>46098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67294015</v>
      </c>
      <c r="K92" s="53" t="s">
        <v>951</v>
      </c>
      <c r="L92" s="43" t="s">
        <v>954</v>
      </c>
      <c r="M92" s="54">
        <v>219900</v>
      </c>
      <c r="N92" s="57">
        <v>0.9</v>
      </c>
      <c r="O92" s="36">
        <f t="shared" si="1"/>
        <v>21990</v>
      </c>
      <c r="P92" s="28" t="s">
        <v>0</v>
      </c>
    </row>
    <row r="93" spans="1:16" ht="15.6" x14ac:dyDescent="0.3">
      <c r="A93" s="25" t="s">
        <v>3214</v>
      </c>
      <c r="B93" s="26">
        <v>46093</v>
      </c>
      <c r="C93" s="26">
        <v>46098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67293203</v>
      </c>
      <c r="K93" s="53" t="s">
        <v>955</v>
      </c>
      <c r="L93" s="43" t="s">
        <v>956</v>
      </c>
      <c r="M93" s="54">
        <v>219900</v>
      </c>
      <c r="N93" s="57">
        <v>0.9</v>
      </c>
      <c r="O93" s="36">
        <f t="shared" si="1"/>
        <v>21990</v>
      </c>
      <c r="P93" s="28" t="s">
        <v>0</v>
      </c>
    </row>
    <row r="94" spans="1:16" ht="15.6" x14ac:dyDescent="0.3">
      <c r="A94" s="25" t="s">
        <v>3214</v>
      </c>
      <c r="B94" s="26">
        <v>46093</v>
      </c>
      <c r="C94" s="26">
        <v>46098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67293972</v>
      </c>
      <c r="K94" s="53" t="s">
        <v>951</v>
      </c>
      <c r="L94" s="43" t="s">
        <v>957</v>
      </c>
      <c r="M94" s="54">
        <v>219900</v>
      </c>
      <c r="N94" s="57">
        <v>0.9</v>
      </c>
      <c r="O94" s="36">
        <f t="shared" si="1"/>
        <v>21990</v>
      </c>
      <c r="P94" s="28" t="s">
        <v>0</v>
      </c>
    </row>
    <row r="95" spans="1:16" ht="15.6" x14ac:dyDescent="0.3">
      <c r="A95" s="25" t="s">
        <v>3214</v>
      </c>
      <c r="B95" s="26">
        <v>46093</v>
      </c>
      <c r="C95" s="26">
        <v>46098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67294051</v>
      </c>
      <c r="K95" s="53" t="s">
        <v>951</v>
      </c>
      <c r="L95" s="43" t="s">
        <v>958</v>
      </c>
      <c r="M95" s="54">
        <v>219900</v>
      </c>
      <c r="N95" s="57">
        <v>0.9</v>
      </c>
      <c r="O95" s="36">
        <f t="shared" si="1"/>
        <v>21990</v>
      </c>
      <c r="P95" s="28" t="s">
        <v>0</v>
      </c>
    </row>
    <row r="96" spans="1:16" ht="15.6" x14ac:dyDescent="0.3">
      <c r="A96" s="25" t="s">
        <v>3214</v>
      </c>
      <c r="B96" s="26">
        <v>46093</v>
      </c>
      <c r="C96" s="26">
        <v>46098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67294033</v>
      </c>
      <c r="K96" s="53" t="s">
        <v>951</v>
      </c>
      <c r="L96" s="43" t="s">
        <v>959</v>
      </c>
      <c r="M96" s="54">
        <v>219900</v>
      </c>
      <c r="N96" s="57">
        <v>0.9</v>
      </c>
      <c r="O96" s="36">
        <f t="shared" si="1"/>
        <v>21990</v>
      </c>
      <c r="P96" s="28" t="s">
        <v>0</v>
      </c>
    </row>
    <row r="97" spans="1:16" ht="15.6" x14ac:dyDescent="0.3">
      <c r="A97" s="25" t="s">
        <v>3214</v>
      </c>
      <c r="B97" s="26">
        <v>46093</v>
      </c>
      <c r="C97" s="26">
        <v>46098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67293963</v>
      </c>
      <c r="K97" s="53" t="s">
        <v>951</v>
      </c>
      <c r="L97" s="43" t="s">
        <v>960</v>
      </c>
      <c r="M97" s="54">
        <v>219900</v>
      </c>
      <c r="N97" s="57">
        <v>0.9</v>
      </c>
      <c r="O97" s="36">
        <f t="shared" si="1"/>
        <v>21990</v>
      </c>
      <c r="P97" s="28" t="s">
        <v>0</v>
      </c>
    </row>
    <row r="98" spans="1:16" ht="15.6" x14ac:dyDescent="0.3">
      <c r="A98" s="25" t="s">
        <v>3214</v>
      </c>
      <c r="B98" s="26">
        <v>46093</v>
      </c>
      <c r="C98" s="26">
        <v>46098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67294006</v>
      </c>
      <c r="K98" s="53" t="s">
        <v>951</v>
      </c>
      <c r="L98" s="43" t="s">
        <v>961</v>
      </c>
      <c r="M98" s="54">
        <v>219900</v>
      </c>
      <c r="N98" s="57">
        <v>0.9</v>
      </c>
      <c r="O98" s="36">
        <f t="shared" si="1"/>
        <v>21990</v>
      </c>
      <c r="P98" s="28" t="s">
        <v>0</v>
      </c>
    </row>
    <row r="99" spans="1:16" ht="15.6" x14ac:dyDescent="0.3">
      <c r="A99" s="25" t="s">
        <v>3214</v>
      </c>
      <c r="B99" s="26">
        <v>46093</v>
      </c>
      <c r="C99" s="26">
        <v>46098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67294024</v>
      </c>
      <c r="K99" s="53" t="s">
        <v>951</v>
      </c>
      <c r="L99" s="43" t="s">
        <v>962</v>
      </c>
      <c r="M99" s="54">
        <v>219900</v>
      </c>
      <c r="N99" s="57">
        <v>0.9</v>
      </c>
      <c r="O99" s="36">
        <f t="shared" si="1"/>
        <v>21990</v>
      </c>
      <c r="P99" s="28" t="s">
        <v>0</v>
      </c>
    </row>
    <row r="100" spans="1:16" ht="15.6" x14ac:dyDescent="0.3">
      <c r="A100" s="25" t="s">
        <v>3214</v>
      </c>
      <c r="B100" s="26">
        <v>46093</v>
      </c>
      <c r="C100" s="26">
        <v>46098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67294042</v>
      </c>
      <c r="K100" s="53" t="s">
        <v>951</v>
      </c>
      <c r="L100" s="43" t="s">
        <v>963</v>
      </c>
      <c r="M100" s="54">
        <v>219900</v>
      </c>
      <c r="N100" s="57">
        <v>0.9</v>
      </c>
      <c r="O100" s="36">
        <f t="shared" si="1"/>
        <v>21990</v>
      </c>
      <c r="P100" s="28" t="s">
        <v>0</v>
      </c>
    </row>
    <row r="101" spans="1:16" ht="15.6" x14ac:dyDescent="0.3">
      <c r="A101" s="25" t="s">
        <v>3214</v>
      </c>
      <c r="B101" s="26">
        <v>46093</v>
      </c>
      <c r="C101" s="26">
        <v>46098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58917930</v>
      </c>
      <c r="K101" s="53" t="s">
        <v>964</v>
      </c>
      <c r="L101" s="43" t="s">
        <v>965</v>
      </c>
      <c r="M101" s="54">
        <v>219900</v>
      </c>
      <c r="N101" s="57">
        <v>0.9</v>
      </c>
      <c r="O101" s="36">
        <f t="shared" si="1"/>
        <v>21990</v>
      </c>
      <c r="P101" s="28" t="s">
        <v>0</v>
      </c>
    </row>
    <row r="102" spans="1:16" ht="15.6" x14ac:dyDescent="0.3">
      <c r="A102" s="25" t="s">
        <v>3214</v>
      </c>
      <c r="B102" s="26">
        <v>46093</v>
      </c>
      <c r="C102" s="26">
        <v>46098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58917967</v>
      </c>
      <c r="K102" s="53" t="s">
        <v>964</v>
      </c>
      <c r="L102" s="43" t="s">
        <v>966</v>
      </c>
      <c r="M102" s="54">
        <v>219900</v>
      </c>
      <c r="N102" s="57">
        <v>0.9</v>
      </c>
      <c r="O102" s="36">
        <f t="shared" si="1"/>
        <v>21990</v>
      </c>
      <c r="P102" s="28" t="s">
        <v>0</v>
      </c>
    </row>
    <row r="103" spans="1:16" ht="15.6" x14ac:dyDescent="0.3">
      <c r="A103" s="25" t="s">
        <v>3214</v>
      </c>
      <c r="B103" s="26">
        <v>46093</v>
      </c>
      <c r="C103" s="26">
        <v>46098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58917976</v>
      </c>
      <c r="K103" s="53" t="s">
        <v>964</v>
      </c>
      <c r="L103" s="43" t="s">
        <v>967</v>
      </c>
      <c r="M103" s="54">
        <v>219900</v>
      </c>
      <c r="N103" s="57">
        <v>0.9</v>
      </c>
      <c r="O103" s="36">
        <f t="shared" si="1"/>
        <v>21990</v>
      </c>
      <c r="P103" s="28" t="s">
        <v>0</v>
      </c>
    </row>
    <row r="104" spans="1:16" ht="15.6" x14ac:dyDescent="0.3">
      <c r="A104" s="25" t="s">
        <v>3214</v>
      </c>
      <c r="B104" s="26">
        <v>46093</v>
      </c>
      <c r="C104" s="26">
        <v>46098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58917949</v>
      </c>
      <c r="K104" s="53" t="s">
        <v>964</v>
      </c>
      <c r="L104" s="43" t="s">
        <v>968</v>
      </c>
      <c r="M104" s="54">
        <v>219900</v>
      </c>
      <c r="N104" s="57">
        <v>0.9</v>
      </c>
      <c r="O104" s="36">
        <f t="shared" si="1"/>
        <v>21990</v>
      </c>
      <c r="P104" s="28" t="s">
        <v>0</v>
      </c>
    </row>
    <row r="105" spans="1:16" ht="15.6" x14ac:dyDescent="0.3">
      <c r="A105" s="25" t="s">
        <v>3214</v>
      </c>
      <c r="B105" s="26">
        <v>46093</v>
      </c>
      <c r="C105" s="26">
        <v>46098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58917958</v>
      </c>
      <c r="K105" s="53" t="s">
        <v>964</v>
      </c>
      <c r="L105" s="43" t="s">
        <v>969</v>
      </c>
      <c r="M105" s="54">
        <v>219900</v>
      </c>
      <c r="N105" s="57">
        <v>0.9</v>
      </c>
      <c r="O105" s="36">
        <f t="shared" si="1"/>
        <v>21990</v>
      </c>
      <c r="P105" s="28" t="s">
        <v>0</v>
      </c>
    </row>
    <row r="106" spans="1:16" ht="15.6" x14ac:dyDescent="0.3">
      <c r="A106" s="25" t="s">
        <v>3214</v>
      </c>
      <c r="B106" s="26">
        <v>46093</v>
      </c>
      <c r="C106" s="26">
        <v>46098</v>
      </c>
      <c r="D106" s="25">
        <v>3319</v>
      </c>
      <c r="E106" s="25">
        <v>327</v>
      </c>
      <c r="F106" s="25">
        <v>2</v>
      </c>
      <c r="G106" s="48">
        <v>1</v>
      </c>
      <c r="H106" s="48">
        <v>81433</v>
      </c>
      <c r="I106" s="48" t="s">
        <v>17</v>
      </c>
      <c r="J106" s="50">
        <v>66162749</v>
      </c>
      <c r="K106" s="53" t="s">
        <v>970</v>
      </c>
      <c r="L106" s="43" t="s">
        <v>971</v>
      </c>
      <c r="M106" s="54">
        <v>219900</v>
      </c>
      <c r="N106" s="57">
        <v>0.9</v>
      </c>
      <c r="O106" s="36">
        <f t="shared" si="1"/>
        <v>21990</v>
      </c>
      <c r="P106" s="28" t="s">
        <v>0</v>
      </c>
    </row>
    <row r="107" spans="1:16" ht="15.6" x14ac:dyDescent="0.3">
      <c r="A107" s="25" t="s">
        <v>3214</v>
      </c>
      <c r="B107" s="26">
        <v>46093</v>
      </c>
      <c r="C107" s="26">
        <v>46098</v>
      </c>
      <c r="D107" s="25">
        <v>3319</v>
      </c>
      <c r="E107" s="25">
        <v>327</v>
      </c>
      <c r="F107" s="25">
        <v>2</v>
      </c>
      <c r="G107" s="48">
        <v>1</v>
      </c>
      <c r="H107" s="48">
        <v>81433</v>
      </c>
      <c r="I107" s="48" t="s">
        <v>17</v>
      </c>
      <c r="J107" s="50">
        <v>66162687</v>
      </c>
      <c r="K107" s="53" t="s">
        <v>970</v>
      </c>
      <c r="L107" s="43" t="s">
        <v>972</v>
      </c>
      <c r="M107" s="54">
        <v>219900</v>
      </c>
      <c r="N107" s="57">
        <v>0.9</v>
      </c>
      <c r="O107" s="36">
        <f t="shared" si="1"/>
        <v>21990</v>
      </c>
      <c r="P107" s="28" t="s">
        <v>0</v>
      </c>
    </row>
    <row r="108" spans="1:16" ht="15.6" x14ac:dyDescent="0.3">
      <c r="A108" s="25" t="s">
        <v>3214</v>
      </c>
      <c r="B108" s="26">
        <v>46093</v>
      </c>
      <c r="C108" s="26">
        <v>46098</v>
      </c>
      <c r="D108" s="25">
        <v>3319</v>
      </c>
      <c r="E108" s="25">
        <v>327</v>
      </c>
      <c r="F108" s="25">
        <v>2</v>
      </c>
      <c r="G108" s="48">
        <v>1</v>
      </c>
      <c r="H108" s="48">
        <v>81433</v>
      </c>
      <c r="I108" s="48" t="s">
        <v>17</v>
      </c>
      <c r="J108" s="50">
        <v>66162696</v>
      </c>
      <c r="K108" s="53" t="s">
        <v>970</v>
      </c>
      <c r="L108" s="43" t="s">
        <v>973</v>
      </c>
      <c r="M108" s="54">
        <v>219900</v>
      </c>
      <c r="N108" s="57">
        <v>0.9</v>
      </c>
      <c r="O108" s="36">
        <f t="shared" si="1"/>
        <v>21990</v>
      </c>
      <c r="P108" s="28" t="s">
        <v>0</v>
      </c>
    </row>
    <row r="109" spans="1:16" ht="15.6" x14ac:dyDescent="0.3">
      <c r="A109" s="25" t="s">
        <v>3214</v>
      </c>
      <c r="B109" s="26">
        <v>46093</v>
      </c>
      <c r="C109" s="26">
        <v>46098</v>
      </c>
      <c r="D109" s="25">
        <v>3319</v>
      </c>
      <c r="E109" s="25">
        <v>327</v>
      </c>
      <c r="F109" s="25">
        <v>2</v>
      </c>
      <c r="G109" s="48">
        <v>1</v>
      </c>
      <c r="H109" s="48">
        <v>81433</v>
      </c>
      <c r="I109" s="48" t="s">
        <v>17</v>
      </c>
      <c r="J109" s="50">
        <v>66162721</v>
      </c>
      <c r="K109" s="53" t="s">
        <v>970</v>
      </c>
      <c r="L109" s="43" t="s">
        <v>974</v>
      </c>
      <c r="M109" s="54">
        <v>219900</v>
      </c>
      <c r="N109" s="57">
        <v>0.9</v>
      </c>
      <c r="O109" s="36">
        <f t="shared" si="1"/>
        <v>21990</v>
      </c>
      <c r="P109" s="28" t="s">
        <v>0</v>
      </c>
    </row>
    <row r="110" spans="1:16" ht="15.6" x14ac:dyDescent="0.3">
      <c r="A110" s="25" t="s">
        <v>3214</v>
      </c>
      <c r="B110" s="26">
        <v>46093</v>
      </c>
      <c r="C110" s="26">
        <v>46098</v>
      </c>
      <c r="D110" s="25">
        <v>3319</v>
      </c>
      <c r="E110" s="25">
        <v>327</v>
      </c>
      <c r="F110" s="25">
        <v>2</v>
      </c>
      <c r="G110" s="48">
        <v>1</v>
      </c>
      <c r="H110" s="48">
        <v>81433</v>
      </c>
      <c r="I110" s="48" t="s">
        <v>17</v>
      </c>
      <c r="J110" s="50">
        <v>66162730</v>
      </c>
      <c r="K110" s="53" t="s">
        <v>970</v>
      </c>
      <c r="L110" s="43" t="s">
        <v>975</v>
      </c>
      <c r="M110" s="54">
        <v>219900</v>
      </c>
      <c r="N110" s="57">
        <v>0.9</v>
      </c>
      <c r="O110" s="36">
        <f t="shared" si="1"/>
        <v>21990</v>
      </c>
      <c r="P110" s="28" t="s">
        <v>0</v>
      </c>
    </row>
    <row r="111" spans="1:16" ht="15.6" x14ac:dyDescent="0.3">
      <c r="A111" s="25" t="s">
        <v>3214</v>
      </c>
      <c r="B111" s="26">
        <v>46093</v>
      </c>
      <c r="C111" s="26">
        <v>46098</v>
      </c>
      <c r="D111" s="25">
        <v>3319</v>
      </c>
      <c r="E111" s="25">
        <v>327</v>
      </c>
      <c r="F111" s="25">
        <v>2</v>
      </c>
      <c r="G111" s="48">
        <v>1</v>
      </c>
      <c r="H111" s="48">
        <v>81433</v>
      </c>
      <c r="I111" s="48" t="s">
        <v>17</v>
      </c>
      <c r="J111" s="50">
        <v>66162758</v>
      </c>
      <c r="K111" s="53" t="s">
        <v>970</v>
      </c>
      <c r="L111" s="43" t="s">
        <v>976</v>
      </c>
      <c r="M111" s="54">
        <v>219900</v>
      </c>
      <c r="N111" s="57">
        <v>0.9</v>
      </c>
      <c r="O111" s="36">
        <f t="shared" si="1"/>
        <v>21990</v>
      </c>
      <c r="P111" s="28" t="s">
        <v>0</v>
      </c>
    </row>
    <row r="112" spans="1:16" ht="15.6" x14ac:dyDescent="0.3">
      <c r="A112" s="25" t="s">
        <v>3214</v>
      </c>
      <c r="B112" s="26">
        <v>46093</v>
      </c>
      <c r="C112" s="26">
        <v>46098</v>
      </c>
      <c r="D112" s="25">
        <v>3319</v>
      </c>
      <c r="E112" s="25">
        <v>327</v>
      </c>
      <c r="F112" s="25">
        <v>2</v>
      </c>
      <c r="G112" s="48">
        <v>1</v>
      </c>
      <c r="H112" s="48">
        <v>81433</v>
      </c>
      <c r="I112" s="48" t="s">
        <v>17</v>
      </c>
      <c r="J112" s="50">
        <v>66162669</v>
      </c>
      <c r="K112" s="53" t="s">
        <v>970</v>
      </c>
      <c r="L112" s="43" t="s">
        <v>977</v>
      </c>
      <c r="M112" s="54">
        <v>219900</v>
      </c>
      <c r="N112" s="57">
        <v>0.9</v>
      </c>
      <c r="O112" s="36">
        <f t="shared" si="1"/>
        <v>21990</v>
      </c>
      <c r="P112" s="28" t="s">
        <v>0</v>
      </c>
    </row>
    <row r="113" spans="1:16" ht="15.6" x14ac:dyDescent="0.3">
      <c r="A113" s="25" t="s">
        <v>3214</v>
      </c>
      <c r="B113" s="26">
        <v>46093</v>
      </c>
      <c r="C113" s="26">
        <v>46098</v>
      </c>
      <c r="D113" s="25">
        <v>3319</v>
      </c>
      <c r="E113" s="25">
        <v>327</v>
      </c>
      <c r="F113" s="25">
        <v>2</v>
      </c>
      <c r="G113" s="48">
        <v>1</v>
      </c>
      <c r="H113" s="48">
        <v>81433</v>
      </c>
      <c r="I113" s="48" t="s">
        <v>17</v>
      </c>
      <c r="J113" s="50">
        <v>66162678</v>
      </c>
      <c r="K113" s="53" t="s">
        <v>970</v>
      </c>
      <c r="L113" s="43" t="s">
        <v>978</v>
      </c>
      <c r="M113" s="54">
        <v>219900</v>
      </c>
      <c r="N113" s="57">
        <v>0.9</v>
      </c>
      <c r="O113" s="36">
        <f t="shared" si="1"/>
        <v>21990</v>
      </c>
      <c r="P113" s="28" t="s">
        <v>0</v>
      </c>
    </row>
    <row r="114" spans="1:16" ht="15.6" x14ac:dyDescent="0.3">
      <c r="A114" s="25" t="s">
        <v>3214</v>
      </c>
      <c r="B114" s="26">
        <v>46093</v>
      </c>
      <c r="C114" s="26">
        <v>46098</v>
      </c>
      <c r="D114" s="25">
        <v>3319</v>
      </c>
      <c r="E114" s="25">
        <v>327</v>
      </c>
      <c r="F114" s="25">
        <v>2</v>
      </c>
      <c r="G114" s="48">
        <v>1</v>
      </c>
      <c r="H114" s="48">
        <v>81433</v>
      </c>
      <c r="I114" s="48" t="s">
        <v>17</v>
      </c>
      <c r="J114" s="50">
        <v>66162703</v>
      </c>
      <c r="K114" s="53" t="s">
        <v>970</v>
      </c>
      <c r="L114" s="43" t="s">
        <v>979</v>
      </c>
      <c r="M114" s="54">
        <v>219900</v>
      </c>
      <c r="N114" s="57">
        <v>0.9</v>
      </c>
      <c r="O114" s="36">
        <f t="shared" si="1"/>
        <v>21990</v>
      </c>
      <c r="P114" s="28" t="s">
        <v>0</v>
      </c>
    </row>
    <row r="115" spans="1:16" ht="15.6" x14ac:dyDescent="0.3">
      <c r="A115" s="25" t="s">
        <v>3214</v>
      </c>
      <c r="B115" s="26">
        <v>46093</v>
      </c>
      <c r="C115" s="26">
        <v>46098</v>
      </c>
      <c r="D115" s="25">
        <v>3319</v>
      </c>
      <c r="E115" s="25">
        <v>327</v>
      </c>
      <c r="F115" s="25">
        <v>2</v>
      </c>
      <c r="G115" s="48">
        <v>1</v>
      </c>
      <c r="H115" s="48">
        <v>81433</v>
      </c>
      <c r="I115" s="48" t="s">
        <v>17</v>
      </c>
      <c r="J115" s="50">
        <v>66162712</v>
      </c>
      <c r="K115" s="53" t="s">
        <v>970</v>
      </c>
      <c r="L115" s="43" t="s">
        <v>980</v>
      </c>
      <c r="M115" s="54">
        <v>219900</v>
      </c>
      <c r="N115" s="57">
        <v>0.9</v>
      </c>
      <c r="O115" s="36">
        <f t="shared" si="1"/>
        <v>21990</v>
      </c>
      <c r="P115" s="28" t="s">
        <v>0</v>
      </c>
    </row>
    <row r="116" spans="1:16" ht="15.6" x14ac:dyDescent="0.3">
      <c r="A116" s="25" t="s">
        <v>3214</v>
      </c>
      <c r="B116" s="26">
        <v>46093</v>
      </c>
      <c r="C116" s="26">
        <v>46098</v>
      </c>
      <c r="D116" s="25">
        <v>3319</v>
      </c>
      <c r="E116" s="25">
        <v>327</v>
      </c>
      <c r="F116" s="25">
        <v>2</v>
      </c>
      <c r="G116" s="48">
        <v>1</v>
      </c>
      <c r="H116" s="48">
        <v>81433</v>
      </c>
      <c r="I116" s="48" t="s">
        <v>17</v>
      </c>
      <c r="J116" s="50">
        <v>66163024</v>
      </c>
      <c r="K116" s="53" t="s">
        <v>981</v>
      </c>
      <c r="L116" s="43" t="s">
        <v>982</v>
      </c>
      <c r="M116" s="54">
        <v>219900</v>
      </c>
      <c r="N116" s="57">
        <v>0.9</v>
      </c>
      <c r="O116" s="36">
        <f t="shared" si="1"/>
        <v>21990</v>
      </c>
      <c r="P116" s="28" t="s">
        <v>0</v>
      </c>
    </row>
    <row r="117" spans="1:16" ht="15.6" x14ac:dyDescent="0.3">
      <c r="A117" s="25" t="s">
        <v>3214</v>
      </c>
      <c r="B117" s="26">
        <v>46093</v>
      </c>
      <c r="C117" s="26">
        <v>46098</v>
      </c>
      <c r="D117" s="25">
        <v>3319</v>
      </c>
      <c r="E117" s="25">
        <v>327</v>
      </c>
      <c r="F117" s="25">
        <v>2</v>
      </c>
      <c r="G117" s="48">
        <v>1</v>
      </c>
      <c r="H117" s="48">
        <v>81433</v>
      </c>
      <c r="I117" s="48" t="s">
        <v>17</v>
      </c>
      <c r="J117" s="50">
        <v>66162954</v>
      </c>
      <c r="K117" s="53" t="s">
        <v>981</v>
      </c>
      <c r="L117" s="43" t="s">
        <v>983</v>
      </c>
      <c r="M117" s="54">
        <v>219900</v>
      </c>
      <c r="N117" s="57">
        <v>0.9</v>
      </c>
      <c r="O117" s="36">
        <f t="shared" si="1"/>
        <v>21990</v>
      </c>
      <c r="P117" s="28" t="s">
        <v>0</v>
      </c>
    </row>
    <row r="118" spans="1:16" ht="15.6" x14ac:dyDescent="0.3">
      <c r="A118" s="25" t="s">
        <v>3214</v>
      </c>
      <c r="B118" s="26">
        <v>46093</v>
      </c>
      <c r="C118" s="26">
        <v>46098</v>
      </c>
      <c r="D118" s="25">
        <v>3319</v>
      </c>
      <c r="E118" s="25">
        <v>327</v>
      </c>
      <c r="F118" s="25">
        <v>2</v>
      </c>
      <c r="G118" s="48">
        <v>1</v>
      </c>
      <c r="H118" s="48">
        <v>81433</v>
      </c>
      <c r="I118" s="48" t="s">
        <v>17</v>
      </c>
      <c r="J118" s="50">
        <v>66162990</v>
      </c>
      <c r="K118" s="53" t="s">
        <v>981</v>
      </c>
      <c r="L118" s="43" t="s">
        <v>984</v>
      </c>
      <c r="M118" s="54">
        <v>219900</v>
      </c>
      <c r="N118" s="57">
        <v>0.9</v>
      </c>
      <c r="O118" s="36">
        <f t="shared" si="1"/>
        <v>21990</v>
      </c>
      <c r="P118" s="28" t="s">
        <v>0</v>
      </c>
    </row>
    <row r="119" spans="1:16" ht="15.6" x14ac:dyDescent="0.3">
      <c r="A119" s="25" t="s">
        <v>3214</v>
      </c>
      <c r="B119" s="26">
        <v>46093</v>
      </c>
      <c r="C119" s="26">
        <v>46098</v>
      </c>
      <c r="D119" s="25">
        <v>3319</v>
      </c>
      <c r="E119" s="25">
        <v>327</v>
      </c>
      <c r="F119" s="25">
        <v>2</v>
      </c>
      <c r="G119" s="48">
        <v>1</v>
      </c>
      <c r="H119" s="48">
        <v>81433</v>
      </c>
      <c r="I119" s="48" t="s">
        <v>17</v>
      </c>
      <c r="J119" s="50">
        <v>66162972</v>
      </c>
      <c r="K119" s="53" t="s">
        <v>981</v>
      </c>
      <c r="L119" s="43" t="s">
        <v>985</v>
      </c>
      <c r="M119" s="54">
        <v>219900</v>
      </c>
      <c r="N119" s="57">
        <v>0.9</v>
      </c>
      <c r="O119" s="36">
        <f t="shared" si="1"/>
        <v>21990</v>
      </c>
      <c r="P119" s="28" t="s">
        <v>0</v>
      </c>
    </row>
    <row r="120" spans="1:16" ht="15.6" x14ac:dyDescent="0.3">
      <c r="A120" s="25" t="s">
        <v>3214</v>
      </c>
      <c r="B120" s="26">
        <v>46093</v>
      </c>
      <c r="C120" s="26">
        <v>46098</v>
      </c>
      <c r="D120" s="25">
        <v>3319</v>
      </c>
      <c r="E120" s="25">
        <v>327</v>
      </c>
      <c r="F120" s="25">
        <v>2</v>
      </c>
      <c r="G120" s="48">
        <v>1</v>
      </c>
      <c r="H120" s="48">
        <v>81433</v>
      </c>
      <c r="I120" s="48" t="s">
        <v>17</v>
      </c>
      <c r="J120" s="50">
        <v>66162945</v>
      </c>
      <c r="K120" s="53" t="s">
        <v>981</v>
      </c>
      <c r="L120" s="43" t="s">
        <v>986</v>
      </c>
      <c r="M120" s="54">
        <v>219900</v>
      </c>
      <c r="N120" s="57">
        <v>0.9</v>
      </c>
      <c r="O120" s="36">
        <f t="shared" si="1"/>
        <v>21990</v>
      </c>
      <c r="P120" s="28" t="s">
        <v>0</v>
      </c>
    </row>
    <row r="121" spans="1:16" ht="15.6" x14ac:dyDescent="0.3">
      <c r="A121" s="25" t="s">
        <v>3214</v>
      </c>
      <c r="B121" s="26">
        <v>46093</v>
      </c>
      <c r="C121" s="26">
        <v>46098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66162963</v>
      </c>
      <c r="K121" s="53" t="s">
        <v>981</v>
      </c>
      <c r="L121" s="43" t="s">
        <v>987</v>
      </c>
      <c r="M121" s="54">
        <v>219900</v>
      </c>
      <c r="N121" s="57">
        <v>0.9</v>
      </c>
      <c r="O121" s="36">
        <f t="shared" si="1"/>
        <v>21990</v>
      </c>
      <c r="P121" s="28" t="s">
        <v>0</v>
      </c>
    </row>
    <row r="122" spans="1:16" ht="15.6" x14ac:dyDescent="0.3">
      <c r="A122" s="25" t="s">
        <v>3214</v>
      </c>
      <c r="B122" s="26">
        <v>46093</v>
      </c>
      <c r="C122" s="26">
        <v>46098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66162981</v>
      </c>
      <c r="K122" s="53" t="s">
        <v>981</v>
      </c>
      <c r="L122" s="43" t="s">
        <v>988</v>
      </c>
      <c r="M122" s="54">
        <v>219900</v>
      </c>
      <c r="N122" s="57">
        <v>0.9</v>
      </c>
      <c r="O122" s="36">
        <f t="shared" si="1"/>
        <v>21990</v>
      </c>
      <c r="P122" s="28" t="s">
        <v>0</v>
      </c>
    </row>
    <row r="123" spans="1:16" ht="15.6" x14ac:dyDescent="0.3">
      <c r="A123" s="25" t="s">
        <v>3214</v>
      </c>
      <c r="B123" s="26">
        <v>46093</v>
      </c>
      <c r="C123" s="26">
        <v>46098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66163006</v>
      </c>
      <c r="K123" s="53" t="s">
        <v>981</v>
      </c>
      <c r="L123" s="43" t="s">
        <v>989</v>
      </c>
      <c r="M123" s="54">
        <v>219900</v>
      </c>
      <c r="N123" s="57">
        <v>0.9</v>
      </c>
      <c r="O123" s="36">
        <f t="shared" si="1"/>
        <v>21990</v>
      </c>
      <c r="P123" s="28" t="s">
        <v>0</v>
      </c>
    </row>
    <row r="124" spans="1:16" ht="15.6" x14ac:dyDescent="0.3">
      <c r="A124" s="25" t="s">
        <v>3214</v>
      </c>
      <c r="B124" s="26">
        <v>46093</v>
      </c>
      <c r="C124" s="26">
        <v>46098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67293187</v>
      </c>
      <c r="K124" s="53" t="s">
        <v>955</v>
      </c>
      <c r="L124" s="43" t="s">
        <v>990</v>
      </c>
      <c r="M124" s="54">
        <v>219900</v>
      </c>
      <c r="N124" s="57">
        <v>0.9</v>
      </c>
      <c r="O124" s="36">
        <f t="shared" si="1"/>
        <v>21990</v>
      </c>
      <c r="P124" s="28" t="s">
        <v>0</v>
      </c>
    </row>
    <row r="125" spans="1:16" ht="15.6" x14ac:dyDescent="0.3">
      <c r="A125" s="25" t="s">
        <v>3214</v>
      </c>
      <c r="B125" s="26">
        <v>46093</v>
      </c>
      <c r="C125" s="26">
        <v>46098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67293132</v>
      </c>
      <c r="K125" s="53" t="s">
        <v>955</v>
      </c>
      <c r="L125" s="43" t="s">
        <v>991</v>
      </c>
      <c r="M125" s="54">
        <v>219900</v>
      </c>
      <c r="N125" s="57">
        <v>0.9</v>
      </c>
      <c r="O125" s="36">
        <f t="shared" si="1"/>
        <v>21990</v>
      </c>
      <c r="P125" s="28" t="s">
        <v>0</v>
      </c>
    </row>
    <row r="126" spans="1:16" ht="15.6" x14ac:dyDescent="0.3">
      <c r="A126" s="25" t="s">
        <v>3214</v>
      </c>
      <c r="B126" s="26">
        <v>46093</v>
      </c>
      <c r="C126" s="26">
        <v>46098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67293196</v>
      </c>
      <c r="K126" s="53" t="s">
        <v>955</v>
      </c>
      <c r="L126" s="43" t="s">
        <v>992</v>
      </c>
      <c r="M126" s="54">
        <v>219900</v>
      </c>
      <c r="N126" s="57">
        <v>0.9</v>
      </c>
      <c r="O126" s="36">
        <f t="shared" si="1"/>
        <v>21990</v>
      </c>
      <c r="P126" s="28" t="s">
        <v>0</v>
      </c>
    </row>
    <row r="127" spans="1:16" ht="15.6" x14ac:dyDescent="0.3">
      <c r="A127" s="25" t="s">
        <v>3214</v>
      </c>
      <c r="B127" s="26">
        <v>46093</v>
      </c>
      <c r="C127" s="26">
        <v>46098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67293141</v>
      </c>
      <c r="K127" s="53" t="s">
        <v>955</v>
      </c>
      <c r="L127" s="43" t="s">
        <v>993</v>
      </c>
      <c r="M127" s="54">
        <v>219900</v>
      </c>
      <c r="N127" s="57">
        <v>0.9</v>
      </c>
      <c r="O127" s="36">
        <f t="shared" si="1"/>
        <v>21990</v>
      </c>
      <c r="P127" s="28" t="s">
        <v>0</v>
      </c>
    </row>
    <row r="128" spans="1:16" ht="15.6" x14ac:dyDescent="0.3">
      <c r="A128" s="25" t="s">
        <v>3214</v>
      </c>
      <c r="B128" s="26">
        <v>46093</v>
      </c>
      <c r="C128" s="26">
        <v>46098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67293150</v>
      </c>
      <c r="K128" s="53" t="s">
        <v>955</v>
      </c>
      <c r="L128" s="43" t="s">
        <v>994</v>
      </c>
      <c r="M128" s="54">
        <v>219900</v>
      </c>
      <c r="N128" s="57">
        <v>0.9</v>
      </c>
      <c r="O128" s="36">
        <f t="shared" si="1"/>
        <v>21990</v>
      </c>
      <c r="P128" s="28" t="s">
        <v>0</v>
      </c>
    </row>
    <row r="129" spans="1:16" ht="15.6" x14ac:dyDescent="0.3">
      <c r="A129" s="25" t="s">
        <v>3214</v>
      </c>
      <c r="B129" s="26">
        <v>46093</v>
      </c>
      <c r="C129" s="26">
        <v>46098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67293212</v>
      </c>
      <c r="K129" s="53" t="s">
        <v>955</v>
      </c>
      <c r="L129" s="43" t="s">
        <v>995</v>
      </c>
      <c r="M129" s="54">
        <v>219900</v>
      </c>
      <c r="N129" s="57">
        <v>0.9</v>
      </c>
      <c r="O129" s="36">
        <f t="shared" si="1"/>
        <v>21990</v>
      </c>
      <c r="P129" s="28" t="s">
        <v>0</v>
      </c>
    </row>
    <row r="130" spans="1:16" ht="15.6" x14ac:dyDescent="0.3">
      <c r="A130" s="25" t="s">
        <v>3214</v>
      </c>
      <c r="B130" s="26">
        <v>46093</v>
      </c>
      <c r="C130" s="26">
        <v>46098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67293221</v>
      </c>
      <c r="K130" s="53" t="s">
        <v>955</v>
      </c>
      <c r="L130" s="43" t="s">
        <v>996</v>
      </c>
      <c r="M130" s="54">
        <v>219900</v>
      </c>
      <c r="N130" s="57">
        <v>0.9</v>
      </c>
      <c r="O130" s="36">
        <f t="shared" si="1"/>
        <v>21990</v>
      </c>
      <c r="P130" s="28" t="s">
        <v>0</v>
      </c>
    </row>
    <row r="131" spans="1:16" ht="15.6" x14ac:dyDescent="0.3">
      <c r="A131" s="25" t="s">
        <v>3214</v>
      </c>
      <c r="B131" s="26">
        <v>46093</v>
      </c>
      <c r="C131" s="26">
        <v>46098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67293169</v>
      </c>
      <c r="K131" s="53" t="s">
        <v>955</v>
      </c>
      <c r="L131" s="43" t="s">
        <v>997</v>
      </c>
      <c r="M131" s="54">
        <v>219900</v>
      </c>
      <c r="N131" s="57">
        <v>0.9</v>
      </c>
      <c r="O131" s="36">
        <f t="shared" ref="O131:O194" si="2">M131*10%</f>
        <v>21990</v>
      </c>
      <c r="P131" s="28" t="s">
        <v>0</v>
      </c>
    </row>
    <row r="132" spans="1:16" ht="15.6" x14ac:dyDescent="0.3">
      <c r="A132" s="25" t="s">
        <v>3214</v>
      </c>
      <c r="B132" s="26">
        <v>46093</v>
      </c>
      <c r="C132" s="26">
        <v>46098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67293178</v>
      </c>
      <c r="K132" s="53" t="s">
        <v>955</v>
      </c>
      <c r="L132" s="43" t="s">
        <v>998</v>
      </c>
      <c r="M132" s="54">
        <v>219900</v>
      </c>
      <c r="N132" s="57">
        <v>0.9</v>
      </c>
      <c r="O132" s="36">
        <f t="shared" si="2"/>
        <v>21990</v>
      </c>
      <c r="P132" s="28" t="s">
        <v>0</v>
      </c>
    </row>
    <row r="133" spans="1:16" ht="15.6" x14ac:dyDescent="0.3">
      <c r="A133" s="25" t="s">
        <v>3214</v>
      </c>
      <c r="B133" s="26">
        <v>46093</v>
      </c>
      <c r="C133" s="26">
        <v>46098</v>
      </c>
      <c r="D133" s="25">
        <v>3319</v>
      </c>
      <c r="E133" s="25">
        <v>327</v>
      </c>
      <c r="F133" s="25">
        <v>2</v>
      </c>
      <c r="G133" s="48">
        <v>1</v>
      </c>
      <c r="H133" s="48">
        <v>70044</v>
      </c>
      <c r="I133" s="48" t="s">
        <v>17</v>
      </c>
      <c r="J133" s="50">
        <v>70802209</v>
      </c>
      <c r="K133" s="53" t="s">
        <v>999</v>
      </c>
      <c r="L133" s="43" t="s">
        <v>1000</v>
      </c>
      <c r="M133" s="54">
        <v>149900</v>
      </c>
      <c r="N133" s="57">
        <v>0.9</v>
      </c>
      <c r="O133" s="36">
        <f t="shared" si="2"/>
        <v>14990</v>
      </c>
      <c r="P133" s="28" t="s">
        <v>0</v>
      </c>
    </row>
    <row r="134" spans="1:16" ht="15.6" x14ac:dyDescent="0.3">
      <c r="A134" s="25" t="s">
        <v>3214</v>
      </c>
      <c r="B134" s="26">
        <v>46093</v>
      </c>
      <c r="C134" s="26">
        <v>46098</v>
      </c>
      <c r="D134" s="25">
        <v>3319</v>
      </c>
      <c r="E134" s="25">
        <v>327</v>
      </c>
      <c r="F134" s="25">
        <v>2</v>
      </c>
      <c r="G134" s="48">
        <v>1</v>
      </c>
      <c r="H134" s="48">
        <v>70044</v>
      </c>
      <c r="I134" s="48" t="s">
        <v>17</v>
      </c>
      <c r="J134" s="48">
        <v>70802352</v>
      </c>
      <c r="K134" s="53" t="s">
        <v>1001</v>
      </c>
      <c r="L134" s="43" t="s">
        <v>1002</v>
      </c>
      <c r="M134" s="54">
        <v>199900</v>
      </c>
      <c r="N134" s="57">
        <v>0.9</v>
      </c>
      <c r="O134" s="36">
        <f t="shared" si="2"/>
        <v>19990</v>
      </c>
      <c r="P134" s="28" t="s">
        <v>0</v>
      </c>
    </row>
    <row r="135" spans="1:16" ht="15.6" x14ac:dyDescent="0.3">
      <c r="A135" s="25" t="s">
        <v>3214</v>
      </c>
      <c r="B135" s="26">
        <v>46093</v>
      </c>
      <c r="C135" s="26">
        <v>46098</v>
      </c>
      <c r="D135" s="25">
        <v>3319</v>
      </c>
      <c r="E135" s="25">
        <v>327</v>
      </c>
      <c r="F135" s="25">
        <v>2</v>
      </c>
      <c r="G135" s="48">
        <v>1</v>
      </c>
      <c r="H135" s="48">
        <v>70044</v>
      </c>
      <c r="I135" s="48" t="s">
        <v>17</v>
      </c>
      <c r="J135" s="48">
        <v>70802370</v>
      </c>
      <c r="K135" s="53" t="s">
        <v>1001</v>
      </c>
      <c r="L135" s="43" t="s">
        <v>1003</v>
      </c>
      <c r="M135" s="54">
        <v>199900</v>
      </c>
      <c r="N135" s="57">
        <v>0.9</v>
      </c>
      <c r="O135" s="36">
        <f t="shared" si="2"/>
        <v>19990</v>
      </c>
      <c r="P135" s="28" t="s">
        <v>0</v>
      </c>
    </row>
    <row r="136" spans="1:16" ht="15.6" x14ac:dyDescent="0.3">
      <c r="A136" s="25" t="s">
        <v>3214</v>
      </c>
      <c r="B136" s="26">
        <v>46093</v>
      </c>
      <c r="C136" s="26">
        <v>46098</v>
      </c>
      <c r="D136" s="25">
        <v>3319</v>
      </c>
      <c r="E136" s="25">
        <v>327</v>
      </c>
      <c r="F136" s="25">
        <v>2</v>
      </c>
      <c r="G136" s="48">
        <v>1</v>
      </c>
      <c r="H136" s="48">
        <v>70044</v>
      </c>
      <c r="I136" s="48" t="s">
        <v>17</v>
      </c>
      <c r="J136" s="48">
        <v>70802147</v>
      </c>
      <c r="K136" s="53" t="s">
        <v>999</v>
      </c>
      <c r="L136" s="43" t="s">
        <v>1004</v>
      </c>
      <c r="M136" s="54">
        <v>149900</v>
      </c>
      <c r="N136" s="57">
        <v>0.9</v>
      </c>
      <c r="O136" s="36">
        <f t="shared" si="2"/>
        <v>14990</v>
      </c>
      <c r="P136" s="28" t="s">
        <v>0</v>
      </c>
    </row>
    <row r="137" spans="1:16" ht="15.6" x14ac:dyDescent="0.3">
      <c r="A137" s="25" t="s">
        <v>3214</v>
      </c>
      <c r="B137" s="26">
        <v>46093</v>
      </c>
      <c r="C137" s="26">
        <v>46098</v>
      </c>
      <c r="D137" s="25">
        <v>3319</v>
      </c>
      <c r="E137" s="25">
        <v>327</v>
      </c>
      <c r="F137" s="25">
        <v>2</v>
      </c>
      <c r="G137" s="48">
        <v>1</v>
      </c>
      <c r="H137" s="48">
        <v>70044</v>
      </c>
      <c r="I137" s="48" t="s">
        <v>17</v>
      </c>
      <c r="J137" s="48">
        <v>70802343</v>
      </c>
      <c r="K137" s="53" t="s">
        <v>1001</v>
      </c>
      <c r="L137" s="43" t="s">
        <v>1005</v>
      </c>
      <c r="M137" s="54">
        <v>199900</v>
      </c>
      <c r="N137" s="57">
        <v>0.9</v>
      </c>
      <c r="O137" s="36">
        <f t="shared" si="2"/>
        <v>19990</v>
      </c>
      <c r="P137" s="28" t="s">
        <v>0</v>
      </c>
    </row>
    <row r="138" spans="1:16" ht="15.6" x14ac:dyDescent="0.3">
      <c r="A138" s="25" t="s">
        <v>3214</v>
      </c>
      <c r="B138" s="26">
        <v>46093</v>
      </c>
      <c r="C138" s="26">
        <v>46098</v>
      </c>
      <c r="D138" s="25">
        <v>3319</v>
      </c>
      <c r="E138" s="25">
        <v>327</v>
      </c>
      <c r="F138" s="25">
        <v>2</v>
      </c>
      <c r="G138" s="48">
        <v>1</v>
      </c>
      <c r="H138" s="48">
        <v>70044</v>
      </c>
      <c r="I138" s="48" t="s">
        <v>17</v>
      </c>
      <c r="J138" s="48">
        <v>70802361</v>
      </c>
      <c r="K138" s="53" t="s">
        <v>1001</v>
      </c>
      <c r="L138" s="43" t="s">
        <v>1006</v>
      </c>
      <c r="M138" s="54">
        <v>199900</v>
      </c>
      <c r="N138" s="57">
        <v>0.9</v>
      </c>
      <c r="O138" s="36">
        <f t="shared" si="2"/>
        <v>19990</v>
      </c>
      <c r="P138" s="28" t="s">
        <v>0</v>
      </c>
    </row>
    <row r="139" spans="1:16" ht="15.6" x14ac:dyDescent="0.3">
      <c r="A139" s="25" t="s">
        <v>3214</v>
      </c>
      <c r="B139" s="26">
        <v>46093</v>
      </c>
      <c r="C139" s="26">
        <v>46098</v>
      </c>
      <c r="D139" s="25">
        <v>3319</v>
      </c>
      <c r="E139" s="25">
        <v>327</v>
      </c>
      <c r="F139" s="25">
        <v>2</v>
      </c>
      <c r="G139" s="48">
        <v>1</v>
      </c>
      <c r="H139" s="48">
        <v>70044</v>
      </c>
      <c r="I139" s="48" t="s">
        <v>17</v>
      </c>
      <c r="J139" s="48">
        <v>70802218</v>
      </c>
      <c r="K139" s="53" t="s">
        <v>999</v>
      </c>
      <c r="L139" s="43" t="s">
        <v>1007</v>
      </c>
      <c r="M139" s="54">
        <v>149900</v>
      </c>
      <c r="N139" s="57">
        <v>0.9</v>
      </c>
      <c r="O139" s="36">
        <f t="shared" si="2"/>
        <v>14990</v>
      </c>
      <c r="P139" s="28" t="s">
        <v>0</v>
      </c>
    </row>
    <row r="140" spans="1:16" ht="15.6" x14ac:dyDescent="0.3">
      <c r="A140" s="25" t="s">
        <v>3214</v>
      </c>
      <c r="B140" s="26">
        <v>46093</v>
      </c>
      <c r="C140" s="26">
        <v>46098</v>
      </c>
      <c r="D140" s="25">
        <v>3319</v>
      </c>
      <c r="E140" s="25">
        <v>327</v>
      </c>
      <c r="F140" s="25">
        <v>2</v>
      </c>
      <c r="G140" s="48">
        <v>1</v>
      </c>
      <c r="H140" s="48">
        <v>70044</v>
      </c>
      <c r="I140" s="48" t="s">
        <v>17</v>
      </c>
      <c r="J140" s="48">
        <v>70802129</v>
      </c>
      <c r="K140" s="53" t="s">
        <v>999</v>
      </c>
      <c r="L140" s="43" t="s">
        <v>1008</v>
      </c>
      <c r="M140" s="54">
        <v>149900</v>
      </c>
      <c r="N140" s="57">
        <v>0.9</v>
      </c>
      <c r="O140" s="36">
        <f t="shared" si="2"/>
        <v>14990</v>
      </c>
      <c r="P140" s="28" t="s">
        <v>0</v>
      </c>
    </row>
    <row r="141" spans="1:16" ht="15.6" x14ac:dyDescent="0.3">
      <c r="A141" s="25" t="s">
        <v>3214</v>
      </c>
      <c r="B141" s="26">
        <v>46093</v>
      </c>
      <c r="C141" s="26">
        <v>46098</v>
      </c>
      <c r="D141" s="25">
        <v>3319</v>
      </c>
      <c r="E141" s="25">
        <v>327</v>
      </c>
      <c r="F141" s="25">
        <v>2</v>
      </c>
      <c r="G141" s="48">
        <v>1</v>
      </c>
      <c r="H141" s="48">
        <v>70044</v>
      </c>
      <c r="I141" s="48" t="s">
        <v>17</v>
      </c>
      <c r="J141" s="48">
        <v>70802165</v>
      </c>
      <c r="K141" s="53" t="s">
        <v>999</v>
      </c>
      <c r="L141" s="43" t="s">
        <v>1009</v>
      </c>
      <c r="M141" s="54">
        <v>149900</v>
      </c>
      <c r="N141" s="57">
        <v>0.9</v>
      </c>
      <c r="O141" s="36">
        <f t="shared" si="2"/>
        <v>14990</v>
      </c>
      <c r="P141" s="28" t="s">
        <v>0</v>
      </c>
    </row>
    <row r="142" spans="1:16" ht="15.6" x14ac:dyDescent="0.3">
      <c r="A142" s="25" t="s">
        <v>3214</v>
      </c>
      <c r="B142" s="26">
        <v>46093</v>
      </c>
      <c r="C142" s="26">
        <v>46098</v>
      </c>
      <c r="D142" s="25">
        <v>3319</v>
      </c>
      <c r="E142" s="25">
        <v>327</v>
      </c>
      <c r="F142" s="25">
        <v>2</v>
      </c>
      <c r="G142" s="48">
        <v>1</v>
      </c>
      <c r="H142" s="48">
        <v>70044</v>
      </c>
      <c r="I142" s="48" t="s">
        <v>17</v>
      </c>
      <c r="J142" s="48">
        <v>70802174</v>
      </c>
      <c r="K142" s="53" t="s">
        <v>999</v>
      </c>
      <c r="L142" s="43" t="s">
        <v>1010</v>
      </c>
      <c r="M142" s="54">
        <v>149900</v>
      </c>
      <c r="N142" s="57">
        <v>0.9</v>
      </c>
      <c r="O142" s="36">
        <f t="shared" si="2"/>
        <v>14990</v>
      </c>
      <c r="P142" s="28" t="s">
        <v>0</v>
      </c>
    </row>
    <row r="143" spans="1:16" ht="15.6" x14ac:dyDescent="0.3">
      <c r="A143" s="25" t="s">
        <v>3214</v>
      </c>
      <c r="B143" s="26">
        <v>46093</v>
      </c>
      <c r="C143" s="26">
        <v>46098</v>
      </c>
      <c r="D143" s="25">
        <v>3319</v>
      </c>
      <c r="E143" s="25">
        <v>327</v>
      </c>
      <c r="F143" s="25">
        <v>2</v>
      </c>
      <c r="G143" s="48">
        <v>1</v>
      </c>
      <c r="H143" s="48">
        <v>70044</v>
      </c>
      <c r="I143" s="48" t="s">
        <v>17</v>
      </c>
      <c r="J143" s="48">
        <v>70802138</v>
      </c>
      <c r="K143" s="53" t="s">
        <v>999</v>
      </c>
      <c r="L143" s="43" t="s">
        <v>1011</v>
      </c>
      <c r="M143" s="54">
        <v>149900</v>
      </c>
      <c r="N143" s="57">
        <v>0.9</v>
      </c>
      <c r="O143" s="36">
        <f t="shared" si="2"/>
        <v>14990</v>
      </c>
      <c r="P143" s="28" t="s">
        <v>0</v>
      </c>
    </row>
    <row r="144" spans="1:16" ht="15.6" x14ac:dyDescent="0.3">
      <c r="A144" s="25" t="s">
        <v>3214</v>
      </c>
      <c r="B144" s="26">
        <v>46093</v>
      </c>
      <c r="C144" s="26">
        <v>46098</v>
      </c>
      <c r="D144" s="25">
        <v>3319</v>
      </c>
      <c r="E144" s="25">
        <v>327</v>
      </c>
      <c r="F144" s="25">
        <v>2</v>
      </c>
      <c r="G144" s="48">
        <v>1</v>
      </c>
      <c r="H144" s="48">
        <v>70044</v>
      </c>
      <c r="I144" s="48" t="s">
        <v>17</v>
      </c>
      <c r="J144" s="48">
        <v>70802156</v>
      </c>
      <c r="K144" s="53" t="s">
        <v>999</v>
      </c>
      <c r="L144" s="43" t="s">
        <v>1012</v>
      </c>
      <c r="M144" s="54">
        <v>149900</v>
      </c>
      <c r="N144" s="57">
        <v>0.9</v>
      </c>
      <c r="O144" s="36">
        <f t="shared" si="2"/>
        <v>14990</v>
      </c>
      <c r="P144" s="28" t="s">
        <v>0</v>
      </c>
    </row>
    <row r="145" spans="1:16" ht="15.6" x14ac:dyDescent="0.3">
      <c r="A145" s="25" t="s">
        <v>3214</v>
      </c>
      <c r="B145" s="26">
        <v>46093</v>
      </c>
      <c r="C145" s="26">
        <v>46098</v>
      </c>
      <c r="D145" s="25">
        <v>3319</v>
      </c>
      <c r="E145" s="25">
        <v>327</v>
      </c>
      <c r="F145" s="25">
        <v>2</v>
      </c>
      <c r="G145" s="48">
        <v>1</v>
      </c>
      <c r="H145" s="48">
        <v>70044</v>
      </c>
      <c r="I145" s="48" t="s">
        <v>17</v>
      </c>
      <c r="J145" s="48">
        <v>70802183</v>
      </c>
      <c r="K145" s="53" t="s">
        <v>999</v>
      </c>
      <c r="L145" s="43" t="s">
        <v>1013</v>
      </c>
      <c r="M145" s="54">
        <v>149900</v>
      </c>
      <c r="N145" s="57">
        <v>0.9</v>
      </c>
      <c r="O145" s="36">
        <f t="shared" si="2"/>
        <v>14990</v>
      </c>
      <c r="P145" s="28" t="s">
        <v>0</v>
      </c>
    </row>
    <row r="146" spans="1:16" ht="15.6" x14ac:dyDescent="0.3">
      <c r="A146" s="25" t="s">
        <v>3214</v>
      </c>
      <c r="B146" s="26">
        <v>46093</v>
      </c>
      <c r="C146" s="26">
        <v>46098</v>
      </c>
      <c r="D146" s="25">
        <v>3319</v>
      </c>
      <c r="E146" s="25">
        <v>327</v>
      </c>
      <c r="F146" s="25">
        <v>2</v>
      </c>
      <c r="G146" s="48">
        <v>1</v>
      </c>
      <c r="H146" s="48">
        <v>70044</v>
      </c>
      <c r="I146" s="48" t="s">
        <v>17</v>
      </c>
      <c r="J146" s="48">
        <v>70802192</v>
      </c>
      <c r="K146" s="53" t="s">
        <v>999</v>
      </c>
      <c r="L146" s="43" t="s">
        <v>1014</v>
      </c>
      <c r="M146" s="54">
        <v>149900</v>
      </c>
      <c r="N146" s="57">
        <v>0.9</v>
      </c>
      <c r="O146" s="36">
        <f t="shared" si="2"/>
        <v>14990</v>
      </c>
      <c r="P146" s="28" t="s">
        <v>0</v>
      </c>
    </row>
    <row r="147" spans="1:16" ht="15.6" x14ac:dyDescent="0.3">
      <c r="A147" s="25" t="s">
        <v>3214</v>
      </c>
      <c r="B147" s="26">
        <v>46093</v>
      </c>
      <c r="C147" s="26">
        <v>46098</v>
      </c>
      <c r="D147" s="25">
        <v>3319</v>
      </c>
      <c r="E147" s="25">
        <v>327</v>
      </c>
      <c r="F147" s="25">
        <v>2</v>
      </c>
      <c r="G147" s="48">
        <v>1</v>
      </c>
      <c r="H147" s="48">
        <v>70044</v>
      </c>
      <c r="I147" s="48" t="s">
        <v>17</v>
      </c>
      <c r="J147" s="48">
        <v>70802389</v>
      </c>
      <c r="K147" s="53" t="s">
        <v>1001</v>
      </c>
      <c r="L147" s="43" t="s">
        <v>1015</v>
      </c>
      <c r="M147" s="54">
        <v>199900</v>
      </c>
      <c r="N147" s="57">
        <v>0.9</v>
      </c>
      <c r="O147" s="36">
        <f t="shared" si="2"/>
        <v>19990</v>
      </c>
      <c r="P147" s="28" t="s">
        <v>0</v>
      </c>
    </row>
    <row r="148" spans="1:16" ht="15.6" x14ac:dyDescent="0.3">
      <c r="A148" s="25" t="s">
        <v>3214</v>
      </c>
      <c r="B148" s="26">
        <v>46093</v>
      </c>
      <c r="C148" s="26">
        <v>46098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67293454</v>
      </c>
      <c r="K148" s="53" t="s">
        <v>1016</v>
      </c>
      <c r="L148" s="43" t="s">
        <v>1017</v>
      </c>
      <c r="M148" s="54">
        <v>219900</v>
      </c>
      <c r="N148" s="57">
        <v>0.9</v>
      </c>
      <c r="O148" s="36">
        <f t="shared" si="2"/>
        <v>21990</v>
      </c>
      <c r="P148" s="28" t="s">
        <v>0</v>
      </c>
    </row>
    <row r="149" spans="1:16" ht="15.6" x14ac:dyDescent="0.3">
      <c r="A149" s="25" t="s">
        <v>3214</v>
      </c>
      <c r="B149" s="26">
        <v>46093</v>
      </c>
      <c r="C149" s="26">
        <v>46098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67293445</v>
      </c>
      <c r="K149" s="53" t="s">
        <v>1016</v>
      </c>
      <c r="L149" s="43" t="s">
        <v>1018</v>
      </c>
      <c r="M149" s="54">
        <v>219900</v>
      </c>
      <c r="N149" s="57">
        <v>0.9</v>
      </c>
      <c r="O149" s="36">
        <f t="shared" si="2"/>
        <v>21990</v>
      </c>
      <c r="P149" s="28" t="s">
        <v>0</v>
      </c>
    </row>
    <row r="150" spans="1:16" ht="15.6" x14ac:dyDescent="0.3">
      <c r="A150" s="25" t="s">
        <v>3214</v>
      </c>
      <c r="B150" s="26">
        <v>46093</v>
      </c>
      <c r="C150" s="26">
        <v>46098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67293481</v>
      </c>
      <c r="K150" s="53" t="s">
        <v>1016</v>
      </c>
      <c r="L150" s="43" t="s">
        <v>1019</v>
      </c>
      <c r="M150" s="54">
        <v>219900</v>
      </c>
      <c r="N150" s="57">
        <v>0.9</v>
      </c>
      <c r="O150" s="36">
        <f t="shared" si="2"/>
        <v>21990</v>
      </c>
      <c r="P150" s="28" t="s">
        <v>0</v>
      </c>
    </row>
    <row r="151" spans="1:16" ht="15.6" x14ac:dyDescent="0.3">
      <c r="A151" s="25" t="s">
        <v>3214</v>
      </c>
      <c r="B151" s="26">
        <v>46093</v>
      </c>
      <c r="C151" s="26">
        <v>46098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67293534</v>
      </c>
      <c r="K151" s="53" t="s">
        <v>1016</v>
      </c>
      <c r="L151" s="43" t="s">
        <v>1020</v>
      </c>
      <c r="M151" s="54">
        <v>219900</v>
      </c>
      <c r="N151" s="57">
        <v>0.9</v>
      </c>
      <c r="O151" s="36">
        <f t="shared" si="2"/>
        <v>21990</v>
      </c>
      <c r="P151" s="28" t="s">
        <v>0</v>
      </c>
    </row>
    <row r="152" spans="1:16" ht="15.6" x14ac:dyDescent="0.3">
      <c r="A152" s="25" t="s">
        <v>3214</v>
      </c>
      <c r="B152" s="26">
        <v>46093</v>
      </c>
      <c r="C152" s="26">
        <v>46098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67293463</v>
      </c>
      <c r="K152" s="53" t="s">
        <v>1016</v>
      </c>
      <c r="L152" s="43" t="s">
        <v>1021</v>
      </c>
      <c r="M152" s="54">
        <v>219900</v>
      </c>
      <c r="N152" s="57">
        <v>0.9</v>
      </c>
      <c r="O152" s="36">
        <f t="shared" si="2"/>
        <v>21990</v>
      </c>
      <c r="P152" s="28" t="s">
        <v>0</v>
      </c>
    </row>
    <row r="153" spans="1:16" ht="15.6" x14ac:dyDescent="0.3">
      <c r="A153" s="25" t="s">
        <v>3214</v>
      </c>
      <c r="B153" s="26">
        <v>46093</v>
      </c>
      <c r="C153" s="26">
        <v>46098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67293516</v>
      </c>
      <c r="K153" s="53" t="s">
        <v>1016</v>
      </c>
      <c r="L153" s="43" t="s">
        <v>1022</v>
      </c>
      <c r="M153" s="54">
        <v>219900</v>
      </c>
      <c r="N153" s="57">
        <v>0.9</v>
      </c>
      <c r="O153" s="36">
        <f t="shared" si="2"/>
        <v>21990</v>
      </c>
      <c r="P153" s="28" t="s">
        <v>0</v>
      </c>
    </row>
    <row r="154" spans="1:16" ht="15.6" x14ac:dyDescent="0.3">
      <c r="A154" s="25" t="s">
        <v>3214</v>
      </c>
      <c r="B154" s="26">
        <v>46093</v>
      </c>
      <c r="C154" s="26">
        <v>46098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67293472</v>
      </c>
      <c r="K154" s="53" t="s">
        <v>1016</v>
      </c>
      <c r="L154" s="43" t="s">
        <v>1023</v>
      </c>
      <c r="M154" s="54">
        <v>219900</v>
      </c>
      <c r="N154" s="57">
        <v>0.9</v>
      </c>
      <c r="O154" s="36">
        <f t="shared" si="2"/>
        <v>21990</v>
      </c>
      <c r="P154" s="28" t="s">
        <v>0</v>
      </c>
    </row>
    <row r="155" spans="1:16" ht="15.6" x14ac:dyDescent="0.3">
      <c r="A155" s="25" t="s">
        <v>3214</v>
      </c>
      <c r="B155" s="26">
        <v>46093</v>
      </c>
      <c r="C155" s="26">
        <v>46098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67293490</v>
      </c>
      <c r="K155" s="53" t="s">
        <v>1016</v>
      </c>
      <c r="L155" s="43" t="s">
        <v>1024</v>
      </c>
      <c r="M155" s="54">
        <v>219900</v>
      </c>
      <c r="N155" s="57">
        <v>0.9</v>
      </c>
      <c r="O155" s="36">
        <f t="shared" si="2"/>
        <v>21990</v>
      </c>
      <c r="P155" s="28" t="s">
        <v>0</v>
      </c>
    </row>
    <row r="156" spans="1:16" ht="15.6" x14ac:dyDescent="0.3">
      <c r="A156" s="25" t="s">
        <v>3214</v>
      </c>
      <c r="B156" s="26">
        <v>46093</v>
      </c>
      <c r="C156" s="26">
        <v>46098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67293507</v>
      </c>
      <c r="K156" s="53" t="s">
        <v>1016</v>
      </c>
      <c r="L156" s="43" t="s">
        <v>1025</v>
      </c>
      <c r="M156" s="54">
        <v>219900</v>
      </c>
      <c r="N156" s="57">
        <v>0.9</v>
      </c>
      <c r="O156" s="36">
        <f t="shared" si="2"/>
        <v>21990</v>
      </c>
      <c r="P156" s="28" t="s">
        <v>0</v>
      </c>
    </row>
    <row r="157" spans="1:16" ht="15.6" x14ac:dyDescent="0.3">
      <c r="A157" s="25" t="s">
        <v>3214</v>
      </c>
      <c r="B157" s="26">
        <v>46093</v>
      </c>
      <c r="C157" s="26">
        <v>46098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67293525</v>
      </c>
      <c r="K157" s="53" t="s">
        <v>1016</v>
      </c>
      <c r="L157" s="43" t="s">
        <v>1026</v>
      </c>
      <c r="M157" s="54">
        <v>219900</v>
      </c>
      <c r="N157" s="57">
        <v>0.9</v>
      </c>
      <c r="O157" s="36">
        <f t="shared" si="2"/>
        <v>21990</v>
      </c>
      <c r="P157" s="28" t="s">
        <v>0</v>
      </c>
    </row>
    <row r="158" spans="1:16" ht="15.6" x14ac:dyDescent="0.3">
      <c r="A158" s="25" t="s">
        <v>3214</v>
      </c>
      <c r="B158" s="26">
        <v>46093</v>
      </c>
      <c r="C158" s="26">
        <v>46098</v>
      </c>
      <c r="D158" s="25">
        <v>3319</v>
      </c>
      <c r="E158" s="25">
        <v>327</v>
      </c>
      <c r="F158" s="25">
        <v>2</v>
      </c>
      <c r="G158" s="48">
        <v>1</v>
      </c>
      <c r="H158" s="48">
        <v>70044</v>
      </c>
      <c r="I158" s="28" t="s">
        <v>17</v>
      </c>
      <c r="J158" s="48">
        <v>70802487</v>
      </c>
      <c r="K158" s="53" t="s">
        <v>1027</v>
      </c>
      <c r="L158" s="43" t="s">
        <v>1028</v>
      </c>
      <c r="M158" s="54">
        <v>239900</v>
      </c>
      <c r="N158" s="57">
        <v>0.9</v>
      </c>
      <c r="O158" s="36">
        <f t="shared" si="2"/>
        <v>23990</v>
      </c>
      <c r="P158" s="28" t="s">
        <v>0</v>
      </c>
    </row>
    <row r="159" spans="1:16" ht="15.6" x14ac:dyDescent="0.3">
      <c r="A159" s="25" t="s">
        <v>3214</v>
      </c>
      <c r="B159" s="26">
        <v>46093</v>
      </c>
      <c r="C159" s="26">
        <v>46098</v>
      </c>
      <c r="D159" s="25">
        <v>3319</v>
      </c>
      <c r="E159" s="25">
        <v>327</v>
      </c>
      <c r="F159" s="25">
        <v>2</v>
      </c>
      <c r="G159" s="48">
        <v>1</v>
      </c>
      <c r="H159" s="48">
        <v>70044</v>
      </c>
      <c r="I159" s="28" t="s">
        <v>17</v>
      </c>
      <c r="J159" s="48">
        <v>70802496</v>
      </c>
      <c r="K159" s="53" t="s">
        <v>1027</v>
      </c>
      <c r="L159" s="43" t="s">
        <v>1029</v>
      </c>
      <c r="M159" s="54">
        <v>239900</v>
      </c>
      <c r="N159" s="57">
        <v>0.9</v>
      </c>
      <c r="O159" s="36">
        <f t="shared" si="2"/>
        <v>23990</v>
      </c>
      <c r="P159" s="28" t="s">
        <v>0</v>
      </c>
    </row>
    <row r="160" spans="1:16" ht="15.6" x14ac:dyDescent="0.3">
      <c r="A160" s="25" t="s">
        <v>3214</v>
      </c>
      <c r="B160" s="26">
        <v>46093</v>
      </c>
      <c r="C160" s="26">
        <v>46098</v>
      </c>
      <c r="D160" s="25">
        <v>3319</v>
      </c>
      <c r="E160" s="25">
        <v>327</v>
      </c>
      <c r="F160" s="25">
        <v>2</v>
      </c>
      <c r="G160" s="48">
        <v>1</v>
      </c>
      <c r="H160" s="48">
        <v>70044</v>
      </c>
      <c r="I160" s="28" t="s">
        <v>17</v>
      </c>
      <c r="J160" s="48">
        <v>70802503</v>
      </c>
      <c r="K160" s="53" t="s">
        <v>1027</v>
      </c>
      <c r="L160" s="43" t="s">
        <v>1030</v>
      </c>
      <c r="M160" s="54">
        <v>239900</v>
      </c>
      <c r="N160" s="57">
        <v>0.9</v>
      </c>
      <c r="O160" s="36">
        <f t="shared" si="2"/>
        <v>23990</v>
      </c>
      <c r="P160" s="28" t="s">
        <v>0</v>
      </c>
    </row>
    <row r="161" spans="1:16" ht="15.6" x14ac:dyDescent="0.3">
      <c r="A161" s="25" t="s">
        <v>3214</v>
      </c>
      <c r="B161" s="26">
        <v>46093</v>
      </c>
      <c r="C161" s="26">
        <v>46098</v>
      </c>
      <c r="D161" s="25">
        <v>3319</v>
      </c>
      <c r="E161" s="25">
        <v>327</v>
      </c>
      <c r="F161" s="25">
        <v>2</v>
      </c>
      <c r="G161" s="48">
        <v>1</v>
      </c>
      <c r="H161" s="48">
        <v>70044</v>
      </c>
      <c r="I161" s="28" t="s">
        <v>17</v>
      </c>
      <c r="J161" s="48">
        <v>70802512</v>
      </c>
      <c r="K161" s="53" t="s">
        <v>1027</v>
      </c>
      <c r="L161" s="43" t="s">
        <v>1031</v>
      </c>
      <c r="M161" s="54">
        <v>239900</v>
      </c>
      <c r="N161" s="57">
        <v>0.9</v>
      </c>
      <c r="O161" s="36">
        <f t="shared" si="2"/>
        <v>23990</v>
      </c>
      <c r="P161" s="28" t="s">
        <v>0</v>
      </c>
    </row>
    <row r="162" spans="1:16" ht="15.6" x14ac:dyDescent="0.3">
      <c r="A162" s="25" t="s">
        <v>3214</v>
      </c>
      <c r="B162" s="26">
        <v>46093</v>
      </c>
      <c r="C162" s="26">
        <v>46098</v>
      </c>
      <c r="D162" s="25">
        <v>3319</v>
      </c>
      <c r="E162" s="25">
        <v>327</v>
      </c>
      <c r="F162" s="25">
        <v>2</v>
      </c>
      <c r="G162" s="48">
        <v>1</v>
      </c>
      <c r="H162" s="48">
        <v>70044</v>
      </c>
      <c r="I162" s="28" t="s">
        <v>17</v>
      </c>
      <c r="J162" s="48">
        <v>70802521</v>
      </c>
      <c r="K162" s="53" t="s">
        <v>1027</v>
      </c>
      <c r="L162" s="43" t="s">
        <v>1032</v>
      </c>
      <c r="M162" s="54">
        <v>239900</v>
      </c>
      <c r="N162" s="57">
        <v>0.9</v>
      </c>
      <c r="O162" s="36">
        <f t="shared" si="2"/>
        <v>23990</v>
      </c>
      <c r="P162" s="28" t="s">
        <v>0</v>
      </c>
    </row>
    <row r="163" spans="1:16" ht="15.6" x14ac:dyDescent="0.3">
      <c r="A163" s="25" t="s">
        <v>3214</v>
      </c>
      <c r="B163" s="26">
        <v>46093</v>
      </c>
      <c r="C163" s="26">
        <v>46098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73314704</v>
      </c>
      <c r="K163" s="53" t="s">
        <v>1033</v>
      </c>
      <c r="L163" s="43" t="s">
        <v>1034</v>
      </c>
      <c r="M163" s="54">
        <v>199900</v>
      </c>
      <c r="N163" s="57">
        <v>0.9</v>
      </c>
      <c r="O163" s="36">
        <f t="shared" si="2"/>
        <v>19990</v>
      </c>
      <c r="P163" s="28" t="s">
        <v>0</v>
      </c>
    </row>
    <row r="164" spans="1:16" ht="15.6" x14ac:dyDescent="0.3">
      <c r="A164" s="25" t="s">
        <v>3214</v>
      </c>
      <c r="B164" s="26">
        <v>46093</v>
      </c>
      <c r="C164" s="26">
        <v>46098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73314768</v>
      </c>
      <c r="K164" s="53" t="s">
        <v>1033</v>
      </c>
      <c r="L164" s="43" t="s">
        <v>1035</v>
      </c>
      <c r="M164" s="54">
        <v>199900</v>
      </c>
      <c r="N164" s="57">
        <v>0.9</v>
      </c>
      <c r="O164" s="36">
        <f t="shared" si="2"/>
        <v>19990</v>
      </c>
      <c r="P164" s="28" t="s">
        <v>0</v>
      </c>
    </row>
    <row r="165" spans="1:16" ht="15.6" x14ac:dyDescent="0.3">
      <c r="A165" s="25" t="s">
        <v>3214</v>
      </c>
      <c r="B165" s="26">
        <v>46093</v>
      </c>
      <c r="C165" s="26">
        <v>46098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73314786</v>
      </c>
      <c r="K165" s="53" t="s">
        <v>1033</v>
      </c>
      <c r="L165" s="43" t="s">
        <v>1036</v>
      </c>
      <c r="M165" s="54">
        <v>199900</v>
      </c>
      <c r="N165" s="57">
        <v>0.9</v>
      </c>
      <c r="O165" s="36">
        <f t="shared" si="2"/>
        <v>19990</v>
      </c>
      <c r="P165" s="28" t="s">
        <v>0</v>
      </c>
    </row>
    <row r="166" spans="1:16" ht="15.6" x14ac:dyDescent="0.3">
      <c r="A166" s="25" t="s">
        <v>3214</v>
      </c>
      <c r="B166" s="26">
        <v>46093</v>
      </c>
      <c r="C166" s="26">
        <v>46098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73314722</v>
      </c>
      <c r="K166" s="53" t="s">
        <v>1033</v>
      </c>
      <c r="L166" s="43" t="s">
        <v>1037</v>
      </c>
      <c r="M166" s="54">
        <v>199900</v>
      </c>
      <c r="N166" s="57">
        <v>0.9</v>
      </c>
      <c r="O166" s="36">
        <f t="shared" si="2"/>
        <v>19990</v>
      </c>
      <c r="P166" s="28" t="s">
        <v>0</v>
      </c>
    </row>
    <row r="167" spans="1:16" ht="15.6" x14ac:dyDescent="0.3">
      <c r="A167" s="25" t="s">
        <v>3214</v>
      </c>
      <c r="B167" s="26">
        <v>46093</v>
      </c>
      <c r="C167" s="26">
        <v>46098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73314740</v>
      </c>
      <c r="K167" s="53" t="s">
        <v>1033</v>
      </c>
      <c r="L167" s="43" t="s">
        <v>1038</v>
      </c>
      <c r="M167" s="54">
        <v>199900</v>
      </c>
      <c r="N167" s="57">
        <v>0.9</v>
      </c>
      <c r="O167" s="36">
        <f t="shared" si="2"/>
        <v>19990</v>
      </c>
      <c r="P167" s="28" t="s">
        <v>0</v>
      </c>
    </row>
    <row r="168" spans="1:16" ht="15.6" x14ac:dyDescent="0.3">
      <c r="A168" s="25" t="s">
        <v>3214</v>
      </c>
      <c r="B168" s="26">
        <v>46093</v>
      </c>
      <c r="C168" s="26">
        <v>46098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73314731</v>
      </c>
      <c r="K168" s="53" t="s">
        <v>1033</v>
      </c>
      <c r="L168" s="43" t="s">
        <v>1039</v>
      </c>
      <c r="M168" s="54">
        <v>199900</v>
      </c>
      <c r="N168" s="57">
        <v>0.9</v>
      </c>
      <c r="O168" s="36">
        <f t="shared" si="2"/>
        <v>19990</v>
      </c>
      <c r="P168" s="28" t="s">
        <v>0</v>
      </c>
    </row>
    <row r="169" spans="1:16" ht="15.6" x14ac:dyDescent="0.3">
      <c r="A169" s="25" t="s">
        <v>3214</v>
      </c>
      <c r="B169" s="26">
        <v>46093</v>
      </c>
      <c r="C169" s="26">
        <v>46098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73314759</v>
      </c>
      <c r="K169" s="53" t="s">
        <v>1033</v>
      </c>
      <c r="L169" s="43" t="s">
        <v>1040</v>
      </c>
      <c r="M169" s="54">
        <v>199900</v>
      </c>
      <c r="N169" s="57">
        <v>0.9</v>
      </c>
      <c r="O169" s="36">
        <f t="shared" si="2"/>
        <v>19990</v>
      </c>
      <c r="P169" s="28" t="s">
        <v>0</v>
      </c>
    </row>
    <row r="170" spans="1:16" ht="15.6" x14ac:dyDescent="0.3">
      <c r="A170" s="25" t="s">
        <v>3214</v>
      </c>
      <c r="B170" s="26">
        <v>46093</v>
      </c>
      <c r="C170" s="26">
        <v>46098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73314713</v>
      </c>
      <c r="K170" s="53" t="s">
        <v>1033</v>
      </c>
      <c r="L170" s="43" t="s">
        <v>1041</v>
      </c>
      <c r="M170" s="54">
        <v>199900</v>
      </c>
      <c r="N170" s="57">
        <v>0.9</v>
      </c>
      <c r="O170" s="36">
        <f t="shared" si="2"/>
        <v>19990</v>
      </c>
      <c r="P170" s="28" t="s">
        <v>0</v>
      </c>
    </row>
    <row r="171" spans="1:16" ht="15.6" x14ac:dyDescent="0.3">
      <c r="A171" s="25" t="s">
        <v>3214</v>
      </c>
      <c r="B171" s="26">
        <v>46093</v>
      </c>
      <c r="C171" s="26">
        <v>46098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73314777</v>
      </c>
      <c r="K171" s="53" t="s">
        <v>1033</v>
      </c>
      <c r="L171" s="43" t="s">
        <v>1042</v>
      </c>
      <c r="M171" s="54">
        <v>199900</v>
      </c>
      <c r="N171" s="57">
        <v>0.9</v>
      </c>
      <c r="O171" s="36">
        <f t="shared" si="2"/>
        <v>19990</v>
      </c>
      <c r="P171" s="28" t="s">
        <v>0</v>
      </c>
    </row>
    <row r="172" spans="1:16" ht="15.6" x14ac:dyDescent="0.3">
      <c r="A172" s="25" t="s">
        <v>3214</v>
      </c>
      <c r="B172" s="26">
        <v>46093</v>
      </c>
      <c r="C172" s="26">
        <v>46098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73314795</v>
      </c>
      <c r="K172" s="53" t="s">
        <v>1033</v>
      </c>
      <c r="L172" s="43" t="s">
        <v>1043</v>
      </c>
      <c r="M172" s="54">
        <v>199900</v>
      </c>
      <c r="N172" s="57">
        <v>0.9</v>
      </c>
      <c r="O172" s="36">
        <f t="shared" si="2"/>
        <v>19990</v>
      </c>
      <c r="P172" s="28" t="s">
        <v>0</v>
      </c>
    </row>
    <row r="173" spans="1:16" ht="15.6" x14ac:dyDescent="0.3">
      <c r="A173" s="25" t="s">
        <v>3214</v>
      </c>
      <c r="B173" s="26">
        <v>46093</v>
      </c>
      <c r="C173" s="26">
        <v>46098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43275161</v>
      </c>
      <c r="K173" s="38" t="s">
        <v>1044</v>
      </c>
      <c r="L173" t="s">
        <v>1045</v>
      </c>
      <c r="M173" s="37">
        <v>329900</v>
      </c>
      <c r="N173" s="57">
        <v>0.9</v>
      </c>
      <c r="O173" s="36">
        <f t="shared" si="2"/>
        <v>32990</v>
      </c>
      <c r="P173" s="28" t="s">
        <v>0</v>
      </c>
    </row>
    <row r="174" spans="1:16" ht="15.6" x14ac:dyDescent="0.3">
      <c r="A174" s="25" t="s">
        <v>3214</v>
      </c>
      <c r="B174" s="26">
        <v>46093</v>
      </c>
      <c r="C174" s="26">
        <v>46098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43275143</v>
      </c>
      <c r="K174" s="38" t="s">
        <v>1044</v>
      </c>
      <c r="L174" t="s">
        <v>1046</v>
      </c>
      <c r="M174" s="37">
        <v>329900</v>
      </c>
      <c r="N174" s="57">
        <v>0.9</v>
      </c>
      <c r="O174" s="36">
        <f t="shared" si="2"/>
        <v>32990</v>
      </c>
      <c r="P174" s="28" t="s">
        <v>0</v>
      </c>
    </row>
    <row r="175" spans="1:16" ht="15.6" x14ac:dyDescent="0.3">
      <c r="A175" s="25" t="s">
        <v>3214</v>
      </c>
      <c r="B175" s="26">
        <v>46093</v>
      </c>
      <c r="C175" s="26">
        <v>46098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43275170</v>
      </c>
      <c r="K175" s="38" t="s">
        <v>1044</v>
      </c>
      <c r="L175" t="s">
        <v>1047</v>
      </c>
      <c r="M175" s="37">
        <v>329900</v>
      </c>
      <c r="N175" s="57">
        <v>0.9</v>
      </c>
      <c r="O175" s="36">
        <f t="shared" si="2"/>
        <v>32990</v>
      </c>
      <c r="P175" s="28" t="s">
        <v>0</v>
      </c>
    </row>
    <row r="176" spans="1:16" ht="15.6" x14ac:dyDescent="0.3">
      <c r="A176" s="25" t="s">
        <v>3214</v>
      </c>
      <c r="B176" s="26">
        <v>46093</v>
      </c>
      <c r="C176" s="26">
        <v>46098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43275134</v>
      </c>
      <c r="K176" s="38" t="s">
        <v>1044</v>
      </c>
      <c r="L176" t="s">
        <v>1048</v>
      </c>
      <c r="M176" s="37">
        <v>329900</v>
      </c>
      <c r="N176" s="57">
        <v>0.9</v>
      </c>
      <c r="O176" s="36">
        <f t="shared" si="2"/>
        <v>32990</v>
      </c>
      <c r="P176" s="28" t="s">
        <v>0</v>
      </c>
    </row>
    <row r="177" spans="1:16" ht="15.6" x14ac:dyDescent="0.3">
      <c r="A177" s="25" t="s">
        <v>3214</v>
      </c>
      <c r="B177" s="26">
        <v>46093</v>
      </c>
      <c r="C177" s="26">
        <v>46098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43275152</v>
      </c>
      <c r="K177" s="38" t="s">
        <v>1044</v>
      </c>
      <c r="L177" t="s">
        <v>1049</v>
      </c>
      <c r="M177" s="37">
        <v>329900</v>
      </c>
      <c r="N177" s="57">
        <v>0.9</v>
      </c>
      <c r="O177" s="36">
        <f t="shared" si="2"/>
        <v>32990</v>
      </c>
      <c r="P177" s="28" t="s">
        <v>0</v>
      </c>
    </row>
    <row r="178" spans="1:16" ht="15.6" x14ac:dyDescent="0.3">
      <c r="A178" s="25" t="s">
        <v>3214</v>
      </c>
      <c r="B178" s="26">
        <v>46093</v>
      </c>
      <c r="C178" s="26">
        <v>46098</v>
      </c>
      <c r="D178" s="25">
        <v>3319</v>
      </c>
      <c r="E178" s="25">
        <v>327</v>
      </c>
      <c r="F178" s="25">
        <v>2</v>
      </c>
      <c r="G178" s="48">
        <v>2</v>
      </c>
      <c r="H178" s="46">
        <v>81433</v>
      </c>
      <c r="I178" s="48" t="s">
        <v>17</v>
      </c>
      <c r="J178" s="46">
        <v>67292160</v>
      </c>
      <c r="K178" s="45" t="s">
        <v>1050</v>
      </c>
      <c r="L178" s="45" t="s">
        <v>1051</v>
      </c>
      <c r="M178" s="54">
        <v>329900</v>
      </c>
      <c r="N178" s="57">
        <v>0.9</v>
      </c>
      <c r="O178" s="36">
        <f t="shared" si="2"/>
        <v>32990</v>
      </c>
      <c r="P178" s="28" t="s">
        <v>0</v>
      </c>
    </row>
    <row r="179" spans="1:16" ht="15.6" x14ac:dyDescent="0.3">
      <c r="A179" s="25" t="s">
        <v>3214</v>
      </c>
      <c r="B179" s="26">
        <v>46093</v>
      </c>
      <c r="C179" s="26">
        <v>46098</v>
      </c>
      <c r="D179" s="25">
        <v>3319</v>
      </c>
      <c r="E179" s="25">
        <v>327</v>
      </c>
      <c r="F179" s="25">
        <v>2</v>
      </c>
      <c r="G179" s="48">
        <v>2</v>
      </c>
      <c r="H179" s="46">
        <v>81433</v>
      </c>
      <c r="I179" s="48" t="s">
        <v>17</v>
      </c>
      <c r="J179" s="46">
        <v>67292179</v>
      </c>
      <c r="K179" s="45" t="s">
        <v>1050</v>
      </c>
      <c r="L179" s="45" t="s">
        <v>1052</v>
      </c>
      <c r="M179" s="54">
        <v>329900</v>
      </c>
      <c r="N179" s="57">
        <v>0.9</v>
      </c>
      <c r="O179" s="36">
        <f t="shared" si="2"/>
        <v>32990</v>
      </c>
      <c r="P179" s="28" t="s">
        <v>0</v>
      </c>
    </row>
    <row r="180" spans="1:16" ht="15.6" x14ac:dyDescent="0.3">
      <c r="A180" s="25" t="s">
        <v>3214</v>
      </c>
      <c r="B180" s="26">
        <v>46093</v>
      </c>
      <c r="C180" s="26">
        <v>46098</v>
      </c>
      <c r="D180" s="25">
        <v>3319</v>
      </c>
      <c r="E180" s="25">
        <v>327</v>
      </c>
      <c r="F180" s="25">
        <v>2</v>
      </c>
      <c r="G180" s="48">
        <v>2</v>
      </c>
      <c r="H180" s="46">
        <v>81433</v>
      </c>
      <c r="I180" s="48" t="s">
        <v>17</v>
      </c>
      <c r="J180" s="46">
        <v>67292151</v>
      </c>
      <c r="K180" s="45" t="s">
        <v>1050</v>
      </c>
      <c r="L180" s="45" t="s">
        <v>1053</v>
      </c>
      <c r="M180" s="54">
        <v>329900</v>
      </c>
      <c r="N180" s="57">
        <v>0.9</v>
      </c>
      <c r="O180" s="36">
        <f t="shared" si="2"/>
        <v>32990</v>
      </c>
      <c r="P180" s="28" t="s">
        <v>0</v>
      </c>
    </row>
    <row r="181" spans="1:16" ht="15.6" x14ac:dyDescent="0.3">
      <c r="A181" s="25" t="s">
        <v>3214</v>
      </c>
      <c r="B181" s="26">
        <v>46093</v>
      </c>
      <c r="C181" s="26">
        <v>46098</v>
      </c>
      <c r="D181" s="25">
        <v>3319</v>
      </c>
      <c r="E181" s="25">
        <v>327</v>
      </c>
      <c r="F181" s="25">
        <v>2</v>
      </c>
      <c r="G181" s="48">
        <v>2</v>
      </c>
      <c r="H181" s="46">
        <v>81433</v>
      </c>
      <c r="I181" s="48" t="s">
        <v>17</v>
      </c>
      <c r="J181" s="46">
        <v>67292188</v>
      </c>
      <c r="K181" s="45" t="s">
        <v>1050</v>
      </c>
      <c r="L181" s="45" t="s">
        <v>1054</v>
      </c>
      <c r="M181" s="54">
        <v>329900</v>
      </c>
      <c r="N181" s="57">
        <v>0.9</v>
      </c>
      <c r="O181" s="36">
        <f t="shared" si="2"/>
        <v>32990</v>
      </c>
      <c r="P181" s="28" t="s">
        <v>0</v>
      </c>
    </row>
    <row r="182" spans="1:16" ht="15.6" x14ac:dyDescent="0.3">
      <c r="A182" s="25" t="s">
        <v>3214</v>
      </c>
      <c r="B182" s="26">
        <v>46093</v>
      </c>
      <c r="C182" s="26">
        <v>46098</v>
      </c>
      <c r="D182" s="25">
        <v>3319</v>
      </c>
      <c r="E182" s="25">
        <v>327</v>
      </c>
      <c r="F182" s="25">
        <v>2</v>
      </c>
      <c r="G182" s="48">
        <v>2</v>
      </c>
      <c r="H182" s="46">
        <v>81433</v>
      </c>
      <c r="I182" s="48" t="s">
        <v>17</v>
      </c>
      <c r="J182" s="46">
        <v>67292142</v>
      </c>
      <c r="K182" s="45" t="s">
        <v>1050</v>
      </c>
      <c r="L182" s="45" t="s">
        <v>1055</v>
      </c>
      <c r="M182" s="54">
        <v>329900</v>
      </c>
      <c r="N182" s="57">
        <v>0.9</v>
      </c>
      <c r="O182" s="36">
        <f t="shared" si="2"/>
        <v>32990</v>
      </c>
      <c r="P182" s="28" t="s">
        <v>0</v>
      </c>
    </row>
    <row r="183" spans="1:16" ht="15.6" x14ac:dyDescent="0.3">
      <c r="A183" s="25" t="s">
        <v>3214</v>
      </c>
      <c r="B183" s="26">
        <v>46093</v>
      </c>
      <c r="C183" s="26">
        <v>46098</v>
      </c>
      <c r="D183" s="25">
        <v>3319</v>
      </c>
      <c r="E183" s="25">
        <v>327</v>
      </c>
      <c r="F183" s="25">
        <v>2</v>
      </c>
      <c r="G183" s="48">
        <v>2</v>
      </c>
      <c r="H183" s="46">
        <v>81433</v>
      </c>
      <c r="I183" s="48" t="s">
        <v>17</v>
      </c>
      <c r="J183" s="46">
        <v>38451328</v>
      </c>
      <c r="K183" s="45" t="s">
        <v>1050</v>
      </c>
      <c r="L183" s="45" t="s">
        <v>1056</v>
      </c>
      <c r="M183" s="54">
        <v>329900</v>
      </c>
      <c r="N183" s="57">
        <v>0.9</v>
      </c>
      <c r="O183" s="36">
        <f t="shared" si="2"/>
        <v>32990</v>
      </c>
      <c r="P183" s="28" t="s">
        <v>0</v>
      </c>
    </row>
    <row r="184" spans="1:16" ht="15.6" x14ac:dyDescent="0.3">
      <c r="A184" s="25" t="s">
        <v>3214</v>
      </c>
      <c r="B184" s="26">
        <v>46093</v>
      </c>
      <c r="C184" s="26">
        <v>46098</v>
      </c>
      <c r="D184" s="25">
        <v>3319</v>
      </c>
      <c r="E184" s="25">
        <v>327</v>
      </c>
      <c r="F184" s="25">
        <v>2</v>
      </c>
      <c r="G184" s="48">
        <v>2</v>
      </c>
      <c r="H184" s="46">
        <v>81433</v>
      </c>
      <c r="I184" s="48" t="s">
        <v>17</v>
      </c>
      <c r="J184" s="46">
        <v>38451319</v>
      </c>
      <c r="K184" s="45" t="s">
        <v>1050</v>
      </c>
      <c r="L184" s="45" t="s">
        <v>1057</v>
      </c>
      <c r="M184" s="54">
        <v>329900</v>
      </c>
      <c r="N184" s="57">
        <v>0.9</v>
      </c>
      <c r="O184" s="36">
        <f t="shared" si="2"/>
        <v>32990</v>
      </c>
      <c r="P184" s="28" t="s">
        <v>0</v>
      </c>
    </row>
    <row r="185" spans="1:16" ht="15.6" x14ac:dyDescent="0.3">
      <c r="A185" s="25" t="s">
        <v>3214</v>
      </c>
      <c r="B185" s="26">
        <v>46093</v>
      </c>
      <c r="C185" s="26">
        <v>46098</v>
      </c>
      <c r="D185" s="25">
        <v>3319</v>
      </c>
      <c r="E185" s="25">
        <v>327</v>
      </c>
      <c r="F185" s="25">
        <v>2</v>
      </c>
      <c r="G185" s="48">
        <v>2</v>
      </c>
      <c r="H185" s="46">
        <v>81433</v>
      </c>
      <c r="I185" s="48" t="s">
        <v>17</v>
      </c>
      <c r="J185" s="46">
        <v>38451300</v>
      </c>
      <c r="K185" s="45" t="s">
        <v>1050</v>
      </c>
      <c r="L185" s="45" t="s">
        <v>1058</v>
      </c>
      <c r="M185" s="54">
        <v>329900</v>
      </c>
      <c r="N185" s="57">
        <v>0.9</v>
      </c>
      <c r="O185" s="36">
        <f t="shared" si="2"/>
        <v>32990</v>
      </c>
      <c r="P185" s="28" t="s">
        <v>0</v>
      </c>
    </row>
    <row r="186" spans="1:16" ht="15.6" x14ac:dyDescent="0.3">
      <c r="A186" s="25" t="s">
        <v>3214</v>
      </c>
      <c r="B186" s="26">
        <v>46093</v>
      </c>
      <c r="C186" s="26">
        <v>46098</v>
      </c>
      <c r="D186" s="25">
        <v>3319</v>
      </c>
      <c r="E186" s="25">
        <v>327</v>
      </c>
      <c r="F186" s="25">
        <v>2</v>
      </c>
      <c r="G186" s="48">
        <v>2</v>
      </c>
      <c r="H186" s="46">
        <v>81433</v>
      </c>
      <c r="I186" s="48" t="s">
        <v>17</v>
      </c>
      <c r="J186" s="46">
        <v>38451337</v>
      </c>
      <c r="K186" s="45" t="s">
        <v>1050</v>
      </c>
      <c r="L186" s="45" t="s">
        <v>1059</v>
      </c>
      <c r="M186" s="54">
        <v>329900</v>
      </c>
      <c r="N186" s="57">
        <v>0.9</v>
      </c>
      <c r="O186" s="36">
        <f t="shared" si="2"/>
        <v>32990</v>
      </c>
      <c r="P186" s="28" t="s">
        <v>0</v>
      </c>
    </row>
    <row r="187" spans="1:16" ht="15.6" x14ac:dyDescent="0.3">
      <c r="A187" s="25" t="s">
        <v>3214</v>
      </c>
      <c r="B187" s="26">
        <v>46093</v>
      </c>
      <c r="C187" s="26">
        <v>46098</v>
      </c>
      <c r="D187" s="25">
        <v>3319</v>
      </c>
      <c r="E187" s="25">
        <v>327</v>
      </c>
      <c r="F187" s="25">
        <v>2</v>
      </c>
      <c r="G187" s="48">
        <v>2</v>
      </c>
      <c r="H187" s="46">
        <v>81433</v>
      </c>
      <c r="I187" s="48" t="s">
        <v>17</v>
      </c>
      <c r="J187" s="46">
        <v>38451293</v>
      </c>
      <c r="K187" s="45" t="s">
        <v>1050</v>
      </c>
      <c r="L187" s="45" t="s">
        <v>1060</v>
      </c>
      <c r="M187" s="54">
        <v>329900</v>
      </c>
      <c r="N187" s="57">
        <v>0.9</v>
      </c>
      <c r="O187" s="36">
        <f t="shared" si="2"/>
        <v>32990</v>
      </c>
      <c r="P187" s="28" t="s">
        <v>0</v>
      </c>
    </row>
    <row r="188" spans="1:16" ht="15.6" x14ac:dyDescent="0.3">
      <c r="A188" s="25" t="s">
        <v>3214</v>
      </c>
      <c r="B188" s="26">
        <v>46093</v>
      </c>
      <c r="C188" s="26">
        <v>46098</v>
      </c>
      <c r="D188" s="25">
        <v>3319</v>
      </c>
      <c r="E188" s="25">
        <v>327</v>
      </c>
      <c r="F188" s="25">
        <v>2</v>
      </c>
      <c r="G188" s="28">
        <v>2</v>
      </c>
      <c r="H188" s="28">
        <v>70056</v>
      </c>
      <c r="I188" s="28" t="s">
        <v>17</v>
      </c>
      <c r="J188" s="28">
        <v>73616254</v>
      </c>
      <c r="K188" s="38" t="s">
        <v>1061</v>
      </c>
      <c r="L188" s="45" t="s">
        <v>1060</v>
      </c>
      <c r="M188" s="37">
        <v>359900</v>
      </c>
      <c r="N188" s="57">
        <v>0.9</v>
      </c>
      <c r="O188" s="36">
        <f t="shared" si="2"/>
        <v>35990</v>
      </c>
      <c r="P188" s="28" t="s">
        <v>0</v>
      </c>
    </row>
    <row r="189" spans="1:16" ht="15.6" x14ac:dyDescent="0.3">
      <c r="A189" s="25" t="s">
        <v>3214</v>
      </c>
      <c r="B189" s="26">
        <v>46093</v>
      </c>
      <c r="C189" s="26">
        <v>46098</v>
      </c>
      <c r="D189" s="25">
        <v>3319</v>
      </c>
      <c r="E189" s="25">
        <v>327</v>
      </c>
      <c r="F189" s="25">
        <v>2</v>
      </c>
      <c r="G189" s="28">
        <v>2</v>
      </c>
      <c r="H189" s="28">
        <v>70056</v>
      </c>
      <c r="I189" s="28" t="s">
        <v>17</v>
      </c>
      <c r="J189" s="28">
        <v>73616290</v>
      </c>
      <c r="K189" s="38" t="s">
        <v>1061</v>
      </c>
      <c r="L189" t="s">
        <v>1062</v>
      </c>
      <c r="M189" s="37">
        <v>359900</v>
      </c>
      <c r="N189" s="57">
        <v>0.9</v>
      </c>
      <c r="O189" s="36">
        <f t="shared" si="2"/>
        <v>35990</v>
      </c>
      <c r="P189" s="28" t="s">
        <v>0</v>
      </c>
    </row>
    <row r="190" spans="1:16" ht="15.6" x14ac:dyDescent="0.3">
      <c r="A190" s="25" t="s">
        <v>3214</v>
      </c>
      <c r="B190" s="26">
        <v>46093</v>
      </c>
      <c r="C190" s="26">
        <v>46098</v>
      </c>
      <c r="D190" s="25">
        <v>3319</v>
      </c>
      <c r="E190" s="25">
        <v>327</v>
      </c>
      <c r="F190" s="25">
        <v>2</v>
      </c>
      <c r="G190" s="28">
        <v>2</v>
      </c>
      <c r="H190" s="28">
        <v>70056</v>
      </c>
      <c r="I190" s="28" t="s">
        <v>17</v>
      </c>
      <c r="J190" s="28">
        <v>73616263</v>
      </c>
      <c r="K190" s="38" t="s">
        <v>1061</v>
      </c>
      <c r="L190" t="s">
        <v>1063</v>
      </c>
      <c r="M190" s="37">
        <v>359900</v>
      </c>
      <c r="N190" s="57">
        <v>0.9</v>
      </c>
      <c r="O190" s="36">
        <f t="shared" si="2"/>
        <v>35990</v>
      </c>
      <c r="P190" s="28" t="s">
        <v>0</v>
      </c>
    </row>
    <row r="191" spans="1:16" ht="15.6" x14ac:dyDescent="0.3">
      <c r="A191" s="25" t="s">
        <v>3214</v>
      </c>
      <c r="B191" s="26">
        <v>46093</v>
      </c>
      <c r="C191" s="26">
        <v>46098</v>
      </c>
      <c r="D191" s="25">
        <v>3319</v>
      </c>
      <c r="E191" s="25">
        <v>327</v>
      </c>
      <c r="F191" s="25">
        <v>2</v>
      </c>
      <c r="G191" s="28">
        <v>2</v>
      </c>
      <c r="H191" s="28">
        <v>70056</v>
      </c>
      <c r="I191" s="28" t="s">
        <v>17</v>
      </c>
      <c r="J191" s="28">
        <v>73616334</v>
      </c>
      <c r="K191" s="38" t="s">
        <v>1061</v>
      </c>
      <c r="L191" t="s">
        <v>1064</v>
      </c>
      <c r="M191" s="37">
        <v>359900</v>
      </c>
      <c r="N191" s="57">
        <v>0.9</v>
      </c>
      <c r="O191" s="36">
        <f t="shared" si="2"/>
        <v>35990</v>
      </c>
      <c r="P191" s="28" t="s">
        <v>0</v>
      </c>
    </row>
    <row r="192" spans="1:16" ht="15.6" x14ac:dyDescent="0.3">
      <c r="A192" s="25" t="s">
        <v>3214</v>
      </c>
      <c r="B192" s="26">
        <v>46093</v>
      </c>
      <c r="C192" s="26">
        <v>46098</v>
      </c>
      <c r="D192" s="25">
        <v>3319</v>
      </c>
      <c r="E192" s="25">
        <v>327</v>
      </c>
      <c r="F192" s="25">
        <v>2</v>
      </c>
      <c r="G192" s="28">
        <v>2</v>
      </c>
      <c r="H192" s="28">
        <v>70056</v>
      </c>
      <c r="I192" s="28" t="s">
        <v>17</v>
      </c>
      <c r="J192" s="28">
        <v>73616281</v>
      </c>
      <c r="K192" s="38" t="s">
        <v>1061</v>
      </c>
      <c r="L192" t="s">
        <v>1065</v>
      </c>
      <c r="M192" s="37">
        <v>359900</v>
      </c>
      <c r="N192" s="57">
        <v>0.9</v>
      </c>
      <c r="O192" s="36">
        <f t="shared" si="2"/>
        <v>35990</v>
      </c>
      <c r="P192" s="28" t="s">
        <v>0</v>
      </c>
    </row>
    <row r="193" spans="1:16" ht="15.6" x14ac:dyDescent="0.3">
      <c r="A193" s="25" t="s">
        <v>3214</v>
      </c>
      <c r="B193" s="26">
        <v>46093</v>
      </c>
      <c r="C193" s="26">
        <v>46098</v>
      </c>
      <c r="D193" s="25">
        <v>3319</v>
      </c>
      <c r="E193" s="25">
        <v>327</v>
      </c>
      <c r="F193" s="25">
        <v>2</v>
      </c>
      <c r="G193" s="28">
        <v>2</v>
      </c>
      <c r="H193" s="28">
        <v>70056</v>
      </c>
      <c r="I193" s="28" t="s">
        <v>17</v>
      </c>
      <c r="J193" s="28">
        <v>73616245</v>
      </c>
      <c r="K193" s="38" t="s">
        <v>1061</v>
      </c>
      <c r="L193" t="s">
        <v>1066</v>
      </c>
      <c r="M193" s="37">
        <v>359900</v>
      </c>
      <c r="N193" s="57">
        <v>0.9</v>
      </c>
      <c r="O193" s="36">
        <f t="shared" si="2"/>
        <v>35990</v>
      </c>
      <c r="P193" s="28" t="s">
        <v>0</v>
      </c>
    </row>
    <row r="194" spans="1:16" ht="15.6" x14ac:dyDescent="0.3">
      <c r="A194" s="25" t="s">
        <v>3214</v>
      </c>
      <c r="B194" s="26">
        <v>46093</v>
      </c>
      <c r="C194" s="26">
        <v>46098</v>
      </c>
      <c r="D194" s="25">
        <v>3319</v>
      </c>
      <c r="E194" s="25">
        <v>327</v>
      </c>
      <c r="F194" s="25">
        <v>2</v>
      </c>
      <c r="G194" s="28">
        <v>2</v>
      </c>
      <c r="H194" s="28">
        <v>70056</v>
      </c>
      <c r="I194" s="28" t="s">
        <v>17</v>
      </c>
      <c r="J194" s="28">
        <v>73616325</v>
      </c>
      <c r="K194" s="38" t="s">
        <v>1061</v>
      </c>
      <c r="L194" t="s">
        <v>1067</v>
      </c>
      <c r="M194" s="37">
        <v>359900</v>
      </c>
      <c r="N194" s="57">
        <v>0.9</v>
      </c>
      <c r="O194" s="36">
        <f t="shared" si="2"/>
        <v>35990</v>
      </c>
      <c r="P194" s="28" t="s">
        <v>0</v>
      </c>
    </row>
    <row r="195" spans="1:16" ht="15.6" x14ac:dyDescent="0.3">
      <c r="A195" s="25" t="s">
        <v>3214</v>
      </c>
      <c r="B195" s="26">
        <v>46093</v>
      </c>
      <c r="C195" s="26">
        <v>46098</v>
      </c>
      <c r="D195" s="25">
        <v>3319</v>
      </c>
      <c r="E195" s="25">
        <v>327</v>
      </c>
      <c r="F195" s="25">
        <v>2</v>
      </c>
      <c r="G195" s="28">
        <v>2</v>
      </c>
      <c r="H195" s="28">
        <v>70056</v>
      </c>
      <c r="I195" s="28" t="s">
        <v>17</v>
      </c>
      <c r="J195" s="28">
        <v>73616272</v>
      </c>
      <c r="K195" s="38" t="s">
        <v>1061</v>
      </c>
      <c r="L195" t="s">
        <v>1068</v>
      </c>
      <c r="M195" s="37">
        <v>359900</v>
      </c>
      <c r="N195" s="57">
        <v>0.9</v>
      </c>
      <c r="O195" s="36">
        <f t="shared" ref="O195:O258" si="3">M195*10%</f>
        <v>35990</v>
      </c>
      <c r="P195" s="28" t="s">
        <v>0</v>
      </c>
    </row>
    <row r="196" spans="1:16" ht="15.6" x14ac:dyDescent="0.3">
      <c r="A196" s="25" t="s">
        <v>3214</v>
      </c>
      <c r="B196" s="26">
        <v>46093</v>
      </c>
      <c r="C196" s="26">
        <v>46098</v>
      </c>
      <c r="D196" s="25">
        <v>3319</v>
      </c>
      <c r="E196" s="25">
        <v>327</v>
      </c>
      <c r="F196" s="25">
        <v>2</v>
      </c>
      <c r="G196" s="28">
        <v>2</v>
      </c>
      <c r="H196" s="28">
        <v>70056</v>
      </c>
      <c r="I196" s="28" t="s">
        <v>17</v>
      </c>
      <c r="J196" s="28">
        <v>73616316</v>
      </c>
      <c r="K196" s="38" t="s">
        <v>1061</v>
      </c>
      <c r="L196" t="s">
        <v>1069</v>
      </c>
      <c r="M196" s="37">
        <v>359900</v>
      </c>
      <c r="N196" s="57">
        <v>0.9</v>
      </c>
      <c r="O196" s="36">
        <f t="shared" si="3"/>
        <v>35990</v>
      </c>
      <c r="P196" s="28" t="s">
        <v>0</v>
      </c>
    </row>
    <row r="197" spans="1:16" ht="15.6" x14ac:dyDescent="0.3">
      <c r="A197" s="25" t="s">
        <v>3214</v>
      </c>
      <c r="B197" s="26">
        <v>46093</v>
      </c>
      <c r="C197" s="26">
        <v>46098</v>
      </c>
      <c r="D197" s="25">
        <v>3319</v>
      </c>
      <c r="E197" s="25">
        <v>327</v>
      </c>
      <c r="F197" s="25">
        <v>2</v>
      </c>
      <c r="G197" s="28">
        <v>2</v>
      </c>
      <c r="H197" s="28">
        <v>70056</v>
      </c>
      <c r="I197" s="28" t="s">
        <v>17</v>
      </c>
      <c r="J197" s="28">
        <v>73616307</v>
      </c>
      <c r="K197" s="38" t="s">
        <v>1061</v>
      </c>
      <c r="L197" t="s">
        <v>1070</v>
      </c>
      <c r="M197" s="37">
        <v>359900</v>
      </c>
      <c r="N197" s="57">
        <v>0.9</v>
      </c>
      <c r="O197" s="36">
        <f t="shared" si="3"/>
        <v>35990</v>
      </c>
      <c r="P197" s="28" t="s">
        <v>0</v>
      </c>
    </row>
    <row r="198" spans="1:16" ht="15.6" x14ac:dyDescent="0.3">
      <c r="A198" s="25" t="s">
        <v>3214</v>
      </c>
      <c r="B198" s="26">
        <v>46093</v>
      </c>
      <c r="C198" s="26">
        <v>46098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73616521</v>
      </c>
      <c r="K198" s="38" t="s">
        <v>1071</v>
      </c>
      <c r="L198" t="s">
        <v>1072</v>
      </c>
      <c r="M198" s="37">
        <v>219900</v>
      </c>
      <c r="N198" s="57">
        <v>0.9</v>
      </c>
      <c r="O198" s="36">
        <f t="shared" si="3"/>
        <v>21990</v>
      </c>
      <c r="P198" s="28" t="s">
        <v>0</v>
      </c>
    </row>
    <row r="199" spans="1:16" ht="15.6" x14ac:dyDescent="0.3">
      <c r="A199" s="25" t="s">
        <v>3214</v>
      </c>
      <c r="B199" s="26">
        <v>46093</v>
      </c>
      <c r="C199" s="26">
        <v>46098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73616576</v>
      </c>
      <c r="K199" s="38" t="s">
        <v>1071</v>
      </c>
      <c r="L199" t="s">
        <v>1073</v>
      </c>
      <c r="M199" s="37">
        <v>219900</v>
      </c>
      <c r="N199" s="57">
        <v>0.9</v>
      </c>
      <c r="O199" s="36">
        <f t="shared" si="3"/>
        <v>21990</v>
      </c>
      <c r="P199" s="28" t="s">
        <v>0</v>
      </c>
    </row>
    <row r="200" spans="1:16" ht="15.6" x14ac:dyDescent="0.3">
      <c r="A200" s="25" t="s">
        <v>3214</v>
      </c>
      <c r="B200" s="26">
        <v>46093</v>
      </c>
      <c r="C200" s="26">
        <v>46098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73616558</v>
      </c>
      <c r="K200" s="38" t="s">
        <v>1071</v>
      </c>
      <c r="L200" t="s">
        <v>1074</v>
      </c>
      <c r="M200" s="37">
        <v>219900</v>
      </c>
      <c r="N200" s="57">
        <v>0.9</v>
      </c>
      <c r="O200" s="36">
        <f t="shared" si="3"/>
        <v>21990</v>
      </c>
      <c r="P200" s="28" t="s">
        <v>0</v>
      </c>
    </row>
    <row r="201" spans="1:16" ht="15.6" x14ac:dyDescent="0.3">
      <c r="A201" s="25" t="s">
        <v>3214</v>
      </c>
      <c r="B201" s="26">
        <v>46093</v>
      </c>
      <c r="C201" s="26">
        <v>46098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73616594</v>
      </c>
      <c r="K201" s="38" t="s">
        <v>1071</v>
      </c>
      <c r="L201" t="s">
        <v>1075</v>
      </c>
      <c r="M201" s="37">
        <v>219900</v>
      </c>
      <c r="N201" s="57">
        <v>0.9</v>
      </c>
      <c r="O201" s="36">
        <f t="shared" si="3"/>
        <v>21990</v>
      </c>
      <c r="P201" s="28" t="s">
        <v>0</v>
      </c>
    </row>
    <row r="202" spans="1:16" ht="15.6" x14ac:dyDescent="0.3">
      <c r="A202" s="25" t="s">
        <v>3214</v>
      </c>
      <c r="B202" s="26">
        <v>46093</v>
      </c>
      <c r="C202" s="26">
        <v>46098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73616567</v>
      </c>
      <c r="K202" s="38" t="s">
        <v>1071</v>
      </c>
      <c r="L202" t="s">
        <v>1076</v>
      </c>
      <c r="M202" s="37">
        <v>219900</v>
      </c>
      <c r="N202" s="57">
        <v>0.9</v>
      </c>
      <c r="O202" s="36">
        <f t="shared" si="3"/>
        <v>21990</v>
      </c>
      <c r="P202" s="28" t="s">
        <v>0</v>
      </c>
    </row>
    <row r="203" spans="1:16" ht="15.6" x14ac:dyDescent="0.3">
      <c r="A203" s="25" t="s">
        <v>3214</v>
      </c>
      <c r="B203" s="26">
        <v>46093</v>
      </c>
      <c r="C203" s="26">
        <v>46098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73616530</v>
      </c>
      <c r="K203" s="38" t="s">
        <v>1071</v>
      </c>
      <c r="L203" t="s">
        <v>1077</v>
      </c>
      <c r="M203" s="37">
        <v>219900</v>
      </c>
      <c r="N203" s="57">
        <v>0.9</v>
      </c>
      <c r="O203" s="36">
        <f t="shared" si="3"/>
        <v>21990</v>
      </c>
      <c r="P203" s="28" t="s">
        <v>0</v>
      </c>
    </row>
    <row r="204" spans="1:16" ht="15.6" x14ac:dyDescent="0.3">
      <c r="A204" s="25" t="s">
        <v>3214</v>
      </c>
      <c r="B204" s="26">
        <v>46093</v>
      </c>
      <c r="C204" s="26">
        <v>46098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73616512</v>
      </c>
      <c r="K204" s="38" t="s">
        <v>1071</v>
      </c>
      <c r="L204" t="s">
        <v>1078</v>
      </c>
      <c r="M204" s="37">
        <v>219900</v>
      </c>
      <c r="N204" s="57">
        <v>0.9</v>
      </c>
      <c r="O204" s="36">
        <f t="shared" si="3"/>
        <v>21990</v>
      </c>
      <c r="P204" s="28" t="s">
        <v>0</v>
      </c>
    </row>
    <row r="205" spans="1:16" ht="15.6" x14ac:dyDescent="0.3">
      <c r="A205" s="25" t="s">
        <v>3214</v>
      </c>
      <c r="B205" s="26">
        <v>46093</v>
      </c>
      <c r="C205" s="26">
        <v>46098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73616601</v>
      </c>
      <c r="K205" s="38" t="s">
        <v>1071</v>
      </c>
      <c r="L205" t="s">
        <v>1079</v>
      </c>
      <c r="M205" s="37">
        <v>219900</v>
      </c>
      <c r="N205" s="57">
        <v>0.9</v>
      </c>
      <c r="O205" s="36">
        <f t="shared" si="3"/>
        <v>21990</v>
      </c>
      <c r="P205" s="28" t="s">
        <v>0</v>
      </c>
    </row>
    <row r="206" spans="1:16" ht="15.6" x14ac:dyDescent="0.3">
      <c r="A206" s="25" t="s">
        <v>3214</v>
      </c>
      <c r="B206" s="26">
        <v>46093</v>
      </c>
      <c r="C206" s="26">
        <v>46098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73616549</v>
      </c>
      <c r="K206" s="38" t="s">
        <v>1071</v>
      </c>
      <c r="L206" t="s">
        <v>1080</v>
      </c>
      <c r="M206" s="37">
        <v>219900</v>
      </c>
      <c r="N206" s="57">
        <v>0.9</v>
      </c>
      <c r="O206" s="36">
        <f t="shared" si="3"/>
        <v>21990</v>
      </c>
      <c r="P206" s="28" t="s">
        <v>0</v>
      </c>
    </row>
    <row r="207" spans="1:16" ht="15.6" x14ac:dyDescent="0.3">
      <c r="A207" s="25" t="s">
        <v>3214</v>
      </c>
      <c r="B207" s="26">
        <v>46093</v>
      </c>
      <c r="C207" s="26">
        <v>46098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73616585</v>
      </c>
      <c r="K207" s="38" t="s">
        <v>1071</v>
      </c>
      <c r="L207" t="s">
        <v>1081</v>
      </c>
      <c r="M207" s="37">
        <v>219900</v>
      </c>
      <c r="N207" s="57">
        <v>0.9</v>
      </c>
      <c r="O207" s="36">
        <f t="shared" si="3"/>
        <v>21990</v>
      </c>
      <c r="P207" s="28" t="s">
        <v>0</v>
      </c>
    </row>
    <row r="208" spans="1:16" ht="15.6" x14ac:dyDescent="0.3">
      <c r="A208" s="25" t="s">
        <v>3214</v>
      </c>
      <c r="B208" s="26">
        <v>46093</v>
      </c>
      <c r="C208" s="26">
        <v>46098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58917663</v>
      </c>
      <c r="K208" s="38" t="s">
        <v>1082</v>
      </c>
      <c r="L208" t="s">
        <v>1083</v>
      </c>
      <c r="M208" s="37">
        <v>239900</v>
      </c>
      <c r="N208" s="57">
        <v>0.9</v>
      </c>
      <c r="O208" s="36">
        <f t="shared" si="3"/>
        <v>23990</v>
      </c>
      <c r="P208" s="28" t="s">
        <v>0</v>
      </c>
    </row>
    <row r="209" spans="1:16" ht="15.6" x14ac:dyDescent="0.3">
      <c r="A209" s="25" t="s">
        <v>3214</v>
      </c>
      <c r="B209" s="26">
        <v>46093</v>
      </c>
      <c r="C209" s="26">
        <v>46098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58917681</v>
      </c>
      <c r="K209" s="38" t="s">
        <v>1082</v>
      </c>
      <c r="L209" t="s">
        <v>1084</v>
      </c>
      <c r="M209" s="37">
        <v>239900</v>
      </c>
      <c r="N209" s="57">
        <v>0.9</v>
      </c>
      <c r="O209" s="36">
        <f t="shared" si="3"/>
        <v>23990</v>
      </c>
      <c r="P209" s="28" t="s">
        <v>0</v>
      </c>
    </row>
    <row r="210" spans="1:16" ht="15.6" x14ac:dyDescent="0.3">
      <c r="A210" s="25" t="s">
        <v>3214</v>
      </c>
      <c r="B210" s="26">
        <v>46093</v>
      </c>
      <c r="C210" s="26">
        <v>46098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58917690</v>
      </c>
      <c r="K210" s="38" t="s">
        <v>1082</v>
      </c>
      <c r="L210" t="s">
        <v>1085</v>
      </c>
      <c r="M210" s="37">
        <v>239900</v>
      </c>
      <c r="N210" s="57">
        <v>0.9</v>
      </c>
      <c r="O210" s="36">
        <f t="shared" si="3"/>
        <v>23990</v>
      </c>
      <c r="P210" s="28" t="s">
        <v>0</v>
      </c>
    </row>
    <row r="211" spans="1:16" ht="15.6" x14ac:dyDescent="0.3">
      <c r="A211" s="25" t="s">
        <v>3214</v>
      </c>
      <c r="B211" s="26">
        <v>46093</v>
      </c>
      <c r="C211" s="26">
        <v>46098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58917716</v>
      </c>
      <c r="K211" s="38" t="s">
        <v>1082</v>
      </c>
      <c r="L211" t="s">
        <v>1086</v>
      </c>
      <c r="M211" s="37">
        <v>239900</v>
      </c>
      <c r="N211" s="57">
        <v>0.9</v>
      </c>
      <c r="O211" s="36">
        <f t="shared" si="3"/>
        <v>23990</v>
      </c>
      <c r="P211" s="28" t="s">
        <v>0</v>
      </c>
    </row>
    <row r="212" spans="1:16" ht="15.6" x14ac:dyDescent="0.3">
      <c r="A212" s="25" t="s">
        <v>3214</v>
      </c>
      <c r="B212" s="26">
        <v>46093</v>
      </c>
      <c r="C212" s="26">
        <v>46098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58917707</v>
      </c>
      <c r="K212" s="38" t="s">
        <v>1082</v>
      </c>
      <c r="L212" t="s">
        <v>1087</v>
      </c>
      <c r="M212" s="37">
        <v>239900</v>
      </c>
      <c r="N212" s="57">
        <v>0.9</v>
      </c>
      <c r="O212" s="36">
        <f t="shared" si="3"/>
        <v>23990</v>
      </c>
      <c r="P212" s="28" t="s">
        <v>0</v>
      </c>
    </row>
    <row r="213" spans="1:16" ht="15.6" x14ac:dyDescent="0.3">
      <c r="A213" s="25" t="s">
        <v>3214</v>
      </c>
      <c r="B213" s="26">
        <v>46093</v>
      </c>
      <c r="C213" s="26">
        <v>46098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58917672</v>
      </c>
      <c r="K213" s="38" t="s">
        <v>1082</v>
      </c>
      <c r="L213" t="s">
        <v>1088</v>
      </c>
      <c r="M213" s="37">
        <v>239900</v>
      </c>
      <c r="N213" s="57">
        <v>0.9</v>
      </c>
      <c r="O213" s="36">
        <f t="shared" si="3"/>
        <v>23990</v>
      </c>
      <c r="P213" s="28" t="s">
        <v>0</v>
      </c>
    </row>
    <row r="214" spans="1:16" ht="15.6" x14ac:dyDescent="0.3">
      <c r="A214" s="25" t="s">
        <v>3214</v>
      </c>
      <c r="B214" s="26">
        <v>46093</v>
      </c>
      <c r="C214" s="26">
        <v>46098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58917636</v>
      </c>
      <c r="K214" s="38" t="s">
        <v>1082</v>
      </c>
      <c r="L214" t="s">
        <v>1089</v>
      </c>
      <c r="M214" s="37">
        <v>239900</v>
      </c>
      <c r="N214" s="57">
        <v>0.9</v>
      </c>
      <c r="O214" s="36">
        <f t="shared" si="3"/>
        <v>23990</v>
      </c>
      <c r="P214" s="28" t="s">
        <v>0</v>
      </c>
    </row>
    <row r="215" spans="1:16" ht="15.6" x14ac:dyDescent="0.3">
      <c r="A215" s="25" t="s">
        <v>3214</v>
      </c>
      <c r="B215" s="26">
        <v>46093</v>
      </c>
      <c r="C215" s="26">
        <v>46098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58917654</v>
      </c>
      <c r="K215" s="38" t="s">
        <v>1082</v>
      </c>
      <c r="L215" t="s">
        <v>1090</v>
      </c>
      <c r="M215" s="37">
        <v>239900</v>
      </c>
      <c r="N215" s="57">
        <v>0.9</v>
      </c>
      <c r="O215" s="36">
        <f t="shared" si="3"/>
        <v>23990</v>
      </c>
      <c r="P215" s="28" t="s">
        <v>0</v>
      </c>
    </row>
    <row r="216" spans="1:16" ht="15.6" x14ac:dyDescent="0.3">
      <c r="A216" s="25" t="s">
        <v>3214</v>
      </c>
      <c r="B216" s="26">
        <v>46093</v>
      </c>
      <c r="C216" s="26">
        <v>46098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58917725</v>
      </c>
      <c r="K216" s="38" t="s">
        <v>1082</v>
      </c>
      <c r="L216" t="s">
        <v>1091</v>
      </c>
      <c r="M216" s="37">
        <v>239900</v>
      </c>
      <c r="N216" s="57">
        <v>0.9</v>
      </c>
      <c r="O216" s="36">
        <f t="shared" si="3"/>
        <v>23990</v>
      </c>
      <c r="P216" s="28" t="s">
        <v>0</v>
      </c>
    </row>
    <row r="217" spans="1:16" ht="15.6" x14ac:dyDescent="0.3">
      <c r="A217" s="25" t="s">
        <v>3214</v>
      </c>
      <c r="B217" s="26">
        <v>46093</v>
      </c>
      <c r="C217" s="26">
        <v>46098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58917645</v>
      </c>
      <c r="K217" s="38" t="s">
        <v>1082</v>
      </c>
      <c r="L217" t="s">
        <v>1092</v>
      </c>
      <c r="M217" s="37">
        <v>239900</v>
      </c>
      <c r="N217" s="57">
        <v>0.9</v>
      </c>
      <c r="O217" s="36">
        <f t="shared" si="3"/>
        <v>23990</v>
      </c>
      <c r="P217" s="28" t="s">
        <v>0</v>
      </c>
    </row>
    <row r="218" spans="1:16" ht="15.6" x14ac:dyDescent="0.3">
      <c r="A218" s="25" t="s">
        <v>3214</v>
      </c>
      <c r="B218" s="26">
        <v>46093</v>
      </c>
      <c r="C218" s="26">
        <v>46098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66162409</v>
      </c>
      <c r="K218" s="38" t="s">
        <v>1093</v>
      </c>
      <c r="L218" t="s">
        <v>1094</v>
      </c>
      <c r="M218" s="37">
        <v>259900</v>
      </c>
      <c r="N218" s="57">
        <v>0.9</v>
      </c>
      <c r="O218" s="36">
        <f t="shared" si="3"/>
        <v>25990</v>
      </c>
      <c r="P218" s="28" t="s">
        <v>0</v>
      </c>
    </row>
    <row r="219" spans="1:16" ht="15.6" x14ac:dyDescent="0.3">
      <c r="A219" s="25" t="s">
        <v>3214</v>
      </c>
      <c r="B219" s="26">
        <v>46093</v>
      </c>
      <c r="C219" s="26">
        <v>46098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66162418</v>
      </c>
      <c r="K219" s="38" t="s">
        <v>1093</v>
      </c>
      <c r="L219" t="s">
        <v>1095</v>
      </c>
      <c r="M219" s="37">
        <v>259900</v>
      </c>
      <c r="N219" s="57">
        <v>0.9</v>
      </c>
      <c r="O219" s="36">
        <f t="shared" si="3"/>
        <v>25990</v>
      </c>
      <c r="P219" s="28" t="s">
        <v>0</v>
      </c>
    </row>
    <row r="220" spans="1:16" ht="15.6" x14ac:dyDescent="0.3">
      <c r="A220" s="25" t="s">
        <v>3214</v>
      </c>
      <c r="B220" s="26">
        <v>46093</v>
      </c>
      <c r="C220" s="26">
        <v>46098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66162436</v>
      </c>
      <c r="K220" s="38" t="s">
        <v>1093</v>
      </c>
      <c r="L220" t="s">
        <v>1096</v>
      </c>
      <c r="M220" s="37">
        <v>259900</v>
      </c>
      <c r="N220" s="57">
        <v>0.9</v>
      </c>
      <c r="O220" s="36">
        <f t="shared" si="3"/>
        <v>25990</v>
      </c>
      <c r="P220" s="28" t="s">
        <v>0</v>
      </c>
    </row>
    <row r="221" spans="1:16" ht="15.6" x14ac:dyDescent="0.3">
      <c r="A221" s="25" t="s">
        <v>3214</v>
      </c>
      <c r="B221" s="26">
        <v>46093</v>
      </c>
      <c r="C221" s="26">
        <v>46098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66162454</v>
      </c>
      <c r="K221" s="38" t="s">
        <v>1093</v>
      </c>
      <c r="L221" t="s">
        <v>1097</v>
      </c>
      <c r="M221" s="37">
        <v>259900</v>
      </c>
      <c r="N221" s="57">
        <v>0.9</v>
      </c>
      <c r="O221" s="36">
        <f t="shared" si="3"/>
        <v>25990</v>
      </c>
      <c r="P221" s="28" t="s">
        <v>0</v>
      </c>
    </row>
    <row r="222" spans="1:16" ht="15.6" x14ac:dyDescent="0.3">
      <c r="A222" s="25" t="s">
        <v>3214</v>
      </c>
      <c r="B222" s="26">
        <v>46093</v>
      </c>
      <c r="C222" s="26">
        <v>46098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66162472</v>
      </c>
      <c r="K222" s="38" t="s">
        <v>1093</v>
      </c>
      <c r="L222" t="s">
        <v>1098</v>
      </c>
      <c r="M222" s="37">
        <v>259900</v>
      </c>
      <c r="N222" s="57">
        <v>0.9</v>
      </c>
      <c r="O222" s="36">
        <f t="shared" si="3"/>
        <v>25990</v>
      </c>
      <c r="P222" s="28" t="s">
        <v>0</v>
      </c>
    </row>
    <row r="223" spans="1:16" ht="15.6" x14ac:dyDescent="0.3">
      <c r="A223" s="25" t="s">
        <v>3214</v>
      </c>
      <c r="B223" s="26">
        <v>46093</v>
      </c>
      <c r="C223" s="26">
        <v>46098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66162427</v>
      </c>
      <c r="K223" s="38" t="s">
        <v>1093</v>
      </c>
      <c r="L223" t="s">
        <v>1099</v>
      </c>
      <c r="M223" s="37">
        <v>259900</v>
      </c>
      <c r="N223" s="57">
        <v>0.9</v>
      </c>
      <c r="O223" s="36">
        <f t="shared" si="3"/>
        <v>25990</v>
      </c>
      <c r="P223" s="28" t="s">
        <v>0</v>
      </c>
    </row>
    <row r="224" spans="1:16" ht="15.6" x14ac:dyDescent="0.3">
      <c r="A224" s="25" t="s">
        <v>3214</v>
      </c>
      <c r="B224" s="26">
        <v>46093</v>
      </c>
      <c r="C224" s="26">
        <v>46098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66162445</v>
      </c>
      <c r="K224" s="38" t="s">
        <v>1093</v>
      </c>
      <c r="L224" t="s">
        <v>1100</v>
      </c>
      <c r="M224" s="37">
        <v>259900</v>
      </c>
      <c r="N224" s="57">
        <v>0.9</v>
      </c>
      <c r="O224" s="36">
        <f t="shared" si="3"/>
        <v>25990</v>
      </c>
      <c r="P224" s="28" t="s">
        <v>0</v>
      </c>
    </row>
    <row r="225" spans="1:16" ht="15.6" x14ac:dyDescent="0.3">
      <c r="A225" s="25" t="s">
        <v>3214</v>
      </c>
      <c r="B225" s="26">
        <v>46093</v>
      </c>
      <c r="C225" s="26">
        <v>46098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74854969</v>
      </c>
      <c r="K225" s="38" t="s">
        <v>1101</v>
      </c>
      <c r="L225" t="s">
        <v>1102</v>
      </c>
      <c r="M225" s="37">
        <v>239900</v>
      </c>
      <c r="N225" s="57">
        <v>0.9</v>
      </c>
      <c r="O225" s="36">
        <f t="shared" si="3"/>
        <v>23990</v>
      </c>
      <c r="P225" s="28" t="s">
        <v>0</v>
      </c>
    </row>
    <row r="226" spans="1:16" ht="15.6" x14ac:dyDescent="0.3">
      <c r="A226" s="25" t="s">
        <v>3214</v>
      </c>
      <c r="B226" s="26">
        <v>46093</v>
      </c>
      <c r="C226" s="26">
        <v>46098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74854996</v>
      </c>
      <c r="K226" s="38" t="s">
        <v>1101</v>
      </c>
      <c r="L226" t="s">
        <v>1103</v>
      </c>
      <c r="M226" s="37">
        <v>239900</v>
      </c>
      <c r="N226" s="57">
        <v>0.9</v>
      </c>
      <c r="O226" s="36">
        <f t="shared" si="3"/>
        <v>23990</v>
      </c>
      <c r="P226" s="28" t="s">
        <v>0</v>
      </c>
    </row>
    <row r="227" spans="1:16" ht="15.6" x14ac:dyDescent="0.3">
      <c r="A227" s="25" t="s">
        <v>3214</v>
      </c>
      <c r="B227" s="26">
        <v>46093</v>
      </c>
      <c r="C227" s="26">
        <v>46098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74854978</v>
      </c>
      <c r="K227" s="38" t="s">
        <v>1101</v>
      </c>
      <c r="L227" t="s">
        <v>1104</v>
      </c>
      <c r="M227" s="37">
        <v>239900</v>
      </c>
      <c r="N227" s="57">
        <v>0.9</v>
      </c>
      <c r="O227" s="36">
        <f t="shared" si="3"/>
        <v>23990</v>
      </c>
      <c r="P227" s="28" t="s">
        <v>0</v>
      </c>
    </row>
    <row r="228" spans="1:16" ht="15.6" x14ac:dyDescent="0.3">
      <c r="A228" s="25" t="s">
        <v>3214</v>
      </c>
      <c r="B228" s="26">
        <v>46093</v>
      </c>
      <c r="C228" s="26">
        <v>46098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74854987</v>
      </c>
      <c r="K228" s="38" t="s">
        <v>1101</v>
      </c>
      <c r="L228" t="s">
        <v>1105</v>
      </c>
      <c r="M228" s="37">
        <v>239900</v>
      </c>
      <c r="N228" s="57">
        <v>0.9</v>
      </c>
      <c r="O228" s="36">
        <f t="shared" si="3"/>
        <v>23990</v>
      </c>
      <c r="P228" s="28" t="s">
        <v>0</v>
      </c>
    </row>
    <row r="229" spans="1:16" ht="15.6" x14ac:dyDescent="0.3">
      <c r="A229" s="25" t="s">
        <v>3214</v>
      </c>
      <c r="B229" s="26">
        <v>46093</v>
      </c>
      <c r="C229" s="26">
        <v>46098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74855002</v>
      </c>
      <c r="K229" s="38" t="s">
        <v>1101</v>
      </c>
      <c r="L229" t="s">
        <v>1106</v>
      </c>
      <c r="M229" s="37">
        <v>239900</v>
      </c>
      <c r="N229" s="57">
        <v>0.9</v>
      </c>
      <c r="O229" s="36">
        <f t="shared" si="3"/>
        <v>23990</v>
      </c>
      <c r="P229" s="28" t="s">
        <v>0</v>
      </c>
    </row>
    <row r="230" spans="1:16" ht="15.6" x14ac:dyDescent="0.3">
      <c r="A230" s="25" t="s">
        <v>3214</v>
      </c>
      <c r="B230" s="26">
        <v>46093</v>
      </c>
      <c r="C230" s="26">
        <v>46098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73915127</v>
      </c>
      <c r="K230" s="38" t="s">
        <v>1107</v>
      </c>
      <c r="L230" t="s">
        <v>1108</v>
      </c>
      <c r="M230" s="37">
        <v>239900</v>
      </c>
      <c r="N230" s="57">
        <v>0.9</v>
      </c>
      <c r="O230" s="36">
        <f t="shared" si="3"/>
        <v>23990</v>
      </c>
      <c r="P230" s="28" t="s">
        <v>0</v>
      </c>
    </row>
    <row r="231" spans="1:16" ht="15.6" x14ac:dyDescent="0.3">
      <c r="A231" s="25" t="s">
        <v>3214</v>
      </c>
      <c r="B231" s="26">
        <v>46093</v>
      </c>
      <c r="C231" s="26">
        <v>46098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75935165</v>
      </c>
      <c r="K231" s="38" t="s">
        <v>1107</v>
      </c>
      <c r="L231" t="s">
        <v>1109</v>
      </c>
      <c r="M231" s="37">
        <v>239900</v>
      </c>
      <c r="N231" s="57">
        <v>0.9</v>
      </c>
      <c r="O231" s="36">
        <f t="shared" si="3"/>
        <v>23990</v>
      </c>
      <c r="P231" s="28" t="s">
        <v>0</v>
      </c>
    </row>
    <row r="232" spans="1:16" ht="15.6" x14ac:dyDescent="0.3">
      <c r="A232" s="25" t="s">
        <v>3214</v>
      </c>
      <c r="B232" s="26">
        <v>46093</v>
      </c>
      <c r="C232" s="26">
        <v>46098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75935156</v>
      </c>
      <c r="K232" s="38" t="s">
        <v>1107</v>
      </c>
      <c r="L232" t="s">
        <v>1110</v>
      </c>
      <c r="M232" s="37">
        <v>239900</v>
      </c>
      <c r="N232" s="57">
        <v>0.9</v>
      </c>
      <c r="O232" s="36">
        <f t="shared" si="3"/>
        <v>23990</v>
      </c>
      <c r="P232" s="28" t="s">
        <v>0</v>
      </c>
    </row>
    <row r="233" spans="1:16" ht="15.6" x14ac:dyDescent="0.3">
      <c r="A233" s="25" t="s">
        <v>3214</v>
      </c>
      <c r="B233" s="26">
        <v>46093</v>
      </c>
      <c r="C233" s="26">
        <v>46098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73915136</v>
      </c>
      <c r="K233" s="38" t="s">
        <v>1107</v>
      </c>
      <c r="L233" t="s">
        <v>1111</v>
      </c>
      <c r="M233" s="37">
        <v>239900</v>
      </c>
      <c r="N233" s="57">
        <v>0.9</v>
      </c>
      <c r="O233" s="36">
        <f t="shared" si="3"/>
        <v>23990</v>
      </c>
      <c r="P233" s="28" t="s">
        <v>0</v>
      </c>
    </row>
    <row r="234" spans="1:16" ht="15.6" x14ac:dyDescent="0.3">
      <c r="A234" s="25" t="s">
        <v>3214</v>
      </c>
      <c r="B234" s="26">
        <v>46093</v>
      </c>
      <c r="C234" s="26">
        <v>46098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75935192</v>
      </c>
      <c r="K234" s="38" t="s">
        <v>1107</v>
      </c>
      <c r="L234" t="s">
        <v>1112</v>
      </c>
      <c r="M234" s="37">
        <v>239900</v>
      </c>
      <c r="N234" s="57">
        <v>0.9</v>
      </c>
      <c r="O234" s="36">
        <f t="shared" si="3"/>
        <v>23990</v>
      </c>
      <c r="P234" s="28" t="s">
        <v>0</v>
      </c>
    </row>
    <row r="235" spans="1:16" ht="15.6" x14ac:dyDescent="0.3">
      <c r="A235" s="25" t="s">
        <v>3214</v>
      </c>
      <c r="B235" s="26">
        <v>46093</v>
      </c>
      <c r="C235" s="26">
        <v>46098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73915118</v>
      </c>
      <c r="K235" s="38" t="s">
        <v>1107</v>
      </c>
      <c r="L235" t="s">
        <v>1113</v>
      </c>
      <c r="M235" s="37">
        <v>239900</v>
      </c>
      <c r="N235" s="57">
        <v>0.9</v>
      </c>
      <c r="O235" s="36">
        <f t="shared" si="3"/>
        <v>23990</v>
      </c>
      <c r="P235" s="28" t="s">
        <v>0</v>
      </c>
    </row>
    <row r="236" spans="1:16" ht="15.6" x14ac:dyDescent="0.3">
      <c r="A236" s="25" t="s">
        <v>3214</v>
      </c>
      <c r="B236" s="26">
        <v>46093</v>
      </c>
      <c r="C236" s="26">
        <v>46098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75935183</v>
      </c>
      <c r="K236" s="38" t="s">
        <v>1107</v>
      </c>
      <c r="L236" t="s">
        <v>1114</v>
      </c>
      <c r="M236" s="37">
        <v>239900</v>
      </c>
      <c r="N236" s="57">
        <v>0.9</v>
      </c>
      <c r="O236" s="36">
        <f t="shared" si="3"/>
        <v>23990</v>
      </c>
      <c r="P236" s="28" t="s">
        <v>0</v>
      </c>
    </row>
    <row r="237" spans="1:16" ht="15.6" x14ac:dyDescent="0.3">
      <c r="A237" s="25" t="s">
        <v>3214</v>
      </c>
      <c r="B237" s="26">
        <v>46093</v>
      </c>
      <c r="C237" s="26">
        <v>46098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73915109</v>
      </c>
      <c r="K237" s="38" t="s">
        <v>1107</v>
      </c>
      <c r="L237" t="s">
        <v>1115</v>
      </c>
      <c r="M237" s="37">
        <v>239900</v>
      </c>
      <c r="N237" s="57">
        <v>0.9</v>
      </c>
      <c r="O237" s="36">
        <f t="shared" si="3"/>
        <v>23990</v>
      </c>
      <c r="P237" s="28" t="s">
        <v>0</v>
      </c>
    </row>
    <row r="238" spans="1:16" ht="15.6" x14ac:dyDescent="0.3">
      <c r="A238" s="25" t="s">
        <v>3214</v>
      </c>
      <c r="B238" s="26">
        <v>46093</v>
      </c>
      <c r="C238" s="26">
        <v>46098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73915092</v>
      </c>
      <c r="K238" s="38" t="s">
        <v>1107</v>
      </c>
      <c r="L238" t="s">
        <v>1116</v>
      </c>
      <c r="M238" s="37">
        <v>239900</v>
      </c>
      <c r="N238" s="57">
        <v>0.9</v>
      </c>
      <c r="O238" s="36">
        <f t="shared" si="3"/>
        <v>23990</v>
      </c>
      <c r="P238" s="28" t="s">
        <v>0</v>
      </c>
    </row>
    <row r="239" spans="1:16" ht="15.6" x14ac:dyDescent="0.3">
      <c r="A239" s="25" t="s">
        <v>3214</v>
      </c>
      <c r="B239" s="26">
        <v>46093</v>
      </c>
      <c r="C239" s="26">
        <v>46098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75935174</v>
      </c>
      <c r="K239" s="38" t="s">
        <v>1107</v>
      </c>
      <c r="L239" t="s">
        <v>1117</v>
      </c>
      <c r="M239" s="37">
        <v>239900</v>
      </c>
      <c r="N239" s="57">
        <v>0.9</v>
      </c>
      <c r="O239" s="36">
        <f t="shared" si="3"/>
        <v>23990</v>
      </c>
      <c r="P239" s="28" t="s">
        <v>0</v>
      </c>
    </row>
    <row r="240" spans="1:16" ht="15.6" x14ac:dyDescent="0.3">
      <c r="A240" s="25" t="s">
        <v>3214</v>
      </c>
      <c r="B240" s="26">
        <v>46093</v>
      </c>
      <c r="C240" s="26">
        <v>46098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75903387</v>
      </c>
      <c r="K240" s="38" t="s">
        <v>1118</v>
      </c>
      <c r="L240" t="s">
        <v>1119</v>
      </c>
      <c r="M240" s="37">
        <v>239900</v>
      </c>
      <c r="N240" s="57">
        <v>0.9</v>
      </c>
      <c r="O240" s="36">
        <f t="shared" si="3"/>
        <v>23990</v>
      </c>
      <c r="P240" s="28" t="s">
        <v>0</v>
      </c>
    </row>
    <row r="241" spans="1:16" ht="15.6" x14ac:dyDescent="0.3">
      <c r="A241" s="25" t="s">
        <v>3214</v>
      </c>
      <c r="B241" s="26">
        <v>46093</v>
      </c>
      <c r="C241" s="26">
        <v>46098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75903369</v>
      </c>
      <c r="K241" s="38" t="s">
        <v>1118</v>
      </c>
      <c r="L241" t="s">
        <v>1120</v>
      </c>
      <c r="M241" s="37">
        <v>239900</v>
      </c>
      <c r="N241" s="57">
        <v>0.9</v>
      </c>
      <c r="O241" s="36">
        <f t="shared" si="3"/>
        <v>23990</v>
      </c>
      <c r="P241" s="28" t="s">
        <v>0</v>
      </c>
    </row>
    <row r="242" spans="1:16" ht="15.6" x14ac:dyDescent="0.3">
      <c r="A242" s="25" t="s">
        <v>3214</v>
      </c>
      <c r="B242" s="26">
        <v>46093</v>
      </c>
      <c r="C242" s="26">
        <v>46098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75903412</v>
      </c>
      <c r="K242" s="38" t="s">
        <v>1118</v>
      </c>
      <c r="L242" t="s">
        <v>1121</v>
      </c>
      <c r="M242" s="37">
        <v>239900</v>
      </c>
      <c r="N242" s="57">
        <v>0.9</v>
      </c>
      <c r="O242" s="36">
        <f t="shared" si="3"/>
        <v>23990</v>
      </c>
      <c r="P242" s="28" t="s">
        <v>0</v>
      </c>
    </row>
    <row r="243" spans="1:16" ht="15.6" x14ac:dyDescent="0.3">
      <c r="A243" s="25" t="s">
        <v>3214</v>
      </c>
      <c r="B243" s="26">
        <v>46093</v>
      </c>
      <c r="C243" s="26">
        <v>46098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75903403</v>
      </c>
      <c r="K243" s="38" t="s">
        <v>1118</v>
      </c>
      <c r="L243" t="s">
        <v>1122</v>
      </c>
      <c r="M243" s="37">
        <v>239900</v>
      </c>
      <c r="N243" s="57">
        <v>0.9</v>
      </c>
      <c r="O243" s="36">
        <f t="shared" si="3"/>
        <v>23990</v>
      </c>
      <c r="P243" s="28" t="s">
        <v>0</v>
      </c>
    </row>
    <row r="244" spans="1:16" ht="15.6" x14ac:dyDescent="0.3">
      <c r="A244" s="25" t="s">
        <v>3214</v>
      </c>
      <c r="B244" s="26">
        <v>46093</v>
      </c>
      <c r="C244" s="26">
        <v>46098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75903396</v>
      </c>
      <c r="K244" s="38" t="s">
        <v>1118</v>
      </c>
      <c r="L244" t="s">
        <v>1123</v>
      </c>
      <c r="M244" s="37">
        <v>239900</v>
      </c>
      <c r="N244" s="57">
        <v>0.9</v>
      </c>
      <c r="O244" s="36">
        <f t="shared" si="3"/>
        <v>23990</v>
      </c>
      <c r="P244" s="28" t="s">
        <v>0</v>
      </c>
    </row>
    <row r="245" spans="1:16" ht="15.6" x14ac:dyDescent="0.3">
      <c r="A245" s="25" t="s">
        <v>3214</v>
      </c>
      <c r="B245" s="26">
        <v>46093</v>
      </c>
      <c r="C245" s="26">
        <v>46098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75903430</v>
      </c>
      <c r="K245" s="38" t="s">
        <v>1118</v>
      </c>
      <c r="L245" t="s">
        <v>1124</v>
      </c>
      <c r="M245" s="37">
        <v>239900</v>
      </c>
      <c r="N245" s="57">
        <v>0.9</v>
      </c>
      <c r="O245" s="36">
        <f t="shared" si="3"/>
        <v>23990</v>
      </c>
      <c r="P245" s="28" t="s">
        <v>0</v>
      </c>
    </row>
    <row r="246" spans="1:16" ht="15.6" x14ac:dyDescent="0.3">
      <c r="A246" s="25" t="s">
        <v>3214</v>
      </c>
      <c r="B246" s="26">
        <v>46093</v>
      </c>
      <c r="C246" s="26">
        <v>46098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75903350</v>
      </c>
      <c r="K246" s="38" t="s">
        <v>1118</v>
      </c>
      <c r="L246" t="s">
        <v>1125</v>
      </c>
      <c r="M246" s="37">
        <v>239900</v>
      </c>
      <c r="N246" s="57">
        <v>0.9</v>
      </c>
      <c r="O246" s="36">
        <f t="shared" si="3"/>
        <v>23990</v>
      </c>
      <c r="P246" s="28" t="s">
        <v>0</v>
      </c>
    </row>
    <row r="247" spans="1:16" ht="15.6" x14ac:dyDescent="0.3">
      <c r="A247" s="25" t="s">
        <v>3214</v>
      </c>
      <c r="B247" s="26">
        <v>46093</v>
      </c>
      <c r="C247" s="26">
        <v>46098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75903378</v>
      </c>
      <c r="K247" s="38" t="s">
        <v>1118</v>
      </c>
      <c r="L247" t="s">
        <v>1126</v>
      </c>
      <c r="M247" s="37">
        <v>239900</v>
      </c>
      <c r="N247" s="57">
        <v>0.9</v>
      </c>
      <c r="O247" s="36">
        <f t="shared" si="3"/>
        <v>23990</v>
      </c>
      <c r="P247" s="28" t="s">
        <v>0</v>
      </c>
    </row>
    <row r="248" spans="1:16" ht="15.6" x14ac:dyDescent="0.3">
      <c r="A248" s="25" t="s">
        <v>3214</v>
      </c>
      <c r="B248" s="26">
        <v>46093</v>
      </c>
      <c r="C248" s="26">
        <v>46098</v>
      </c>
      <c r="D248" s="25">
        <v>3319</v>
      </c>
      <c r="E248" s="25">
        <v>327</v>
      </c>
      <c r="F248" s="25">
        <v>2</v>
      </c>
      <c r="G248" s="28">
        <v>1</v>
      </c>
      <c r="H248" s="28">
        <v>81433</v>
      </c>
      <c r="I248" s="28" t="s">
        <v>17</v>
      </c>
      <c r="J248" s="28">
        <v>75903449</v>
      </c>
      <c r="K248" s="38" t="s">
        <v>1118</v>
      </c>
      <c r="L248" t="s">
        <v>1127</v>
      </c>
      <c r="M248" s="37">
        <v>239900</v>
      </c>
      <c r="N248" s="57">
        <v>0.9</v>
      </c>
      <c r="O248" s="36">
        <f t="shared" si="3"/>
        <v>23990</v>
      </c>
      <c r="P248" s="28" t="s">
        <v>0</v>
      </c>
    </row>
    <row r="249" spans="1:16" ht="15.6" x14ac:dyDescent="0.3">
      <c r="A249" s="25" t="s">
        <v>3214</v>
      </c>
      <c r="B249" s="26">
        <v>46093</v>
      </c>
      <c r="C249" s="26">
        <v>46098</v>
      </c>
      <c r="D249" s="25">
        <v>3319</v>
      </c>
      <c r="E249" s="25">
        <v>327</v>
      </c>
      <c r="F249" s="25">
        <v>2</v>
      </c>
      <c r="G249" s="28">
        <v>1</v>
      </c>
      <c r="H249" s="28">
        <v>81433</v>
      </c>
      <c r="I249" s="28" t="s">
        <v>17</v>
      </c>
      <c r="J249" s="28">
        <v>75903421</v>
      </c>
      <c r="K249" s="38" t="s">
        <v>1118</v>
      </c>
      <c r="L249" t="s">
        <v>1128</v>
      </c>
      <c r="M249" s="37">
        <v>239900</v>
      </c>
      <c r="N249" s="57">
        <v>0.9</v>
      </c>
      <c r="O249" s="36">
        <f t="shared" si="3"/>
        <v>23990</v>
      </c>
      <c r="P249" s="28" t="s">
        <v>0</v>
      </c>
    </row>
    <row r="250" spans="1:16" ht="15.6" x14ac:dyDescent="0.3">
      <c r="A250" s="25" t="s">
        <v>3214</v>
      </c>
      <c r="B250" s="26">
        <v>46093</v>
      </c>
      <c r="C250" s="26">
        <v>46098</v>
      </c>
      <c r="D250" s="25">
        <v>3319</v>
      </c>
      <c r="E250" s="25">
        <v>327</v>
      </c>
      <c r="F250" s="25">
        <v>2</v>
      </c>
      <c r="G250" s="28">
        <v>1</v>
      </c>
      <c r="H250" s="28">
        <v>81433</v>
      </c>
      <c r="I250" s="28" t="s">
        <v>17</v>
      </c>
      <c r="J250" s="28">
        <v>73977409</v>
      </c>
      <c r="K250" s="38" t="s">
        <v>1129</v>
      </c>
      <c r="L250" t="s">
        <v>1130</v>
      </c>
      <c r="M250" s="37">
        <v>239900</v>
      </c>
      <c r="N250" s="57">
        <v>0.9</v>
      </c>
      <c r="O250" s="36">
        <f t="shared" si="3"/>
        <v>23990</v>
      </c>
      <c r="P250" s="28" t="s">
        <v>0</v>
      </c>
    </row>
    <row r="251" spans="1:16" ht="15.6" x14ac:dyDescent="0.3">
      <c r="A251" s="25" t="s">
        <v>3214</v>
      </c>
      <c r="B251" s="26">
        <v>46093</v>
      </c>
      <c r="C251" s="26">
        <v>46098</v>
      </c>
      <c r="D251" s="25">
        <v>3319</v>
      </c>
      <c r="E251" s="25">
        <v>327</v>
      </c>
      <c r="F251" s="25">
        <v>2</v>
      </c>
      <c r="G251" s="28">
        <v>1</v>
      </c>
      <c r="H251" s="28">
        <v>81433</v>
      </c>
      <c r="I251" s="28" t="s">
        <v>17</v>
      </c>
      <c r="J251" s="28">
        <v>73977418</v>
      </c>
      <c r="K251" s="38" t="s">
        <v>1129</v>
      </c>
      <c r="L251" t="s">
        <v>1131</v>
      </c>
      <c r="M251" s="37">
        <v>239900</v>
      </c>
      <c r="N251" s="57">
        <v>0.9</v>
      </c>
      <c r="O251" s="36">
        <f t="shared" si="3"/>
        <v>23990</v>
      </c>
      <c r="P251" s="28" t="s">
        <v>0</v>
      </c>
    </row>
    <row r="252" spans="1:16" ht="15.6" x14ac:dyDescent="0.3">
      <c r="A252" s="25" t="s">
        <v>3214</v>
      </c>
      <c r="B252" s="26">
        <v>46093</v>
      </c>
      <c r="C252" s="26">
        <v>46098</v>
      </c>
      <c r="D252" s="25">
        <v>3319</v>
      </c>
      <c r="E252" s="25">
        <v>327</v>
      </c>
      <c r="F252" s="25">
        <v>2</v>
      </c>
      <c r="G252" s="28">
        <v>1</v>
      </c>
      <c r="H252" s="28">
        <v>81433</v>
      </c>
      <c r="I252" s="28" t="s">
        <v>17</v>
      </c>
      <c r="J252" s="28">
        <v>73977427</v>
      </c>
      <c r="K252" s="38" t="s">
        <v>1129</v>
      </c>
      <c r="L252" t="s">
        <v>1132</v>
      </c>
      <c r="M252" s="37">
        <v>239900</v>
      </c>
      <c r="N252" s="57">
        <v>0.9</v>
      </c>
      <c r="O252" s="36">
        <f t="shared" si="3"/>
        <v>23990</v>
      </c>
      <c r="P252" s="28" t="s">
        <v>0</v>
      </c>
    </row>
    <row r="253" spans="1:16" ht="15.6" x14ac:dyDescent="0.3">
      <c r="A253" s="25" t="s">
        <v>3214</v>
      </c>
      <c r="B253" s="26">
        <v>46093</v>
      </c>
      <c r="C253" s="26">
        <v>46098</v>
      </c>
      <c r="D253" s="25">
        <v>3319</v>
      </c>
      <c r="E253" s="25">
        <v>327</v>
      </c>
      <c r="F253" s="25">
        <v>2</v>
      </c>
      <c r="G253" s="28">
        <v>1</v>
      </c>
      <c r="H253" s="28">
        <v>81433</v>
      </c>
      <c r="I253" s="28" t="s">
        <v>17</v>
      </c>
      <c r="J253" s="28">
        <v>73977383</v>
      </c>
      <c r="K253" s="38" t="s">
        <v>1129</v>
      </c>
      <c r="L253" t="s">
        <v>1133</v>
      </c>
      <c r="M253" s="37">
        <v>239900</v>
      </c>
      <c r="N253" s="57">
        <v>0.9</v>
      </c>
      <c r="O253" s="36">
        <f t="shared" si="3"/>
        <v>23990</v>
      </c>
      <c r="P253" s="28" t="s">
        <v>0</v>
      </c>
    </row>
    <row r="254" spans="1:16" ht="15.6" x14ac:dyDescent="0.3">
      <c r="A254" s="25" t="s">
        <v>3214</v>
      </c>
      <c r="B254" s="26">
        <v>46093</v>
      </c>
      <c r="C254" s="26">
        <v>46098</v>
      </c>
      <c r="D254" s="25">
        <v>3319</v>
      </c>
      <c r="E254" s="25">
        <v>327</v>
      </c>
      <c r="F254" s="25">
        <v>2</v>
      </c>
      <c r="G254" s="28">
        <v>1</v>
      </c>
      <c r="H254" s="28">
        <v>81433</v>
      </c>
      <c r="I254" s="28" t="s">
        <v>17</v>
      </c>
      <c r="J254" s="28">
        <v>73977338</v>
      </c>
      <c r="K254" s="38" t="s">
        <v>1129</v>
      </c>
      <c r="L254" t="s">
        <v>1134</v>
      </c>
      <c r="M254" s="37">
        <v>239900</v>
      </c>
      <c r="N254" s="57">
        <v>0.9</v>
      </c>
      <c r="O254" s="36">
        <f t="shared" si="3"/>
        <v>23990</v>
      </c>
      <c r="P254" s="28" t="s">
        <v>0</v>
      </c>
    </row>
    <row r="255" spans="1:16" ht="15.6" x14ac:dyDescent="0.3">
      <c r="A255" s="25" t="s">
        <v>3214</v>
      </c>
      <c r="B255" s="26">
        <v>46093</v>
      </c>
      <c r="C255" s="26">
        <v>46098</v>
      </c>
      <c r="D255" s="25">
        <v>3319</v>
      </c>
      <c r="E255" s="25">
        <v>327</v>
      </c>
      <c r="F255" s="25">
        <v>2</v>
      </c>
      <c r="G255" s="28">
        <v>1</v>
      </c>
      <c r="H255" s="28">
        <v>81433</v>
      </c>
      <c r="I255" s="28" t="s">
        <v>17</v>
      </c>
      <c r="J255" s="28">
        <v>73977356</v>
      </c>
      <c r="K255" s="38" t="s">
        <v>1129</v>
      </c>
      <c r="L255" t="s">
        <v>1135</v>
      </c>
      <c r="M255" s="37">
        <v>239900</v>
      </c>
      <c r="N255" s="57">
        <v>0.9</v>
      </c>
      <c r="O255" s="36">
        <f t="shared" si="3"/>
        <v>23990</v>
      </c>
      <c r="P255" s="28" t="s">
        <v>0</v>
      </c>
    </row>
    <row r="256" spans="1:16" ht="15.6" x14ac:dyDescent="0.3">
      <c r="A256" s="25" t="s">
        <v>3214</v>
      </c>
      <c r="B256" s="26">
        <v>46093</v>
      </c>
      <c r="C256" s="26">
        <v>46098</v>
      </c>
      <c r="D256" s="25">
        <v>3319</v>
      </c>
      <c r="E256" s="25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73977392</v>
      </c>
      <c r="K256" s="38" t="s">
        <v>1129</v>
      </c>
      <c r="L256" t="s">
        <v>1136</v>
      </c>
      <c r="M256" s="37">
        <v>239900</v>
      </c>
      <c r="N256" s="57">
        <v>0.9</v>
      </c>
      <c r="O256" s="36">
        <f t="shared" si="3"/>
        <v>23990</v>
      </c>
      <c r="P256" s="28" t="s">
        <v>0</v>
      </c>
    </row>
    <row r="257" spans="1:16" ht="15.6" x14ac:dyDescent="0.3">
      <c r="A257" s="25" t="s">
        <v>3214</v>
      </c>
      <c r="B257" s="26">
        <v>46093</v>
      </c>
      <c r="C257" s="26">
        <v>46098</v>
      </c>
      <c r="D257" s="25">
        <v>3319</v>
      </c>
      <c r="E257" s="25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73977374</v>
      </c>
      <c r="K257" s="38" t="s">
        <v>1129</v>
      </c>
      <c r="L257" t="s">
        <v>1137</v>
      </c>
      <c r="M257" s="37">
        <v>239900</v>
      </c>
      <c r="N257" s="57">
        <v>0.9</v>
      </c>
      <c r="O257" s="36">
        <f t="shared" si="3"/>
        <v>23990</v>
      </c>
      <c r="P257" s="28" t="s">
        <v>0</v>
      </c>
    </row>
    <row r="258" spans="1:16" ht="15.6" x14ac:dyDescent="0.3">
      <c r="A258" s="25" t="s">
        <v>3214</v>
      </c>
      <c r="B258" s="26">
        <v>46093</v>
      </c>
      <c r="C258" s="26">
        <v>46098</v>
      </c>
      <c r="D258" s="25">
        <v>3319</v>
      </c>
      <c r="E258" s="25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73977365</v>
      </c>
      <c r="K258" s="38" t="s">
        <v>1129</v>
      </c>
      <c r="L258" t="s">
        <v>1138</v>
      </c>
      <c r="M258" s="37">
        <v>239900</v>
      </c>
      <c r="N258" s="57">
        <v>0.9</v>
      </c>
      <c r="O258" s="36">
        <f t="shared" si="3"/>
        <v>23990</v>
      </c>
      <c r="P258" s="28" t="s">
        <v>0</v>
      </c>
    </row>
    <row r="259" spans="1:16" ht="15.6" x14ac:dyDescent="0.3">
      <c r="A259" s="25" t="s">
        <v>3214</v>
      </c>
      <c r="B259" s="26">
        <v>46093</v>
      </c>
      <c r="C259" s="26">
        <v>46098</v>
      </c>
      <c r="D259" s="25">
        <v>3319</v>
      </c>
      <c r="E259" s="25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73977347</v>
      </c>
      <c r="K259" s="38" t="s">
        <v>1129</v>
      </c>
      <c r="L259" t="s">
        <v>1139</v>
      </c>
      <c r="M259" s="37">
        <v>239900</v>
      </c>
      <c r="N259" s="57">
        <v>0.9</v>
      </c>
      <c r="O259" s="36">
        <f t="shared" ref="O259:O322" si="4">M259*10%</f>
        <v>23990</v>
      </c>
      <c r="P259" s="28" t="s">
        <v>0</v>
      </c>
    </row>
    <row r="260" spans="1:16" ht="15.6" x14ac:dyDescent="0.3">
      <c r="A260" s="25" t="s">
        <v>3214</v>
      </c>
      <c r="B260" s="26">
        <v>46093</v>
      </c>
      <c r="C260" s="26">
        <v>46098</v>
      </c>
      <c r="D260" s="25">
        <v>3319</v>
      </c>
      <c r="E260" s="25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76098701</v>
      </c>
      <c r="K260" s="38" t="s">
        <v>1140</v>
      </c>
      <c r="L260" t="s">
        <v>1141</v>
      </c>
      <c r="M260" s="37">
        <v>239900</v>
      </c>
      <c r="N260" s="57">
        <v>0.9</v>
      </c>
      <c r="O260" s="36">
        <f t="shared" si="4"/>
        <v>23990</v>
      </c>
      <c r="P260" s="28" t="s">
        <v>0</v>
      </c>
    </row>
    <row r="261" spans="1:16" ht="15.6" x14ac:dyDescent="0.3">
      <c r="A261" s="25" t="s">
        <v>3214</v>
      </c>
      <c r="B261" s="26">
        <v>46093</v>
      </c>
      <c r="C261" s="26">
        <v>46098</v>
      </c>
      <c r="D261" s="25">
        <v>3319</v>
      </c>
      <c r="E261" s="25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76098774</v>
      </c>
      <c r="K261" s="38" t="s">
        <v>1140</v>
      </c>
      <c r="L261" t="s">
        <v>1142</v>
      </c>
      <c r="M261" s="37">
        <v>239900</v>
      </c>
      <c r="N261" s="57">
        <v>0.9</v>
      </c>
      <c r="O261" s="36">
        <f t="shared" si="4"/>
        <v>23990</v>
      </c>
      <c r="P261" s="28" t="s">
        <v>0</v>
      </c>
    </row>
    <row r="262" spans="1:16" ht="15.6" x14ac:dyDescent="0.3">
      <c r="A262" s="25" t="s">
        <v>3214</v>
      </c>
      <c r="B262" s="26">
        <v>46093</v>
      </c>
      <c r="C262" s="26">
        <v>46098</v>
      </c>
      <c r="D262" s="25">
        <v>3319</v>
      </c>
      <c r="E262" s="25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76098756</v>
      </c>
      <c r="K262" s="38" t="s">
        <v>1140</v>
      </c>
      <c r="L262" t="s">
        <v>1143</v>
      </c>
      <c r="M262" s="37">
        <v>239900</v>
      </c>
      <c r="N262" s="57">
        <v>0.9</v>
      </c>
      <c r="O262" s="36">
        <f t="shared" si="4"/>
        <v>23990</v>
      </c>
      <c r="P262" s="28" t="s">
        <v>0</v>
      </c>
    </row>
    <row r="263" spans="1:16" ht="15.6" x14ac:dyDescent="0.3">
      <c r="A263" s="25" t="s">
        <v>3214</v>
      </c>
      <c r="B263" s="26">
        <v>46093</v>
      </c>
      <c r="C263" s="26">
        <v>46098</v>
      </c>
      <c r="D263" s="25">
        <v>3319</v>
      </c>
      <c r="E263" s="25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76098747</v>
      </c>
      <c r="K263" s="38" t="s">
        <v>1140</v>
      </c>
      <c r="L263" t="s">
        <v>1144</v>
      </c>
      <c r="M263" s="37">
        <v>239900</v>
      </c>
      <c r="N263" s="57">
        <v>0.9</v>
      </c>
      <c r="O263" s="36">
        <f t="shared" si="4"/>
        <v>23990</v>
      </c>
      <c r="P263" s="28" t="s">
        <v>0</v>
      </c>
    </row>
    <row r="264" spans="1:16" ht="15.6" x14ac:dyDescent="0.3">
      <c r="A264" s="25" t="s">
        <v>3214</v>
      </c>
      <c r="B264" s="26">
        <v>46093</v>
      </c>
      <c r="C264" s="26">
        <v>46098</v>
      </c>
      <c r="D264" s="25">
        <v>3319</v>
      </c>
      <c r="E264" s="25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76098792</v>
      </c>
      <c r="K264" s="38" t="s">
        <v>1140</v>
      </c>
      <c r="L264" t="s">
        <v>1145</v>
      </c>
      <c r="M264" s="37">
        <v>239900</v>
      </c>
      <c r="N264" s="57">
        <v>0.9</v>
      </c>
      <c r="O264" s="36">
        <f t="shared" si="4"/>
        <v>23990</v>
      </c>
      <c r="P264" s="28" t="s">
        <v>0</v>
      </c>
    </row>
    <row r="265" spans="1:16" ht="15.6" x14ac:dyDescent="0.3">
      <c r="A265" s="25" t="s">
        <v>3214</v>
      </c>
      <c r="B265" s="26">
        <v>46093</v>
      </c>
      <c r="C265" s="26">
        <v>46098</v>
      </c>
      <c r="D265" s="25">
        <v>3319</v>
      </c>
      <c r="E265" s="25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76098729</v>
      </c>
      <c r="K265" s="38" t="s">
        <v>1140</v>
      </c>
      <c r="L265" t="s">
        <v>1146</v>
      </c>
      <c r="M265" s="37">
        <v>239900</v>
      </c>
      <c r="N265" s="57">
        <v>0.9</v>
      </c>
      <c r="O265" s="36">
        <f t="shared" si="4"/>
        <v>23990</v>
      </c>
      <c r="P265" s="28" t="s">
        <v>0</v>
      </c>
    </row>
    <row r="266" spans="1:16" ht="15.6" x14ac:dyDescent="0.3">
      <c r="A266" s="25" t="s">
        <v>3214</v>
      </c>
      <c r="B266" s="26">
        <v>46093</v>
      </c>
      <c r="C266" s="26">
        <v>46098</v>
      </c>
      <c r="D266" s="25">
        <v>3319</v>
      </c>
      <c r="E266" s="25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76098783</v>
      </c>
      <c r="K266" s="38" t="s">
        <v>1140</v>
      </c>
      <c r="L266" t="s">
        <v>1147</v>
      </c>
      <c r="M266" s="37">
        <v>239900</v>
      </c>
      <c r="N266" s="57">
        <v>0.9</v>
      </c>
      <c r="O266" s="36">
        <f t="shared" si="4"/>
        <v>23990</v>
      </c>
      <c r="P266" s="28" t="s">
        <v>0</v>
      </c>
    </row>
    <row r="267" spans="1:16" ht="15.6" x14ac:dyDescent="0.3">
      <c r="A267" s="25" t="s">
        <v>3214</v>
      </c>
      <c r="B267" s="26">
        <v>46093</v>
      </c>
      <c r="C267" s="26">
        <v>46098</v>
      </c>
      <c r="D267" s="25">
        <v>3319</v>
      </c>
      <c r="E267" s="25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76098765</v>
      </c>
      <c r="K267" s="38" t="s">
        <v>1140</v>
      </c>
      <c r="L267" t="s">
        <v>1148</v>
      </c>
      <c r="M267" s="37">
        <v>239900</v>
      </c>
      <c r="N267" s="57">
        <v>0.9</v>
      </c>
      <c r="O267" s="36">
        <f t="shared" si="4"/>
        <v>23990</v>
      </c>
      <c r="P267" s="28" t="s">
        <v>0</v>
      </c>
    </row>
    <row r="268" spans="1:16" ht="15.6" x14ac:dyDescent="0.3">
      <c r="A268" s="25" t="s">
        <v>3214</v>
      </c>
      <c r="B268" s="26">
        <v>46093</v>
      </c>
      <c r="C268" s="26">
        <v>46098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76098710</v>
      </c>
      <c r="K268" s="38" t="s">
        <v>1140</v>
      </c>
      <c r="L268" t="s">
        <v>1149</v>
      </c>
      <c r="M268" s="37">
        <v>239900</v>
      </c>
      <c r="N268" s="57">
        <v>0.9</v>
      </c>
      <c r="O268" s="36">
        <f t="shared" si="4"/>
        <v>23990</v>
      </c>
      <c r="P268" s="28" t="s">
        <v>0</v>
      </c>
    </row>
    <row r="269" spans="1:16" ht="15.6" x14ac:dyDescent="0.3">
      <c r="A269" s="25" t="s">
        <v>3214</v>
      </c>
      <c r="B269" s="26">
        <v>46093</v>
      </c>
      <c r="C269" s="26">
        <v>46098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76098738</v>
      </c>
      <c r="K269" s="38" t="s">
        <v>1140</v>
      </c>
      <c r="L269" t="s">
        <v>1150</v>
      </c>
      <c r="M269" s="37">
        <v>239900</v>
      </c>
      <c r="N269" s="57">
        <v>0.9</v>
      </c>
      <c r="O269" s="36">
        <f t="shared" si="4"/>
        <v>23990</v>
      </c>
      <c r="P269" s="28" t="s">
        <v>0</v>
      </c>
    </row>
    <row r="270" spans="1:16" ht="15.6" x14ac:dyDescent="0.3">
      <c r="A270" s="25" t="s">
        <v>3214</v>
      </c>
      <c r="B270" s="26">
        <v>46093</v>
      </c>
      <c r="C270" s="26">
        <v>46098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76098694</v>
      </c>
      <c r="K270" s="38" t="s">
        <v>1151</v>
      </c>
      <c r="L270" t="s">
        <v>1152</v>
      </c>
      <c r="M270" s="37">
        <v>239900</v>
      </c>
      <c r="N270" s="57">
        <v>0.9</v>
      </c>
      <c r="O270" s="36">
        <f t="shared" si="4"/>
        <v>23990</v>
      </c>
      <c r="P270" s="28" t="s">
        <v>0</v>
      </c>
    </row>
    <row r="271" spans="1:16" ht="15.6" x14ac:dyDescent="0.3">
      <c r="A271" s="25" t="s">
        <v>3214</v>
      </c>
      <c r="B271" s="26">
        <v>46093</v>
      </c>
      <c r="C271" s="26">
        <v>46098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76098685</v>
      </c>
      <c r="K271" s="38" t="s">
        <v>1151</v>
      </c>
      <c r="L271" t="s">
        <v>1153</v>
      </c>
      <c r="M271" s="37">
        <v>239900</v>
      </c>
      <c r="N271" s="57">
        <v>0.9</v>
      </c>
      <c r="O271" s="36">
        <f t="shared" si="4"/>
        <v>23990</v>
      </c>
      <c r="P271" s="28" t="s">
        <v>0</v>
      </c>
    </row>
    <row r="272" spans="1:16" ht="15.6" x14ac:dyDescent="0.3">
      <c r="A272" s="25" t="s">
        <v>3214</v>
      </c>
      <c r="B272" s="26">
        <v>46093</v>
      </c>
      <c r="C272" s="26">
        <v>46098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76098649</v>
      </c>
      <c r="K272" s="38" t="s">
        <v>1151</v>
      </c>
      <c r="L272" t="s">
        <v>1154</v>
      </c>
      <c r="M272" s="37">
        <v>239900</v>
      </c>
      <c r="N272" s="57">
        <v>0.9</v>
      </c>
      <c r="O272" s="36">
        <f t="shared" si="4"/>
        <v>23990</v>
      </c>
      <c r="P272" s="28" t="s">
        <v>0</v>
      </c>
    </row>
    <row r="273" spans="1:16" ht="15.6" x14ac:dyDescent="0.3">
      <c r="A273" s="25" t="s">
        <v>3214</v>
      </c>
      <c r="B273" s="26">
        <v>46093</v>
      </c>
      <c r="C273" s="26">
        <v>46098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76098612</v>
      </c>
      <c r="K273" s="38" t="s">
        <v>1151</v>
      </c>
      <c r="L273" t="s">
        <v>1155</v>
      </c>
      <c r="M273" s="37">
        <v>239900</v>
      </c>
      <c r="N273" s="57">
        <v>0.9</v>
      </c>
      <c r="O273" s="36">
        <f t="shared" si="4"/>
        <v>23990</v>
      </c>
      <c r="P273" s="28" t="s">
        <v>0</v>
      </c>
    </row>
    <row r="274" spans="1:16" ht="15.6" x14ac:dyDescent="0.3">
      <c r="A274" s="25" t="s">
        <v>3214</v>
      </c>
      <c r="B274" s="26">
        <v>46093</v>
      </c>
      <c r="C274" s="26">
        <v>46098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76098676</v>
      </c>
      <c r="K274" s="38" t="s">
        <v>1151</v>
      </c>
      <c r="L274" t="s">
        <v>1156</v>
      </c>
      <c r="M274" s="37">
        <v>239900</v>
      </c>
      <c r="N274" s="57">
        <v>0.9</v>
      </c>
      <c r="O274" s="36">
        <f t="shared" si="4"/>
        <v>23990</v>
      </c>
      <c r="P274" s="28" t="s">
        <v>0</v>
      </c>
    </row>
    <row r="275" spans="1:16" ht="15.6" x14ac:dyDescent="0.3">
      <c r="A275" s="25" t="s">
        <v>3214</v>
      </c>
      <c r="B275" s="26">
        <v>46093</v>
      </c>
      <c r="C275" s="26">
        <v>46098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76098630</v>
      </c>
      <c r="K275" s="38" t="s">
        <v>1151</v>
      </c>
      <c r="L275" t="s">
        <v>1157</v>
      </c>
      <c r="M275" s="37">
        <v>239900</v>
      </c>
      <c r="N275" s="57">
        <v>0.9</v>
      </c>
      <c r="O275" s="36">
        <f t="shared" si="4"/>
        <v>23990</v>
      </c>
      <c r="P275" s="28" t="s">
        <v>0</v>
      </c>
    </row>
    <row r="276" spans="1:16" ht="15.6" x14ac:dyDescent="0.3">
      <c r="A276" s="25" t="s">
        <v>3214</v>
      </c>
      <c r="B276" s="26">
        <v>46093</v>
      </c>
      <c r="C276" s="26">
        <v>46098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76098658</v>
      </c>
      <c r="K276" s="38" t="s">
        <v>1151</v>
      </c>
      <c r="L276" t="s">
        <v>1158</v>
      </c>
      <c r="M276" s="37">
        <v>239900</v>
      </c>
      <c r="N276" s="57">
        <v>0.9</v>
      </c>
      <c r="O276" s="36">
        <f t="shared" si="4"/>
        <v>23990</v>
      </c>
      <c r="P276" s="28" t="s">
        <v>0</v>
      </c>
    </row>
    <row r="277" spans="1:16" ht="15.6" x14ac:dyDescent="0.3">
      <c r="A277" s="25" t="s">
        <v>3214</v>
      </c>
      <c r="B277" s="26">
        <v>46093</v>
      </c>
      <c r="C277" s="26">
        <v>46098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76098603</v>
      </c>
      <c r="K277" s="38" t="s">
        <v>1151</v>
      </c>
      <c r="L277" t="s">
        <v>1159</v>
      </c>
      <c r="M277" s="37">
        <v>239900</v>
      </c>
      <c r="N277" s="57">
        <v>0.9</v>
      </c>
      <c r="O277" s="36">
        <f t="shared" si="4"/>
        <v>23990</v>
      </c>
      <c r="P277" s="28" t="s">
        <v>0</v>
      </c>
    </row>
    <row r="278" spans="1:16" ht="15.6" x14ac:dyDescent="0.3">
      <c r="A278" s="25" t="s">
        <v>3214</v>
      </c>
      <c r="B278" s="26">
        <v>46093</v>
      </c>
      <c r="C278" s="26">
        <v>46098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76098667</v>
      </c>
      <c r="K278" s="38" t="s">
        <v>1151</v>
      </c>
      <c r="L278" t="s">
        <v>1160</v>
      </c>
      <c r="M278" s="37">
        <v>239900</v>
      </c>
      <c r="N278" s="57">
        <v>0.9</v>
      </c>
      <c r="O278" s="36">
        <f t="shared" si="4"/>
        <v>23990</v>
      </c>
      <c r="P278" s="28" t="s">
        <v>0</v>
      </c>
    </row>
    <row r="279" spans="1:16" ht="15.6" x14ac:dyDescent="0.3">
      <c r="A279" s="25" t="s">
        <v>3214</v>
      </c>
      <c r="B279" s="26">
        <v>46093</v>
      </c>
      <c r="C279" s="26">
        <v>46098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76098621</v>
      </c>
      <c r="K279" s="38" t="s">
        <v>1151</v>
      </c>
      <c r="L279" t="s">
        <v>1161</v>
      </c>
      <c r="M279" s="37">
        <v>239900</v>
      </c>
      <c r="N279" s="57">
        <v>0.9</v>
      </c>
      <c r="O279" s="36">
        <f t="shared" si="4"/>
        <v>23990</v>
      </c>
      <c r="P279" s="28" t="s">
        <v>0</v>
      </c>
    </row>
    <row r="280" spans="1:16" ht="15.6" x14ac:dyDescent="0.3">
      <c r="A280" s="25" t="s">
        <v>3214</v>
      </c>
      <c r="B280" s="26">
        <v>46093</v>
      </c>
      <c r="C280" s="26">
        <v>46098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73615773</v>
      </c>
      <c r="K280" s="38" t="s">
        <v>1162</v>
      </c>
      <c r="L280" t="s">
        <v>1163</v>
      </c>
      <c r="M280" s="37">
        <v>239900</v>
      </c>
      <c r="N280" s="57">
        <v>0.9</v>
      </c>
      <c r="O280" s="36">
        <f t="shared" si="4"/>
        <v>23990</v>
      </c>
      <c r="P280" s="28" t="s">
        <v>0</v>
      </c>
    </row>
    <row r="281" spans="1:16" ht="15.6" x14ac:dyDescent="0.3">
      <c r="A281" s="25" t="s">
        <v>3214</v>
      </c>
      <c r="B281" s="26">
        <v>46093</v>
      </c>
      <c r="C281" s="26">
        <v>46098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73615817</v>
      </c>
      <c r="K281" s="38" t="s">
        <v>1162</v>
      </c>
      <c r="L281" t="s">
        <v>1164</v>
      </c>
      <c r="M281" s="37">
        <v>239900</v>
      </c>
      <c r="N281" s="57">
        <v>0.9</v>
      </c>
      <c r="O281" s="36">
        <f t="shared" si="4"/>
        <v>23990</v>
      </c>
      <c r="P281" s="28" t="s">
        <v>0</v>
      </c>
    </row>
    <row r="282" spans="1:16" ht="15.6" x14ac:dyDescent="0.3">
      <c r="A282" s="25" t="s">
        <v>3214</v>
      </c>
      <c r="B282" s="26">
        <v>46093</v>
      </c>
      <c r="C282" s="26">
        <v>46098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73615826</v>
      </c>
      <c r="K282" s="38" t="s">
        <v>1162</v>
      </c>
      <c r="L282" t="s">
        <v>1165</v>
      </c>
      <c r="M282" s="37">
        <v>239900</v>
      </c>
      <c r="N282" s="57">
        <v>0.9</v>
      </c>
      <c r="O282" s="36">
        <f t="shared" si="4"/>
        <v>23990</v>
      </c>
      <c r="P282" s="28" t="s">
        <v>0</v>
      </c>
    </row>
    <row r="283" spans="1:16" ht="15.6" x14ac:dyDescent="0.3">
      <c r="A283" s="25" t="s">
        <v>3214</v>
      </c>
      <c r="B283" s="26">
        <v>46093</v>
      </c>
      <c r="C283" s="26">
        <v>46098</v>
      </c>
      <c r="D283" s="25">
        <v>3319</v>
      </c>
      <c r="E283" s="25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73615808</v>
      </c>
      <c r="K283" s="38" t="s">
        <v>1162</v>
      </c>
      <c r="L283" t="s">
        <v>1166</v>
      </c>
      <c r="M283" s="37">
        <v>239900</v>
      </c>
      <c r="N283" s="57">
        <v>0.9</v>
      </c>
      <c r="O283" s="36">
        <f t="shared" si="4"/>
        <v>23990</v>
      </c>
      <c r="P283" s="28" t="s">
        <v>0</v>
      </c>
    </row>
    <row r="284" spans="1:16" ht="15.6" x14ac:dyDescent="0.3">
      <c r="A284" s="25" t="s">
        <v>3214</v>
      </c>
      <c r="B284" s="26">
        <v>46093</v>
      </c>
      <c r="C284" s="26">
        <v>46098</v>
      </c>
      <c r="D284" s="25">
        <v>3319</v>
      </c>
      <c r="E284" s="25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73615844</v>
      </c>
      <c r="K284" s="38" t="s">
        <v>1162</v>
      </c>
      <c r="L284" t="s">
        <v>1167</v>
      </c>
      <c r="M284" s="37">
        <v>239900</v>
      </c>
      <c r="N284" s="57">
        <v>0.9</v>
      </c>
      <c r="O284" s="36">
        <f t="shared" si="4"/>
        <v>23990</v>
      </c>
      <c r="P284" s="28" t="s">
        <v>0</v>
      </c>
    </row>
    <row r="285" spans="1:16" ht="15.6" x14ac:dyDescent="0.3">
      <c r="A285" s="25" t="s">
        <v>3214</v>
      </c>
      <c r="B285" s="26">
        <v>46093</v>
      </c>
      <c r="C285" s="26">
        <v>46098</v>
      </c>
      <c r="D285" s="25">
        <v>3319</v>
      </c>
      <c r="E285" s="25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73615835</v>
      </c>
      <c r="K285" s="38" t="s">
        <v>1162</v>
      </c>
      <c r="L285" t="s">
        <v>1168</v>
      </c>
      <c r="M285" s="37">
        <v>239900</v>
      </c>
      <c r="N285" s="57">
        <v>0.9</v>
      </c>
      <c r="O285" s="36">
        <f t="shared" si="4"/>
        <v>23990</v>
      </c>
      <c r="P285" s="28" t="s">
        <v>0</v>
      </c>
    </row>
    <row r="286" spans="1:16" ht="15.6" x14ac:dyDescent="0.3">
      <c r="A286" s="25" t="s">
        <v>3214</v>
      </c>
      <c r="B286" s="26">
        <v>46093</v>
      </c>
      <c r="C286" s="26">
        <v>46098</v>
      </c>
      <c r="D286" s="25">
        <v>3319</v>
      </c>
      <c r="E286" s="25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73615853</v>
      </c>
      <c r="K286" s="38" t="s">
        <v>1162</v>
      </c>
      <c r="L286" t="s">
        <v>1169</v>
      </c>
      <c r="M286" s="37">
        <v>239900</v>
      </c>
      <c r="N286" s="57">
        <v>0.9</v>
      </c>
      <c r="O286" s="36">
        <f t="shared" si="4"/>
        <v>23990</v>
      </c>
      <c r="P286" s="28" t="s">
        <v>0</v>
      </c>
    </row>
    <row r="287" spans="1:16" ht="15.6" x14ac:dyDescent="0.3">
      <c r="A287" s="25" t="s">
        <v>3214</v>
      </c>
      <c r="B287" s="26">
        <v>46093</v>
      </c>
      <c r="C287" s="26">
        <v>46098</v>
      </c>
      <c r="D287" s="25">
        <v>3319</v>
      </c>
      <c r="E287" s="25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73615791</v>
      </c>
      <c r="K287" s="38" t="s">
        <v>1162</v>
      </c>
      <c r="L287" t="s">
        <v>1170</v>
      </c>
      <c r="M287" s="37">
        <v>239900</v>
      </c>
      <c r="N287" s="57">
        <v>0.9</v>
      </c>
      <c r="O287" s="36">
        <f t="shared" si="4"/>
        <v>23990</v>
      </c>
      <c r="P287" s="28" t="s">
        <v>0</v>
      </c>
    </row>
    <row r="288" spans="1:16" ht="15.6" x14ac:dyDescent="0.3">
      <c r="A288" s="25" t="s">
        <v>3214</v>
      </c>
      <c r="B288" s="26">
        <v>46093</v>
      </c>
      <c r="C288" s="26">
        <v>46098</v>
      </c>
      <c r="D288" s="25">
        <v>3319</v>
      </c>
      <c r="E288" s="25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73615782</v>
      </c>
      <c r="K288" s="38" t="s">
        <v>1162</v>
      </c>
      <c r="L288" t="s">
        <v>1171</v>
      </c>
      <c r="M288" s="37">
        <v>239900</v>
      </c>
      <c r="N288" s="57">
        <v>0.9</v>
      </c>
      <c r="O288" s="36">
        <f t="shared" si="4"/>
        <v>23990</v>
      </c>
      <c r="P288" s="28" t="s">
        <v>0</v>
      </c>
    </row>
    <row r="289" spans="1:16" ht="15.6" x14ac:dyDescent="0.3">
      <c r="A289" s="25" t="s">
        <v>3214</v>
      </c>
      <c r="B289" s="26">
        <v>46093</v>
      </c>
      <c r="C289" s="26">
        <v>46098</v>
      </c>
      <c r="D289" s="25">
        <v>3319</v>
      </c>
      <c r="E289" s="25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73615764</v>
      </c>
      <c r="K289" s="38" t="s">
        <v>1162</v>
      </c>
      <c r="L289" t="s">
        <v>1172</v>
      </c>
      <c r="M289" s="37">
        <v>239900</v>
      </c>
      <c r="N289" s="57">
        <v>0.9</v>
      </c>
      <c r="O289" s="36">
        <f t="shared" si="4"/>
        <v>23990</v>
      </c>
      <c r="P289" s="28" t="s">
        <v>0</v>
      </c>
    </row>
    <row r="290" spans="1:16" ht="15.6" x14ac:dyDescent="0.3">
      <c r="A290" s="25" t="s">
        <v>3214</v>
      </c>
      <c r="B290" s="26">
        <v>46093</v>
      </c>
      <c r="C290" s="26">
        <v>46098</v>
      </c>
      <c r="D290" s="25">
        <v>3319</v>
      </c>
      <c r="E290" s="25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66162392</v>
      </c>
      <c r="K290" s="38" t="s">
        <v>1093</v>
      </c>
      <c r="L290" t="s">
        <v>1173</v>
      </c>
      <c r="M290" s="37">
        <v>259900</v>
      </c>
      <c r="N290" s="57">
        <v>0.9</v>
      </c>
      <c r="O290" s="36">
        <f t="shared" si="4"/>
        <v>25990</v>
      </c>
      <c r="P290" s="28" t="s">
        <v>0</v>
      </c>
    </row>
    <row r="291" spans="1:16" ht="15.6" x14ac:dyDescent="0.3">
      <c r="A291" s="25" t="s">
        <v>3214</v>
      </c>
      <c r="B291" s="26">
        <v>46093</v>
      </c>
      <c r="C291" s="26">
        <v>46098</v>
      </c>
      <c r="D291" s="25">
        <v>3319</v>
      </c>
      <c r="E291" s="25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66162463</v>
      </c>
      <c r="K291" s="38" t="s">
        <v>1093</v>
      </c>
      <c r="L291" t="s">
        <v>1174</v>
      </c>
      <c r="M291" s="37">
        <v>259900</v>
      </c>
      <c r="N291" s="57">
        <v>0.9</v>
      </c>
      <c r="O291" s="36">
        <f t="shared" si="4"/>
        <v>25990</v>
      </c>
      <c r="P291" s="28" t="s">
        <v>0</v>
      </c>
    </row>
    <row r="292" spans="1:16" ht="15.6" x14ac:dyDescent="0.3">
      <c r="A292" s="25" t="s">
        <v>3214</v>
      </c>
      <c r="B292" s="26">
        <v>46093</v>
      </c>
      <c r="C292" s="26">
        <v>46098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66162481</v>
      </c>
      <c r="K292" s="38" t="s">
        <v>1093</v>
      </c>
      <c r="L292" t="s">
        <v>1175</v>
      </c>
      <c r="M292" s="37">
        <v>259900</v>
      </c>
      <c r="N292" s="57">
        <v>0.9</v>
      </c>
      <c r="O292" s="36">
        <f t="shared" si="4"/>
        <v>25990</v>
      </c>
      <c r="P292" s="28" t="s">
        <v>0</v>
      </c>
    </row>
    <row r="293" spans="1:16" ht="15.6" x14ac:dyDescent="0.3">
      <c r="A293" s="25" t="s">
        <v>3214</v>
      </c>
      <c r="B293" s="26">
        <v>46093</v>
      </c>
      <c r="C293" s="26">
        <v>46098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66164309</v>
      </c>
      <c r="K293" s="38" t="s">
        <v>1044</v>
      </c>
      <c r="L293" t="s">
        <v>1176</v>
      </c>
      <c r="M293" s="37">
        <v>329900</v>
      </c>
      <c r="N293" s="57">
        <v>0.9</v>
      </c>
      <c r="O293" s="36">
        <f t="shared" si="4"/>
        <v>32990</v>
      </c>
      <c r="P293" s="28" t="s">
        <v>0</v>
      </c>
    </row>
    <row r="294" spans="1:16" ht="15.6" x14ac:dyDescent="0.3">
      <c r="A294" s="25" t="s">
        <v>3214</v>
      </c>
      <c r="B294" s="26">
        <v>46093</v>
      </c>
      <c r="C294" s="26">
        <v>46098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66164336</v>
      </c>
      <c r="K294" s="38" t="s">
        <v>1044</v>
      </c>
      <c r="L294" t="s">
        <v>1177</v>
      </c>
      <c r="M294" s="37">
        <v>329900</v>
      </c>
      <c r="N294" s="57">
        <v>0.9</v>
      </c>
      <c r="O294" s="36">
        <f t="shared" si="4"/>
        <v>32990</v>
      </c>
      <c r="P294" s="28" t="s">
        <v>0</v>
      </c>
    </row>
    <row r="295" spans="1:16" ht="15.6" x14ac:dyDescent="0.3">
      <c r="A295" s="25" t="s">
        <v>3214</v>
      </c>
      <c r="B295" s="26">
        <v>46093</v>
      </c>
      <c r="C295" s="26">
        <v>46098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66164327</v>
      </c>
      <c r="K295" s="38" t="s">
        <v>1044</v>
      </c>
      <c r="L295" t="s">
        <v>1178</v>
      </c>
      <c r="M295" s="37">
        <v>329900</v>
      </c>
      <c r="N295" s="57">
        <v>0.9</v>
      </c>
      <c r="O295" s="36">
        <f t="shared" si="4"/>
        <v>32990</v>
      </c>
      <c r="P295" s="28" t="s">
        <v>0</v>
      </c>
    </row>
    <row r="296" spans="1:16" ht="15.6" x14ac:dyDescent="0.3">
      <c r="A296" s="25" t="s">
        <v>3214</v>
      </c>
      <c r="B296" s="26">
        <v>46093</v>
      </c>
      <c r="C296" s="26">
        <v>46098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66164318</v>
      </c>
      <c r="K296" s="38" t="s">
        <v>1044</v>
      </c>
      <c r="L296" t="s">
        <v>1179</v>
      </c>
      <c r="M296" s="37">
        <v>329900</v>
      </c>
      <c r="N296" s="57">
        <v>0.9</v>
      </c>
      <c r="O296" s="36">
        <f t="shared" si="4"/>
        <v>32990</v>
      </c>
      <c r="P296" s="28" t="s">
        <v>0</v>
      </c>
    </row>
    <row r="297" spans="1:16" ht="15.6" x14ac:dyDescent="0.3">
      <c r="A297" s="25" t="s">
        <v>3214</v>
      </c>
      <c r="B297" s="26">
        <v>46093</v>
      </c>
      <c r="C297" s="26">
        <v>46098</v>
      </c>
      <c r="D297" s="25">
        <v>3319</v>
      </c>
      <c r="E297" s="25">
        <v>327</v>
      </c>
      <c r="F297" s="25">
        <v>2</v>
      </c>
      <c r="G297" s="28">
        <v>1</v>
      </c>
      <c r="H297" s="28">
        <v>81433</v>
      </c>
      <c r="I297" s="28" t="s">
        <v>17</v>
      </c>
      <c r="J297" s="28">
        <v>66164345</v>
      </c>
      <c r="K297" s="38" t="s">
        <v>1044</v>
      </c>
      <c r="L297" t="s">
        <v>1180</v>
      </c>
      <c r="M297" s="37">
        <v>329900</v>
      </c>
      <c r="N297" s="57">
        <v>0.9</v>
      </c>
      <c r="O297" s="36">
        <f t="shared" si="4"/>
        <v>32990</v>
      </c>
      <c r="P297" s="28" t="s">
        <v>0</v>
      </c>
    </row>
    <row r="298" spans="1:16" ht="15.6" x14ac:dyDescent="0.3">
      <c r="A298" s="25" t="s">
        <v>3214</v>
      </c>
      <c r="B298" s="26">
        <v>46093</v>
      </c>
      <c r="C298" s="26">
        <v>46098</v>
      </c>
      <c r="D298" s="25">
        <v>3319</v>
      </c>
      <c r="E298" s="25">
        <v>327</v>
      </c>
      <c r="F298" s="25">
        <v>2</v>
      </c>
      <c r="G298" s="28">
        <v>1</v>
      </c>
      <c r="H298" s="28">
        <v>81433</v>
      </c>
      <c r="I298" s="28" t="s">
        <v>17</v>
      </c>
      <c r="J298" s="28">
        <v>41145466</v>
      </c>
      <c r="K298" s="38" t="s">
        <v>1181</v>
      </c>
      <c r="L298" t="s">
        <v>1182</v>
      </c>
      <c r="M298" s="37">
        <v>219900</v>
      </c>
      <c r="N298" s="57">
        <v>0.9</v>
      </c>
      <c r="O298" s="36">
        <f t="shared" si="4"/>
        <v>21990</v>
      </c>
      <c r="P298" s="28" t="s">
        <v>0</v>
      </c>
    </row>
    <row r="299" spans="1:16" ht="15.6" x14ac:dyDescent="0.3">
      <c r="A299" s="25" t="s">
        <v>3214</v>
      </c>
      <c r="B299" s="26">
        <v>46093</v>
      </c>
      <c r="C299" s="26">
        <v>46098</v>
      </c>
      <c r="D299" s="25">
        <v>3319</v>
      </c>
      <c r="E299" s="25">
        <v>327</v>
      </c>
      <c r="F299" s="25">
        <v>2</v>
      </c>
      <c r="G299" s="28">
        <v>1</v>
      </c>
      <c r="H299" s="28">
        <v>81433</v>
      </c>
      <c r="I299" s="28" t="s">
        <v>17</v>
      </c>
      <c r="J299" s="28">
        <v>41145475</v>
      </c>
      <c r="K299" s="38" t="s">
        <v>1181</v>
      </c>
      <c r="L299" t="s">
        <v>1183</v>
      </c>
      <c r="M299" s="37">
        <v>219900</v>
      </c>
      <c r="N299" s="57">
        <v>0.9</v>
      </c>
      <c r="O299" s="36">
        <f t="shared" si="4"/>
        <v>21990</v>
      </c>
      <c r="P299" s="28" t="s">
        <v>0</v>
      </c>
    </row>
    <row r="300" spans="1:16" ht="15.6" x14ac:dyDescent="0.3">
      <c r="A300" s="25" t="s">
        <v>3214</v>
      </c>
      <c r="B300" s="26">
        <v>46093</v>
      </c>
      <c r="C300" s="26">
        <v>46098</v>
      </c>
      <c r="D300" s="25">
        <v>3319</v>
      </c>
      <c r="E300" s="25">
        <v>327</v>
      </c>
      <c r="F300" s="25">
        <v>2</v>
      </c>
      <c r="G300" s="28">
        <v>1</v>
      </c>
      <c r="H300" s="28">
        <v>81433</v>
      </c>
      <c r="I300" s="28" t="s">
        <v>17</v>
      </c>
      <c r="J300" s="28">
        <v>41140532</v>
      </c>
      <c r="K300" s="38" t="s">
        <v>1184</v>
      </c>
      <c r="L300" t="s">
        <v>1185</v>
      </c>
      <c r="M300" s="37">
        <v>219900</v>
      </c>
      <c r="N300" s="57">
        <v>0.9</v>
      </c>
      <c r="O300" s="36">
        <f t="shared" si="4"/>
        <v>21990</v>
      </c>
      <c r="P300" s="28" t="s">
        <v>0</v>
      </c>
    </row>
    <row r="301" spans="1:16" ht="15.6" x14ac:dyDescent="0.3">
      <c r="A301" s="25" t="s">
        <v>3214</v>
      </c>
      <c r="B301" s="26">
        <v>46093</v>
      </c>
      <c r="C301" s="26">
        <v>46098</v>
      </c>
      <c r="D301" s="25">
        <v>3319</v>
      </c>
      <c r="E301" s="25">
        <v>327</v>
      </c>
      <c r="F301" s="25">
        <v>2</v>
      </c>
      <c r="G301" s="28">
        <v>1</v>
      </c>
      <c r="H301" s="28">
        <v>81433</v>
      </c>
      <c r="I301" s="28" t="s">
        <v>17</v>
      </c>
      <c r="J301" s="28">
        <v>41145484</v>
      </c>
      <c r="K301" s="38" t="s">
        <v>1181</v>
      </c>
      <c r="L301" t="s">
        <v>1186</v>
      </c>
      <c r="M301" s="37">
        <v>219900</v>
      </c>
      <c r="N301" s="57">
        <v>0.9</v>
      </c>
      <c r="O301" s="36">
        <f t="shared" si="4"/>
        <v>21990</v>
      </c>
      <c r="P301" s="28" t="s">
        <v>0</v>
      </c>
    </row>
    <row r="302" spans="1:16" ht="15.6" x14ac:dyDescent="0.3">
      <c r="A302" s="25" t="s">
        <v>3214</v>
      </c>
      <c r="B302" s="26">
        <v>46093</v>
      </c>
      <c r="C302" s="26">
        <v>46098</v>
      </c>
      <c r="D302" s="25">
        <v>3319</v>
      </c>
      <c r="E302" s="25">
        <v>327</v>
      </c>
      <c r="F302" s="25">
        <v>2</v>
      </c>
      <c r="G302" s="28">
        <v>1</v>
      </c>
      <c r="H302" s="28">
        <v>81433</v>
      </c>
      <c r="I302" s="28" t="s">
        <v>17</v>
      </c>
      <c r="J302" s="28">
        <v>41140550</v>
      </c>
      <c r="K302" s="38" t="s">
        <v>1184</v>
      </c>
      <c r="L302" t="s">
        <v>1187</v>
      </c>
      <c r="M302" s="37">
        <v>219900</v>
      </c>
      <c r="N302" s="57">
        <v>0.9</v>
      </c>
      <c r="O302" s="36">
        <f t="shared" si="4"/>
        <v>21990</v>
      </c>
      <c r="P302" s="28" t="s">
        <v>0</v>
      </c>
    </row>
    <row r="303" spans="1:16" ht="15.6" x14ac:dyDescent="0.3">
      <c r="A303" s="25" t="s">
        <v>3214</v>
      </c>
      <c r="B303" s="26">
        <v>46093</v>
      </c>
      <c r="C303" s="26">
        <v>46098</v>
      </c>
      <c r="D303" s="25">
        <v>3319</v>
      </c>
      <c r="E303" s="25">
        <v>327</v>
      </c>
      <c r="F303" s="25">
        <v>2</v>
      </c>
      <c r="G303" s="28">
        <v>1</v>
      </c>
      <c r="H303" s="28">
        <v>81433</v>
      </c>
      <c r="I303" s="28" t="s">
        <v>17</v>
      </c>
      <c r="J303" s="28">
        <v>41140569</v>
      </c>
      <c r="K303" s="38" t="s">
        <v>1184</v>
      </c>
      <c r="L303" t="s">
        <v>1188</v>
      </c>
      <c r="M303" s="37">
        <v>219900</v>
      </c>
      <c r="N303" s="57">
        <v>0.9</v>
      </c>
      <c r="O303" s="36">
        <f t="shared" si="4"/>
        <v>21990</v>
      </c>
      <c r="P303" s="28" t="s">
        <v>0</v>
      </c>
    </row>
    <row r="304" spans="1:16" ht="15.6" x14ac:dyDescent="0.3">
      <c r="A304" s="25" t="s">
        <v>3214</v>
      </c>
      <c r="B304" s="26">
        <v>46093</v>
      </c>
      <c r="C304" s="26">
        <v>46098</v>
      </c>
      <c r="D304" s="25">
        <v>3319</v>
      </c>
      <c r="E304" s="25">
        <v>327</v>
      </c>
      <c r="F304" s="25">
        <v>2</v>
      </c>
      <c r="G304" s="28">
        <v>1</v>
      </c>
      <c r="H304" s="28">
        <v>81433</v>
      </c>
      <c r="I304" s="28" t="s">
        <v>17</v>
      </c>
      <c r="J304" s="28">
        <v>41145457</v>
      </c>
      <c r="K304" s="38" t="s">
        <v>1181</v>
      </c>
      <c r="L304" t="s">
        <v>1189</v>
      </c>
      <c r="M304" s="37">
        <v>219900</v>
      </c>
      <c r="N304" s="57">
        <v>0.9</v>
      </c>
      <c r="O304" s="36">
        <f t="shared" si="4"/>
        <v>21990</v>
      </c>
      <c r="P304" s="28" t="s">
        <v>0</v>
      </c>
    </row>
    <row r="305" spans="1:16" ht="15.6" x14ac:dyDescent="0.3">
      <c r="A305" s="25" t="s">
        <v>3214</v>
      </c>
      <c r="B305" s="26">
        <v>46093</v>
      </c>
      <c r="C305" s="26">
        <v>46098</v>
      </c>
      <c r="D305" s="25">
        <v>3319</v>
      </c>
      <c r="E305" s="25">
        <v>327</v>
      </c>
      <c r="F305" s="25">
        <v>2</v>
      </c>
      <c r="G305" s="28">
        <v>1</v>
      </c>
      <c r="H305" s="28">
        <v>81433</v>
      </c>
      <c r="I305" s="28" t="s">
        <v>17</v>
      </c>
      <c r="J305" s="28">
        <v>41140541</v>
      </c>
      <c r="K305" s="38" t="s">
        <v>1184</v>
      </c>
      <c r="L305" t="s">
        <v>1190</v>
      </c>
      <c r="M305" s="37">
        <v>219900</v>
      </c>
      <c r="N305" s="57">
        <v>0.9</v>
      </c>
      <c r="O305" s="36">
        <f t="shared" si="4"/>
        <v>21990</v>
      </c>
      <c r="P305" s="28" t="s">
        <v>0</v>
      </c>
    </row>
    <row r="306" spans="1:16" ht="15.6" x14ac:dyDescent="0.3">
      <c r="A306" s="25" t="s">
        <v>3214</v>
      </c>
      <c r="B306" s="26">
        <v>46093</v>
      </c>
      <c r="C306" s="26">
        <v>46098</v>
      </c>
      <c r="D306" s="25">
        <v>3319</v>
      </c>
      <c r="E306" s="25">
        <v>327</v>
      </c>
      <c r="F306" s="25">
        <v>2</v>
      </c>
      <c r="G306" s="28">
        <v>1</v>
      </c>
      <c r="H306" s="28">
        <v>81433</v>
      </c>
      <c r="I306" s="28" t="s">
        <v>17</v>
      </c>
      <c r="J306" s="28">
        <v>41140578</v>
      </c>
      <c r="K306" s="38" t="s">
        <v>1184</v>
      </c>
      <c r="L306" t="s">
        <v>1191</v>
      </c>
      <c r="M306" s="37">
        <v>219900</v>
      </c>
      <c r="N306" s="57">
        <v>0.9</v>
      </c>
      <c r="O306" s="36">
        <f t="shared" si="4"/>
        <v>21990</v>
      </c>
      <c r="P306" s="28" t="s">
        <v>0</v>
      </c>
    </row>
    <row r="307" spans="1:16" ht="15.6" x14ac:dyDescent="0.3">
      <c r="A307" s="25" t="s">
        <v>3214</v>
      </c>
      <c r="B307" s="26">
        <v>46093</v>
      </c>
      <c r="C307" s="26">
        <v>46098</v>
      </c>
      <c r="D307" s="25">
        <v>3319</v>
      </c>
      <c r="E307" s="25">
        <v>327</v>
      </c>
      <c r="F307" s="25">
        <v>2</v>
      </c>
      <c r="G307" s="28">
        <v>1</v>
      </c>
      <c r="H307" s="28">
        <v>81433</v>
      </c>
      <c r="I307" s="28" t="s">
        <v>17</v>
      </c>
      <c r="J307" s="28">
        <v>73615102</v>
      </c>
      <c r="K307" s="38" t="s">
        <v>1192</v>
      </c>
      <c r="L307" t="s">
        <v>1193</v>
      </c>
      <c r="M307" s="37">
        <v>239900</v>
      </c>
      <c r="N307" s="57">
        <v>0.9</v>
      </c>
      <c r="O307" s="36">
        <f t="shared" si="4"/>
        <v>23990</v>
      </c>
      <c r="P307" s="28" t="s">
        <v>0</v>
      </c>
    </row>
    <row r="308" spans="1:16" ht="15.6" x14ac:dyDescent="0.3">
      <c r="A308" s="25" t="s">
        <v>3214</v>
      </c>
      <c r="B308" s="26">
        <v>46093</v>
      </c>
      <c r="C308" s="26">
        <v>46098</v>
      </c>
      <c r="D308" s="25">
        <v>3319</v>
      </c>
      <c r="E308" s="25">
        <v>327</v>
      </c>
      <c r="F308" s="25">
        <v>2</v>
      </c>
      <c r="G308" s="28">
        <v>1</v>
      </c>
      <c r="H308" s="28">
        <v>81433</v>
      </c>
      <c r="I308" s="28" t="s">
        <v>17</v>
      </c>
      <c r="J308" s="28">
        <v>73780102</v>
      </c>
      <c r="K308" s="38" t="s">
        <v>1192</v>
      </c>
      <c r="L308" t="s">
        <v>1194</v>
      </c>
      <c r="M308" s="37">
        <v>239900</v>
      </c>
      <c r="N308" s="57">
        <v>0.9</v>
      </c>
      <c r="O308" s="36">
        <f t="shared" si="4"/>
        <v>23990</v>
      </c>
      <c r="P308" s="28" t="s">
        <v>0</v>
      </c>
    </row>
    <row r="309" spans="1:16" ht="15.6" x14ac:dyDescent="0.3">
      <c r="A309" s="25" t="s">
        <v>3214</v>
      </c>
      <c r="B309" s="26">
        <v>46093</v>
      </c>
      <c r="C309" s="26">
        <v>46098</v>
      </c>
      <c r="D309" s="25">
        <v>3319</v>
      </c>
      <c r="E309" s="25">
        <v>327</v>
      </c>
      <c r="F309" s="25">
        <v>2</v>
      </c>
      <c r="G309" s="28">
        <v>1</v>
      </c>
      <c r="H309" s="28">
        <v>81433</v>
      </c>
      <c r="I309" s="28" t="s">
        <v>17</v>
      </c>
      <c r="J309" s="28">
        <v>73615095</v>
      </c>
      <c r="K309" s="38" t="s">
        <v>1192</v>
      </c>
      <c r="L309" t="s">
        <v>1195</v>
      </c>
      <c r="M309" s="37">
        <v>239900</v>
      </c>
      <c r="N309" s="57">
        <v>0.9</v>
      </c>
      <c r="O309" s="36">
        <f t="shared" si="4"/>
        <v>23990</v>
      </c>
      <c r="P309" s="28" t="s">
        <v>0</v>
      </c>
    </row>
    <row r="310" spans="1:16" ht="15.6" x14ac:dyDescent="0.3">
      <c r="A310" s="25" t="s">
        <v>3214</v>
      </c>
      <c r="B310" s="26">
        <v>46093</v>
      </c>
      <c r="C310" s="26">
        <v>46098</v>
      </c>
      <c r="D310" s="25">
        <v>3319</v>
      </c>
      <c r="E310" s="25">
        <v>327</v>
      </c>
      <c r="F310" s="25">
        <v>2</v>
      </c>
      <c r="G310" s="28">
        <v>1</v>
      </c>
      <c r="H310" s="28">
        <v>81433</v>
      </c>
      <c r="I310" s="28" t="s">
        <v>17</v>
      </c>
      <c r="J310" s="28">
        <v>73615077</v>
      </c>
      <c r="K310" s="38" t="s">
        <v>1192</v>
      </c>
      <c r="L310" t="s">
        <v>1196</v>
      </c>
      <c r="M310" s="37">
        <v>239900</v>
      </c>
      <c r="N310" s="57">
        <v>0.9</v>
      </c>
      <c r="O310" s="36">
        <f t="shared" si="4"/>
        <v>23990</v>
      </c>
      <c r="P310" s="28" t="s">
        <v>0</v>
      </c>
    </row>
    <row r="311" spans="1:16" ht="15.6" x14ac:dyDescent="0.3">
      <c r="A311" s="25" t="s">
        <v>3214</v>
      </c>
      <c r="B311" s="26">
        <v>46093</v>
      </c>
      <c r="C311" s="26">
        <v>46098</v>
      </c>
      <c r="D311" s="25">
        <v>3319</v>
      </c>
      <c r="E311" s="25">
        <v>327</v>
      </c>
      <c r="F311" s="25">
        <v>2</v>
      </c>
      <c r="G311" s="28">
        <v>1</v>
      </c>
      <c r="H311" s="28">
        <v>81433</v>
      </c>
      <c r="I311" s="28" t="s">
        <v>17</v>
      </c>
      <c r="J311" s="28">
        <v>73615086</v>
      </c>
      <c r="K311" s="38" t="s">
        <v>1192</v>
      </c>
      <c r="L311" t="s">
        <v>1197</v>
      </c>
      <c r="M311" s="37">
        <v>239900</v>
      </c>
      <c r="N311" s="57">
        <v>0.9</v>
      </c>
      <c r="O311" s="36">
        <f t="shared" si="4"/>
        <v>23990</v>
      </c>
      <c r="P311" s="28" t="s">
        <v>0</v>
      </c>
    </row>
    <row r="312" spans="1:16" ht="15.6" x14ac:dyDescent="0.3">
      <c r="A312" s="25" t="s">
        <v>3214</v>
      </c>
      <c r="B312" s="26">
        <v>46093</v>
      </c>
      <c r="C312" s="26">
        <v>46098</v>
      </c>
      <c r="D312" s="25">
        <v>3319</v>
      </c>
      <c r="E312" s="25">
        <v>327</v>
      </c>
      <c r="F312" s="25">
        <v>2</v>
      </c>
      <c r="G312" s="28">
        <v>1</v>
      </c>
      <c r="H312" s="28">
        <v>81433</v>
      </c>
      <c r="I312" s="28" t="s">
        <v>17</v>
      </c>
      <c r="J312" s="28">
        <v>73615111</v>
      </c>
      <c r="K312" s="38" t="s">
        <v>1192</v>
      </c>
      <c r="L312" t="s">
        <v>1198</v>
      </c>
      <c r="M312" s="37">
        <v>239900</v>
      </c>
      <c r="N312" s="57">
        <v>0.9</v>
      </c>
      <c r="O312" s="36">
        <f t="shared" si="4"/>
        <v>23990</v>
      </c>
      <c r="P312" s="28" t="s">
        <v>0</v>
      </c>
    </row>
    <row r="313" spans="1:16" ht="15.6" x14ac:dyDescent="0.3">
      <c r="A313" s="25" t="s">
        <v>3214</v>
      </c>
      <c r="B313" s="26">
        <v>46093</v>
      </c>
      <c r="C313" s="26">
        <v>46098</v>
      </c>
      <c r="D313" s="25">
        <v>3319</v>
      </c>
      <c r="E313" s="25">
        <v>327</v>
      </c>
      <c r="F313" s="25">
        <v>2</v>
      </c>
      <c r="G313" s="28">
        <v>1</v>
      </c>
      <c r="H313" s="28">
        <v>81433</v>
      </c>
      <c r="I313" s="28" t="s">
        <v>17</v>
      </c>
      <c r="J313" s="28">
        <v>73780086</v>
      </c>
      <c r="K313" s="38" t="s">
        <v>1192</v>
      </c>
      <c r="L313" t="s">
        <v>1199</v>
      </c>
      <c r="M313" s="37">
        <v>239900</v>
      </c>
      <c r="N313" s="57">
        <v>0.9</v>
      </c>
      <c r="O313" s="36">
        <f t="shared" si="4"/>
        <v>23990</v>
      </c>
      <c r="P313" s="28" t="s">
        <v>0</v>
      </c>
    </row>
    <row r="314" spans="1:16" ht="15.6" x14ac:dyDescent="0.3">
      <c r="A314" s="25" t="s">
        <v>3214</v>
      </c>
      <c r="B314" s="26">
        <v>46093</v>
      </c>
      <c r="C314" s="26">
        <v>46098</v>
      </c>
      <c r="D314" s="25">
        <v>3319</v>
      </c>
      <c r="E314" s="25">
        <v>327</v>
      </c>
      <c r="F314" s="25">
        <v>2</v>
      </c>
      <c r="G314" s="28">
        <v>1</v>
      </c>
      <c r="H314" s="28">
        <v>81433</v>
      </c>
      <c r="I314" s="28" t="s">
        <v>17</v>
      </c>
      <c r="J314" s="28">
        <v>73780120</v>
      </c>
      <c r="K314" s="38" t="s">
        <v>1192</v>
      </c>
      <c r="L314" t="s">
        <v>1200</v>
      </c>
      <c r="M314" s="37">
        <v>239900</v>
      </c>
      <c r="N314" s="57">
        <v>0.9</v>
      </c>
      <c r="O314" s="36">
        <f t="shared" si="4"/>
        <v>23990</v>
      </c>
      <c r="P314" s="28" t="s">
        <v>0</v>
      </c>
    </row>
    <row r="315" spans="1:16" ht="15.6" x14ac:dyDescent="0.3">
      <c r="A315" s="25" t="s">
        <v>3214</v>
      </c>
      <c r="B315" s="26">
        <v>46093</v>
      </c>
      <c r="C315" s="26">
        <v>46098</v>
      </c>
      <c r="D315" s="25">
        <v>3319</v>
      </c>
      <c r="E315" s="25">
        <v>327</v>
      </c>
      <c r="F315" s="25">
        <v>2</v>
      </c>
      <c r="G315" s="28">
        <v>1</v>
      </c>
      <c r="H315" s="28">
        <v>81433</v>
      </c>
      <c r="I315" s="28" t="s">
        <v>17</v>
      </c>
      <c r="J315" s="28">
        <v>73780095</v>
      </c>
      <c r="K315" s="38" t="s">
        <v>1192</v>
      </c>
      <c r="L315" t="s">
        <v>1201</v>
      </c>
      <c r="M315" s="37">
        <v>239900</v>
      </c>
      <c r="N315" s="57">
        <v>0.9</v>
      </c>
      <c r="O315" s="36">
        <f t="shared" si="4"/>
        <v>23990</v>
      </c>
      <c r="P315" s="28" t="s">
        <v>0</v>
      </c>
    </row>
    <row r="316" spans="1:16" ht="15.6" x14ac:dyDescent="0.3">
      <c r="A316" s="25" t="s">
        <v>3214</v>
      </c>
      <c r="B316" s="26">
        <v>46093</v>
      </c>
      <c r="C316" s="26">
        <v>46098</v>
      </c>
      <c r="D316" s="25">
        <v>3319</v>
      </c>
      <c r="E316" s="25">
        <v>327</v>
      </c>
      <c r="F316" s="25">
        <v>2</v>
      </c>
      <c r="G316" s="28">
        <v>1</v>
      </c>
      <c r="H316" s="28">
        <v>81433</v>
      </c>
      <c r="I316" s="28" t="s">
        <v>17</v>
      </c>
      <c r="J316" s="28">
        <v>73615531</v>
      </c>
      <c r="K316" s="38" t="s">
        <v>1202</v>
      </c>
      <c r="L316" t="s">
        <v>1203</v>
      </c>
      <c r="M316" s="37">
        <v>219900</v>
      </c>
      <c r="N316" s="57">
        <v>0.9</v>
      </c>
      <c r="O316" s="36">
        <f t="shared" si="4"/>
        <v>21990</v>
      </c>
      <c r="P316" s="28" t="s">
        <v>0</v>
      </c>
    </row>
    <row r="317" spans="1:16" ht="15.6" x14ac:dyDescent="0.3">
      <c r="A317" s="25" t="s">
        <v>3214</v>
      </c>
      <c r="B317" s="26">
        <v>46093</v>
      </c>
      <c r="C317" s="26">
        <v>46098</v>
      </c>
      <c r="D317" s="25">
        <v>3319</v>
      </c>
      <c r="E317" s="25">
        <v>327</v>
      </c>
      <c r="F317" s="25">
        <v>2</v>
      </c>
      <c r="G317" s="28">
        <v>1</v>
      </c>
      <c r="H317" s="28">
        <v>81433</v>
      </c>
      <c r="I317" s="28" t="s">
        <v>17</v>
      </c>
      <c r="J317" s="28">
        <v>73615488</v>
      </c>
      <c r="K317" s="38" t="s">
        <v>1202</v>
      </c>
      <c r="L317" t="s">
        <v>1204</v>
      </c>
      <c r="M317" s="37">
        <v>219900</v>
      </c>
      <c r="N317" s="57">
        <v>0.9</v>
      </c>
      <c r="O317" s="36">
        <f t="shared" si="4"/>
        <v>21990</v>
      </c>
      <c r="P317" s="28" t="s">
        <v>0</v>
      </c>
    </row>
    <row r="318" spans="1:16" ht="15.6" x14ac:dyDescent="0.3">
      <c r="A318" s="25" t="s">
        <v>3214</v>
      </c>
      <c r="B318" s="26">
        <v>46093</v>
      </c>
      <c r="C318" s="26">
        <v>46098</v>
      </c>
      <c r="D318" s="25">
        <v>3319</v>
      </c>
      <c r="E318" s="25">
        <v>327</v>
      </c>
      <c r="F318" s="25">
        <v>2</v>
      </c>
      <c r="G318" s="28">
        <v>1</v>
      </c>
      <c r="H318" s="28">
        <v>81433</v>
      </c>
      <c r="I318" s="28" t="s">
        <v>17</v>
      </c>
      <c r="J318" s="28">
        <v>73615497</v>
      </c>
      <c r="K318" s="38" t="s">
        <v>1202</v>
      </c>
      <c r="L318" t="s">
        <v>1205</v>
      </c>
      <c r="M318" s="37">
        <v>219900</v>
      </c>
      <c r="N318" s="57">
        <v>0.9</v>
      </c>
      <c r="O318" s="36">
        <f t="shared" si="4"/>
        <v>21990</v>
      </c>
      <c r="P318" s="28" t="s">
        <v>0</v>
      </c>
    </row>
    <row r="319" spans="1:16" ht="15.6" x14ac:dyDescent="0.3">
      <c r="A319" s="25" t="s">
        <v>3214</v>
      </c>
      <c r="B319" s="26">
        <v>46093</v>
      </c>
      <c r="C319" s="26">
        <v>46098</v>
      </c>
      <c r="D319" s="25">
        <v>3319</v>
      </c>
      <c r="E319" s="25">
        <v>327</v>
      </c>
      <c r="F319" s="25">
        <v>2</v>
      </c>
      <c r="G319" s="28">
        <v>1</v>
      </c>
      <c r="H319" s="28">
        <v>81433</v>
      </c>
      <c r="I319" s="28" t="s">
        <v>17</v>
      </c>
      <c r="J319" s="28">
        <v>73615540</v>
      </c>
      <c r="K319" s="38" t="s">
        <v>1202</v>
      </c>
      <c r="L319" t="s">
        <v>1206</v>
      </c>
      <c r="M319" s="37">
        <v>219900</v>
      </c>
      <c r="N319" s="57">
        <v>0.9</v>
      </c>
      <c r="O319" s="36">
        <f t="shared" si="4"/>
        <v>21990</v>
      </c>
      <c r="P319" s="28" t="s">
        <v>0</v>
      </c>
    </row>
    <row r="320" spans="1:16" ht="15.6" x14ac:dyDescent="0.3">
      <c r="A320" s="25" t="s">
        <v>3214</v>
      </c>
      <c r="B320" s="26">
        <v>46093</v>
      </c>
      <c r="C320" s="26">
        <v>46098</v>
      </c>
      <c r="D320" s="25">
        <v>3319</v>
      </c>
      <c r="E320" s="25">
        <v>327</v>
      </c>
      <c r="F320" s="25">
        <v>2</v>
      </c>
      <c r="G320" s="28">
        <v>1</v>
      </c>
      <c r="H320" s="28">
        <v>81433</v>
      </c>
      <c r="I320" s="28" t="s">
        <v>17</v>
      </c>
      <c r="J320" s="28">
        <v>73615559</v>
      </c>
      <c r="K320" s="38" t="s">
        <v>1202</v>
      </c>
      <c r="L320" t="s">
        <v>1207</v>
      </c>
      <c r="M320" s="37">
        <v>219900</v>
      </c>
      <c r="N320" s="57">
        <v>0.9</v>
      </c>
      <c r="O320" s="36">
        <f t="shared" si="4"/>
        <v>21990</v>
      </c>
      <c r="P320" s="28" t="s">
        <v>0</v>
      </c>
    </row>
    <row r="321" spans="1:16" ht="15.6" x14ac:dyDescent="0.3">
      <c r="A321" s="25" t="s">
        <v>3214</v>
      </c>
      <c r="B321" s="26">
        <v>46093</v>
      </c>
      <c r="C321" s="26">
        <v>46098</v>
      </c>
      <c r="D321" s="25">
        <v>3319</v>
      </c>
      <c r="E321" s="25">
        <v>327</v>
      </c>
      <c r="F321" s="25">
        <v>2</v>
      </c>
      <c r="G321" s="28">
        <v>1</v>
      </c>
      <c r="H321" s="28">
        <v>81433</v>
      </c>
      <c r="I321" s="28" t="s">
        <v>17</v>
      </c>
      <c r="J321" s="28">
        <v>73615513</v>
      </c>
      <c r="K321" s="38" t="s">
        <v>1202</v>
      </c>
      <c r="L321" t="s">
        <v>1208</v>
      </c>
      <c r="M321" s="37">
        <v>219900</v>
      </c>
      <c r="N321" s="57">
        <v>0.9</v>
      </c>
      <c r="O321" s="36">
        <f t="shared" si="4"/>
        <v>21990</v>
      </c>
      <c r="P321" s="28" t="s">
        <v>0</v>
      </c>
    </row>
    <row r="322" spans="1:16" ht="15.6" x14ac:dyDescent="0.3">
      <c r="A322" s="25" t="s">
        <v>3214</v>
      </c>
      <c r="B322" s="26">
        <v>46093</v>
      </c>
      <c r="C322" s="26">
        <v>46098</v>
      </c>
      <c r="D322" s="25">
        <v>3319</v>
      </c>
      <c r="E322" s="25">
        <v>327</v>
      </c>
      <c r="F322" s="25">
        <v>2</v>
      </c>
      <c r="G322" s="28">
        <v>1</v>
      </c>
      <c r="H322" s="28">
        <v>81433</v>
      </c>
      <c r="I322" s="28" t="s">
        <v>17</v>
      </c>
      <c r="J322" s="28">
        <v>73615460</v>
      </c>
      <c r="K322" s="38" t="s">
        <v>1202</v>
      </c>
      <c r="L322" t="s">
        <v>1209</v>
      </c>
      <c r="M322" s="37">
        <v>219900</v>
      </c>
      <c r="N322" s="57">
        <v>0.9</v>
      </c>
      <c r="O322" s="36">
        <f t="shared" si="4"/>
        <v>21990</v>
      </c>
      <c r="P322" s="28" t="s">
        <v>0</v>
      </c>
    </row>
    <row r="323" spans="1:16" ht="15.6" x14ac:dyDescent="0.3">
      <c r="A323" s="25" t="s">
        <v>3214</v>
      </c>
      <c r="B323" s="26">
        <v>46093</v>
      </c>
      <c r="C323" s="26">
        <v>46098</v>
      </c>
      <c r="D323" s="25">
        <v>3319</v>
      </c>
      <c r="E323" s="25">
        <v>327</v>
      </c>
      <c r="F323" s="25">
        <v>2</v>
      </c>
      <c r="G323" s="28">
        <v>1</v>
      </c>
      <c r="H323" s="28">
        <v>81433</v>
      </c>
      <c r="I323" s="28" t="s">
        <v>17</v>
      </c>
      <c r="J323" s="28">
        <v>73615504</v>
      </c>
      <c r="K323" s="38" t="s">
        <v>1202</v>
      </c>
      <c r="L323" t="s">
        <v>1210</v>
      </c>
      <c r="M323" s="37">
        <v>219900</v>
      </c>
      <c r="N323" s="57">
        <v>0.9</v>
      </c>
      <c r="O323" s="36">
        <f t="shared" ref="O323:O374" si="5">M323*10%</f>
        <v>21990</v>
      </c>
      <c r="P323" s="28" t="s">
        <v>0</v>
      </c>
    </row>
    <row r="324" spans="1:16" ht="15.6" x14ac:dyDescent="0.3">
      <c r="A324" s="25" t="s">
        <v>3214</v>
      </c>
      <c r="B324" s="26">
        <v>46093</v>
      </c>
      <c r="C324" s="26">
        <v>46098</v>
      </c>
      <c r="D324" s="25">
        <v>3319</v>
      </c>
      <c r="E324" s="25">
        <v>327</v>
      </c>
      <c r="F324" s="25">
        <v>2</v>
      </c>
      <c r="G324" s="28">
        <v>1</v>
      </c>
      <c r="H324" s="28">
        <v>81433</v>
      </c>
      <c r="I324" s="28" t="s">
        <v>17</v>
      </c>
      <c r="J324" s="28">
        <v>73615479</v>
      </c>
      <c r="K324" s="38" t="s">
        <v>1202</v>
      </c>
      <c r="L324" t="s">
        <v>1211</v>
      </c>
      <c r="M324" s="37">
        <v>219900</v>
      </c>
      <c r="N324" s="57">
        <v>0.9</v>
      </c>
      <c r="O324" s="36">
        <f t="shared" si="5"/>
        <v>21990</v>
      </c>
      <c r="P324" s="28" t="s">
        <v>0</v>
      </c>
    </row>
    <row r="325" spans="1:16" ht="15.6" x14ac:dyDescent="0.3">
      <c r="A325" s="25" t="s">
        <v>3214</v>
      </c>
      <c r="B325" s="26">
        <v>46093</v>
      </c>
      <c r="C325" s="26">
        <v>46098</v>
      </c>
      <c r="D325" s="25">
        <v>3319</v>
      </c>
      <c r="E325" s="25">
        <v>327</v>
      </c>
      <c r="F325" s="25">
        <v>2</v>
      </c>
      <c r="G325" s="28">
        <v>1</v>
      </c>
      <c r="H325" s="28">
        <v>81433</v>
      </c>
      <c r="I325" s="28" t="s">
        <v>17</v>
      </c>
      <c r="J325" s="28">
        <v>73615522</v>
      </c>
      <c r="K325" s="38" t="s">
        <v>1202</v>
      </c>
      <c r="L325" t="s">
        <v>1212</v>
      </c>
      <c r="M325" s="37">
        <v>219900</v>
      </c>
      <c r="N325" s="57">
        <v>0.9</v>
      </c>
      <c r="O325" s="36">
        <f t="shared" si="5"/>
        <v>21990</v>
      </c>
      <c r="P325" s="28" t="s">
        <v>0</v>
      </c>
    </row>
    <row r="326" spans="1:16" ht="15.6" x14ac:dyDescent="0.3">
      <c r="A326" s="25" t="s">
        <v>3214</v>
      </c>
      <c r="B326" s="26">
        <v>46093</v>
      </c>
      <c r="C326" s="26">
        <v>46098</v>
      </c>
      <c r="D326" s="25">
        <v>3319</v>
      </c>
      <c r="E326" s="25">
        <v>327</v>
      </c>
      <c r="F326" s="25">
        <v>2</v>
      </c>
      <c r="G326" s="28">
        <v>1</v>
      </c>
      <c r="H326" s="28">
        <v>81433</v>
      </c>
      <c r="I326" s="28" t="s">
        <v>17</v>
      </c>
      <c r="J326" s="28">
        <v>73780111</v>
      </c>
      <c r="K326" s="38" t="s">
        <v>1192</v>
      </c>
      <c r="L326" t="s">
        <v>1213</v>
      </c>
      <c r="M326" s="37">
        <v>239900</v>
      </c>
      <c r="N326" s="57">
        <v>0.9</v>
      </c>
      <c r="O326" s="36">
        <f t="shared" si="5"/>
        <v>23990</v>
      </c>
      <c r="P326" s="28" t="s">
        <v>0</v>
      </c>
    </row>
    <row r="327" spans="1:16" ht="15.6" x14ac:dyDescent="0.3">
      <c r="A327" s="25" t="s">
        <v>3214</v>
      </c>
      <c r="B327" s="26">
        <v>46093</v>
      </c>
      <c r="C327" s="26">
        <v>46098</v>
      </c>
      <c r="D327" s="25">
        <v>3319</v>
      </c>
      <c r="E327" s="25">
        <v>327</v>
      </c>
      <c r="F327" s="25">
        <v>2</v>
      </c>
      <c r="G327" s="28">
        <v>1</v>
      </c>
      <c r="H327" s="28">
        <v>81433</v>
      </c>
      <c r="I327" s="28" t="s">
        <v>17</v>
      </c>
      <c r="J327" s="28">
        <v>73616110</v>
      </c>
      <c r="K327" s="38" t="s">
        <v>1214</v>
      </c>
      <c r="L327" t="s">
        <v>1215</v>
      </c>
      <c r="M327" s="37">
        <v>239900</v>
      </c>
      <c r="N327" s="57">
        <v>0.9</v>
      </c>
      <c r="O327" s="36">
        <f t="shared" si="5"/>
        <v>23990</v>
      </c>
      <c r="P327" s="28" t="s">
        <v>0</v>
      </c>
    </row>
    <row r="328" spans="1:16" ht="15.6" x14ac:dyDescent="0.3">
      <c r="A328" s="25" t="s">
        <v>3214</v>
      </c>
      <c r="B328" s="26">
        <v>46093</v>
      </c>
      <c r="C328" s="26">
        <v>46098</v>
      </c>
      <c r="D328" s="25">
        <v>3319</v>
      </c>
      <c r="E328" s="25">
        <v>327</v>
      </c>
      <c r="F328" s="25">
        <v>2</v>
      </c>
      <c r="G328" s="28">
        <v>1</v>
      </c>
      <c r="H328" s="28">
        <v>81433</v>
      </c>
      <c r="I328" s="28" t="s">
        <v>17</v>
      </c>
      <c r="J328" s="28">
        <v>73616183</v>
      </c>
      <c r="K328" s="38" t="s">
        <v>1214</v>
      </c>
      <c r="L328" t="s">
        <v>1216</v>
      </c>
      <c r="M328" s="37">
        <v>239900</v>
      </c>
      <c r="N328" s="57">
        <v>0.9</v>
      </c>
      <c r="O328" s="36">
        <f t="shared" si="5"/>
        <v>23990</v>
      </c>
      <c r="P328" s="28" t="s">
        <v>0</v>
      </c>
    </row>
    <row r="329" spans="1:16" ht="15.6" x14ac:dyDescent="0.3">
      <c r="A329" s="25" t="s">
        <v>3214</v>
      </c>
      <c r="B329" s="26">
        <v>46093</v>
      </c>
      <c r="C329" s="26">
        <v>46098</v>
      </c>
      <c r="D329" s="25">
        <v>3319</v>
      </c>
      <c r="E329" s="25">
        <v>327</v>
      </c>
      <c r="F329" s="25">
        <v>2</v>
      </c>
      <c r="G329" s="28">
        <v>1</v>
      </c>
      <c r="H329" s="28">
        <v>81433</v>
      </c>
      <c r="I329" s="28" t="s">
        <v>17</v>
      </c>
      <c r="J329" s="28">
        <v>73616165</v>
      </c>
      <c r="K329" s="38" t="s">
        <v>1214</v>
      </c>
      <c r="L329" t="s">
        <v>1217</v>
      </c>
      <c r="M329" s="37">
        <v>239900</v>
      </c>
      <c r="N329" s="57">
        <v>0.9</v>
      </c>
      <c r="O329" s="36">
        <f t="shared" si="5"/>
        <v>23990</v>
      </c>
      <c r="P329" s="28" t="s">
        <v>0</v>
      </c>
    </row>
    <row r="330" spans="1:16" ht="15.6" x14ac:dyDescent="0.3">
      <c r="A330" s="25" t="s">
        <v>3214</v>
      </c>
      <c r="B330" s="26">
        <v>46093</v>
      </c>
      <c r="C330" s="26">
        <v>46098</v>
      </c>
      <c r="D330" s="25">
        <v>3319</v>
      </c>
      <c r="E330" s="25">
        <v>327</v>
      </c>
      <c r="F330" s="25">
        <v>2</v>
      </c>
      <c r="G330" s="28">
        <v>1</v>
      </c>
      <c r="H330" s="28">
        <v>81433</v>
      </c>
      <c r="I330" s="28" t="s">
        <v>17</v>
      </c>
      <c r="J330" s="28">
        <v>73616174</v>
      </c>
      <c r="K330" s="38" t="s">
        <v>1214</v>
      </c>
      <c r="L330" t="s">
        <v>1218</v>
      </c>
      <c r="M330" s="37">
        <v>239900</v>
      </c>
      <c r="N330" s="57">
        <v>0.9</v>
      </c>
      <c r="O330" s="36">
        <f t="shared" si="5"/>
        <v>23990</v>
      </c>
      <c r="P330" s="28" t="s">
        <v>0</v>
      </c>
    </row>
    <row r="331" spans="1:16" ht="15.6" x14ac:dyDescent="0.3">
      <c r="A331" s="25" t="s">
        <v>3214</v>
      </c>
      <c r="B331" s="26">
        <v>46093</v>
      </c>
      <c r="C331" s="26">
        <v>46098</v>
      </c>
      <c r="D331" s="25">
        <v>3319</v>
      </c>
      <c r="E331" s="25">
        <v>327</v>
      </c>
      <c r="F331" s="25">
        <v>2</v>
      </c>
      <c r="G331" s="28">
        <v>1</v>
      </c>
      <c r="H331" s="28">
        <v>81433</v>
      </c>
      <c r="I331" s="28" t="s">
        <v>17</v>
      </c>
      <c r="J331" s="28">
        <v>73616138</v>
      </c>
      <c r="K331" s="38" t="s">
        <v>1214</v>
      </c>
      <c r="L331" t="s">
        <v>1219</v>
      </c>
      <c r="M331" s="37">
        <v>239900</v>
      </c>
      <c r="N331" s="57">
        <v>0.9</v>
      </c>
      <c r="O331" s="36">
        <f t="shared" si="5"/>
        <v>23990</v>
      </c>
      <c r="P331" s="28" t="s">
        <v>0</v>
      </c>
    </row>
    <row r="332" spans="1:16" ht="15.6" x14ac:dyDescent="0.3">
      <c r="A332" s="25" t="s">
        <v>3214</v>
      </c>
      <c r="B332" s="26">
        <v>46093</v>
      </c>
      <c r="C332" s="26">
        <v>46098</v>
      </c>
      <c r="D332" s="25">
        <v>3319</v>
      </c>
      <c r="E332" s="25">
        <v>327</v>
      </c>
      <c r="F332" s="25">
        <v>2</v>
      </c>
      <c r="G332" s="28">
        <v>1</v>
      </c>
      <c r="H332" s="28">
        <v>81433</v>
      </c>
      <c r="I332" s="28" t="s">
        <v>17</v>
      </c>
      <c r="J332" s="28">
        <v>73616129</v>
      </c>
      <c r="K332" s="38" t="s">
        <v>1214</v>
      </c>
      <c r="L332" t="s">
        <v>1220</v>
      </c>
      <c r="M332" s="37">
        <v>239900</v>
      </c>
      <c r="N332" s="57">
        <v>0.9</v>
      </c>
      <c r="O332" s="36">
        <f t="shared" si="5"/>
        <v>23990</v>
      </c>
      <c r="P332" s="28" t="s">
        <v>0</v>
      </c>
    </row>
    <row r="333" spans="1:16" ht="15.6" x14ac:dyDescent="0.3">
      <c r="A333" s="25" t="s">
        <v>3214</v>
      </c>
      <c r="B333" s="26">
        <v>46093</v>
      </c>
      <c r="C333" s="26">
        <v>46098</v>
      </c>
      <c r="D333" s="25">
        <v>3319</v>
      </c>
      <c r="E333" s="25">
        <v>327</v>
      </c>
      <c r="F333" s="25">
        <v>2</v>
      </c>
      <c r="G333" s="28">
        <v>1</v>
      </c>
      <c r="H333" s="28">
        <v>81433</v>
      </c>
      <c r="I333" s="28" t="s">
        <v>17</v>
      </c>
      <c r="J333" s="28">
        <v>73616209</v>
      </c>
      <c r="K333" s="38" t="s">
        <v>1214</v>
      </c>
      <c r="L333" t="s">
        <v>1221</v>
      </c>
      <c r="M333" s="37">
        <v>239900</v>
      </c>
      <c r="N333" s="57">
        <v>0.9</v>
      </c>
      <c r="O333" s="36">
        <f t="shared" si="5"/>
        <v>23990</v>
      </c>
      <c r="P333" s="28" t="s">
        <v>0</v>
      </c>
    </row>
    <row r="334" spans="1:16" ht="15.6" x14ac:dyDescent="0.3">
      <c r="A334" s="25" t="s">
        <v>3214</v>
      </c>
      <c r="B334" s="26">
        <v>46093</v>
      </c>
      <c r="C334" s="26">
        <v>46098</v>
      </c>
      <c r="D334" s="25">
        <v>3319</v>
      </c>
      <c r="E334" s="25">
        <v>327</v>
      </c>
      <c r="F334" s="25">
        <v>2</v>
      </c>
      <c r="G334" s="28">
        <v>1</v>
      </c>
      <c r="H334" s="28">
        <v>81433</v>
      </c>
      <c r="I334" s="28" t="s">
        <v>17</v>
      </c>
      <c r="J334" s="28">
        <v>73616147</v>
      </c>
      <c r="K334" s="38" t="s">
        <v>1214</v>
      </c>
      <c r="L334" t="s">
        <v>1222</v>
      </c>
      <c r="M334" s="37">
        <v>239900</v>
      </c>
      <c r="N334" s="57">
        <v>0.9</v>
      </c>
      <c r="O334" s="36">
        <f t="shared" si="5"/>
        <v>23990</v>
      </c>
      <c r="P334" s="28" t="s">
        <v>0</v>
      </c>
    </row>
    <row r="335" spans="1:16" ht="15.6" x14ac:dyDescent="0.3">
      <c r="A335" s="25" t="s">
        <v>3214</v>
      </c>
      <c r="B335" s="26">
        <v>46093</v>
      </c>
      <c r="C335" s="26">
        <v>46098</v>
      </c>
      <c r="D335" s="25">
        <v>3319</v>
      </c>
      <c r="E335" s="25">
        <v>327</v>
      </c>
      <c r="F335" s="25">
        <v>2</v>
      </c>
      <c r="G335" s="28">
        <v>1</v>
      </c>
      <c r="H335" s="28">
        <v>81433</v>
      </c>
      <c r="I335" s="28" t="s">
        <v>17</v>
      </c>
      <c r="J335" s="28">
        <v>73616192</v>
      </c>
      <c r="K335" s="38" t="s">
        <v>1214</v>
      </c>
      <c r="L335" t="s">
        <v>1223</v>
      </c>
      <c r="M335" s="37">
        <v>239900</v>
      </c>
      <c r="N335" s="57">
        <v>0.9</v>
      </c>
      <c r="O335" s="36">
        <f t="shared" si="5"/>
        <v>23990</v>
      </c>
      <c r="P335" s="28" t="s">
        <v>0</v>
      </c>
    </row>
    <row r="336" spans="1:16" ht="15.6" x14ac:dyDescent="0.3">
      <c r="A336" s="25" t="s">
        <v>3214</v>
      </c>
      <c r="B336" s="26">
        <v>46093</v>
      </c>
      <c r="C336" s="26">
        <v>46098</v>
      </c>
      <c r="D336" s="25">
        <v>3319</v>
      </c>
      <c r="E336" s="25">
        <v>327</v>
      </c>
      <c r="F336" s="25">
        <v>2</v>
      </c>
      <c r="G336" s="28">
        <v>1</v>
      </c>
      <c r="H336" s="28">
        <v>81433</v>
      </c>
      <c r="I336" s="28" t="s">
        <v>17</v>
      </c>
      <c r="J336" s="28">
        <v>73616156</v>
      </c>
      <c r="K336" s="38" t="s">
        <v>1214</v>
      </c>
      <c r="L336" t="s">
        <v>1224</v>
      </c>
      <c r="M336" s="37">
        <v>239900</v>
      </c>
      <c r="N336" s="57">
        <v>0.9</v>
      </c>
      <c r="O336" s="36">
        <f t="shared" si="5"/>
        <v>23990</v>
      </c>
      <c r="P336" s="28" t="s">
        <v>0</v>
      </c>
    </row>
    <row r="337" spans="1:16" ht="15.6" x14ac:dyDescent="0.3">
      <c r="A337" s="25" t="s">
        <v>3214</v>
      </c>
      <c r="B337" s="26">
        <v>46093</v>
      </c>
      <c r="C337" s="26">
        <v>46098</v>
      </c>
      <c r="D337" s="25">
        <v>3319</v>
      </c>
      <c r="E337" s="25">
        <v>327</v>
      </c>
      <c r="F337" s="25">
        <v>2</v>
      </c>
      <c r="G337" s="28">
        <v>1</v>
      </c>
      <c r="H337" s="28">
        <v>81433</v>
      </c>
      <c r="I337" s="28" t="s">
        <v>17</v>
      </c>
      <c r="J337" s="28">
        <v>41145493</v>
      </c>
      <c r="K337" s="38" t="s">
        <v>1181</v>
      </c>
      <c r="L337" t="s">
        <v>1225</v>
      </c>
      <c r="M337" s="37">
        <v>219900</v>
      </c>
      <c r="N337" s="57">
        <v>0.9</v>
      </c>
      <c r="O337" s="36">
        <f t="shared" si="5"/>
        <v>21990</v>
      </c>
      <c r="P337" s="28" t="s">
        <v>0</v>
      </c>
    </row>
    <row r="338" spans="1:16" ht="15.6" x14ac:dyDescent="0.3">
      <c r="A338" s="25" t="s">
        <v>3214</v>
      </c>
      <c r="B338" s="26">
        <v>46093</v>
      </c>
      <c r="C338" s="26">
        <v>46098</v>
      </c>
      <c r="D338" s="25">
        <v>3319</v>
      </c>
      <c r="E338" s="25">
        <v>327</v>
      </c>
      <c r="F338" s="25">
        <v>2</v>
      </c>
      <c r="G338" s="28">
        <v>1</v>
      </c>
      <c r="H338" s="28">
        <v>80700</v>
      </c>
      <c r="I338" s="28" t="s">
        <v>17</v>
      </c>
      <c r="J338" s="28">
        <v>73576879</v>
      </c>
      <c r="K338" s="38" t="s">
        <v>1226</v>
      </c>
      <c r="L338" t="s">
        <v>1227</v>
      </c>
      <c r="M338" s="37">
        <v>139900</v>
      </c>
      <c r="N338" s="57">
        <v>0.9</v>
      </c>
      <c r="O338" s="36">
        <f t="shared" si="5"/>
        <v>13990</v>
      </c>
      <c r="P338" s="28" t="s">
        <v>0</v>
      </c>
    </row>
    <row r="339" spans="1:16" ht="15.6" x14ac:dyDescent="0.3">
      <c r="A339" s="25" t="s">
        <v>3214</v>
      </c>
      <c r="B339" s="26">
        <v>46093</v>
      </c>
      <c r="C339" s="26">
        <v>46098</v>
      </c>
      <c r="D339" s="25">
        <v>3319</v>
      </c>
      <c r="E339" s="25">
        <v>327</v>
      </c>
      <c r="F339" s="25">
        <v>2</v>
      </c>
      <c r="G339" s="28">
        <v>1</v>
      </c>
      <c r="H339" s="28">
        <v>80700</v>
      </c>
      <c r="I339" s="28" t="s">
        <v>17</v>
      </c>
      <c r="J339" s="28">
        <v>73576824</v>
      </c>
      <c r="K339" s="38" t="s">
        <v>1226</v>
      </c>
      <c r="L339" t="s">
        <v>1228</v>
      </c>
      <c r="M339" s="37">
        <v>139900</v>
      </c>
      <c r="N339" s="57">
        <v>0.9</v>
      </c>
      <c r="O339" s="36">
        <f t="shared" si="5"/>
        <v>13990</v>
      </c>
      <c r="P339" s="28" t="s">
        <v>0</v>
      </c>
    </row>
    <row r="340" spans="1:16" ht="15.6" x14ac:dyDescent="0.3">
      <c r="A340" s="25" t="s">
        <v>3214</v>
      </c>
      <c r="B340" s="26">
        <v>46093</v>
      </c>
      <c r="C340" s="26">
        <v>46098</v>
      </c>
      <c r="D340" s="25">
        <v>3319</v>
      </c>
      <c r="E340" s="25">
        <v>327</v>
      </c>
      <c r="F340" s="25">
        <v>2</v>
      </c>
      <c r="G340" s="28">
        <v>1</v>
      </c>
      <c r="H340" s="28">
        <v>80700</v>
      </c>
      <c r="I340" s="28" t="s">
        <v>17</v>
      </c>
      <c r="J340" s="28">
        <v>73576815</v>
      </c>
      <c r="K340" s="38" t="s">
        <v>1226</v>
      </c>
      <c r="L340" t="s">
        <v>1229</v>
      </c>
      <c r="M340" s="37">
        <v>139900</v>
      </c>
      <c r="N340" s="57">
        <v>0.9</v>
      </c>
      <c r="O340" s="36">
        <f t="shared" si="5"/>
        <v>13990</v>
      </c>
      <c r="P340" s="28" t="s">
        <v>0</v>
      </c>
    </row>
    <row r="341" spans="1:16" ht="15.6" x14ac:dyDescent="0.3">
      <c r="A341" s="25" t="s">
        <v>3214</v>
      </c>
      <c r="B341" s="26">
        <v>46093</v>
      </c>
      <c r="C341" s="26">
        <v>46098</v>
      </c>
      <c r="D341" s="25">
        <v>3319</v>
      </c>
      <c r="E341" s="25">
        <v>327</v>
      </c>
      <c r="F341" s="25">
        <v>2</v>
      </c>
      <c r="G341" s="28">
        <v>1</v>
      </c>
      <c r="H341" s="28">
        <v>80700</v>
      </c>
      <c r="I341" s="28" t="s">
        <v>17</v>
      </c>
      <c r="J341" s="28">
        <v>73576860</v>
      </c>
      <c r="K341" s="38" t="s">
        <v>1226</v>
      </c>
      <c r="L341" t="s">
        <v>1230</v>
      </c>
      <c r="M341" s="37">
        <v>139900</v>
      </c>
      <c r="N341" s="57">
        <v>0.9</v>
      </c>
      <c r="O341" s="36">
        <f t="shared" si="5"/>
        <v>13990</v>
      </c>
      <c r="P341" s="28" t="s">
        <v>0</v>
      </c>
    </row>
    <row r="342" spans="1:16" ht="15.6" x14ac:dyDescent="0.3">
      <c r="A342" s="25" t="s">
        <v>3214</v>
      </c>
      <c r="B342" s="26">
        <v>46093</v>
      </c>
      <c r="C342" s="26">
        <v>46098</v>
      </c>
      <c r="D342" s="25">
        <v>3319</v>
      </c>
      <c r="E342" s="25">
        <v>327</v>
      </c>
      <c r="F342" s="25">
        <v>2</v>
      </c>
      <c r="G342" s="28">
        <v>1</v>
      </c>
      <c r="H342" s="28">
        <v>80700</v>
      </c>
      <c r="I342" s="28" t="s">
        <v>17</v>
      </c>
      <c r="J342" s="28">
        <v>73576842</v>
      </c>
      <c r="K342" s="38" t="s">
        <v>1226</v>
      </c>
      <c r="L342" t="s">
        <v>1231</v>
      </c>
      <c r="M342" s="37">
        <v>139900</v>
      </c>
      <c r="N342" s="57">
        <v>0.9</v>
      </c>
      <c r="O342" s="36">
        <f t="shared" si="5"/>
        <v>13990</v>
      </c>
      <c r="P342" s="28" t="s">
        <v>0</v>
      </c>
    </row>
    <row r="343" spans="1:16" ht="15.6" x14ac:dyDescent="0.3">
      <c r="A343" s="25" t="s">
        <v>3214</v>
      </c>
      <c r="B343" s="26">
        <v>46093</v>
      </c>
      <c r="C343" s="26">
        <v>46098</v>
      </c>
      <c r="D343" s="25">
        <v>3319</v>
      </c>
      <c r="E343" s="25">
        <v>327</v>
      </c>
      <c r="F343" s="25">
        <v>2</v>
      </c>
      <c r="G343" s="28">
        <v>1</v>
      </c>
      <c r="H343" s="28">
        <v>80700</v>
      </c>
      <c r="I343" s="28" t="s">
        <v>17</v>
      </c>
      <c r="J343" s="28">
        <v>73576888</v>
      </c>
      <c r="K343" s="38" t="s">
        <v>1226</v>
      </c>
      <c r="L343" t="s">
        <v>1232</v>
      </c>
      <c r="M343" s="37">
        <v>139900</v>
      </c>
      <c r="N343" s="57">
        <v>0.9</v>
      </c>
      <c r="O343" s="36">
        <f t="shared" si="5"/>
        <v>13990</v>
      </c>
      <c r="P343" s="28" t="s">
        <v>0</v>
      </c>
    </row>
    <row r="344" spans="1:16" ht="15.6" x14ac:dyDescent="0.3">
      <c r="A344" s="25" t="s">
        <v>3214</v>
      </c>
      <c r="B344" s="26">
        <v>46093</v>
      </c>
      <c r="C344" s="26">
        <v>46098</v>
      </c>
      <c r="D344" s="25">
        <v>3319</v>
      </c>
      <c r="E344" s="25">
        <v>327</v>
      </c>
      <c r="F344" s="25">
        <v>2</v>
      </c>
      <c r="G344" s="28">
        <v>1</v>
      </c>
      <c r="H344" s="28">
        <v>80700</v>
      </c>
      <c r="I344" s="28" t="s">
        <v>17</v>
      </c>
      <c r="J344" s="28">
        <v>73576851</v>
      </c>
      <c r="K344" s="38" t="s">
        <v>1226</v>
      </c>
      <c r="L344" t="s">
        <v>1233</v>
      </c>
      <c r="M344" s="37">
        <v>139900</v>
      </c>
      <c r="N344" s="57">
        <v>0.9</v>
      </c>
      <c r="O344" s="36">
        <f t="shared" si="5"/>
        <v>13990</v>
      </c>
      <c r="P344" s="28" t="s">
        <v>0</v>
      </c>
    </row>
    <row r="345" spans="1:16" ht="15.6" x14ac:dyDescent="0.3">
      <c r="A345" s="25" t="s">
        <v>3214</v>
      </c>
      <c r="B345" s="26">
        <v>46093</v>
      </c>
      <c r="C345" s="26">
        <v>46098</v>
      </c>
      <c r="D345" s="25">
        <v>3319</v>
      </c>
      <c r="E345" s="25">
        <v>327</v>
      </c>
      <c r="F345" s="25">
        <v>2</v>
      </c>
      <c r="G345" s="28">
        <v>1</v>
      </c>
      <c r="H345" s="28">
        <v>80700</v>
      </c>
      <c r="I345" s="28" t="s">
        <v>17</v>
      </c>
      <c r="J345" s="28">
        <v>73576833</v>
      </c>
      <c r="K345" s="38" t="s">
        <v>1226</v>
      </c>
      <c r="L345" t="s">
        <v>1234</v>
      </c>
      <c r="M345" s="37">
        <v>139900</v>
      </c>
      <c r="N345" s="57">
        <v>0.9</v>
      </c>
      <c r="O345" s="36">
        <f t="shared" si="5"/>
        <v>13990</v>
      </c>
      <c r="P345" s="28" t="s">
        <v>0</v>
      </c>
    </row>
    <row r="346" spans="1:16" ht="15.6" x14ac:dyDescent="0.3">
      <c r="A346" s="25" t="s">
        <v>3214</v>
      </c>
      <c r="B346" s="26">
        <v>46093</v>
      </c>
      <c r="C346" s="26">
        <v>46098</v>
      </c>
      <c r="D346" s="25">
        <v>3319</v>
      </c>
      <c r="E346" s="25">
        <v>327</v>
      </c>
      <c r="F346" s="25">
        <v>2</v>
      </c>
      <c r="G346" s="48">
        <v>1</v>
      </c>
      <c r="H346" s="48">
        <v>80700</v>
      </c>
      <c r="I346" s="48" t="s">
        <v>17</v>
      </c>
      <c r="J346" s="48">
        <v>46533742</v>
      </c>
      <c r="K346" s="53" t="s">
        <v>1235</v>
      </c>
      <c r="L346" s="43" t="s">
        <v>1236</v>
      </c>
      <c r="M346" s="54">
        <v>139900</v>
      </c>
      <c r="N346" s="57">
        <v>0.9</v>
      </c>
      <c r="O346" s="36">
        <f t="shared" si="5"/>
        <v>13990</v>
      </c>
      <c r="P346" s="28" t="s">
        <v>0</v>
      </c>
    </row>
    <row r="347" spans="1:16" ht="15.6" x14ac:dyDescent="0.3">
      <c r="A347" s="25" t="s">
        <v>3214</v>
      </c>
      <c r="B347" s="26">
        <v>46093</v>
      </c>
      <c r="C347" s="26">
        <v>46098</v>
      </c>
      <c r="D347" s="25">
        <v>3319</v>
      </c>
      <c r="E347" s="25">
        <v>327</v>
      </c>
      <c r="F347" s="25">
        <v>2</v>
      </c>
      <c r="G347" s="48">
        <v>1</v>
      </c>
      <c r="H347" s="48">
        <v>80700</v>
      </c>
      <c r="I347" s="48" t="s">
        <v>17</v>
      </c>
      <c r="J347" s="48">
        <v>46533760</v>
      </c>
      <c r="K347" s="53" t="s">
        <v>1235</v>
      </c>
      <c r="L347" s="43" t="s">
        <v>1237</v>
      </c>
      <c r="M347" s="54">
        <v>139900</v>
      </c>
      <c r="N347" s="57">
        <v>0.9</v>
      </c>
      <c r="O347" s="36">
        <f t="shared" si="5"/>
        <v>13990</v>
      </c>
      <c r="P347" s="28" t="s">
        <v>0</v>
      </c>
    </row>
    <row r="348" spans="1:16" ht="15.6" x14ac:dyDescent="0.3">
      <c r="A348" s="25" t="s">
        <v>3214</v>
      </c>
      <c r="B348" s="26">
        <v>46093</v>
      </c>
      <c r="C348" s="26">
        <v>46098</v>
      </c>
      <c r="D348" s="25">
        <v>3319</v>
      </c>
      <c r="E348" s="25">
        <v>327</v>
      </c>
      <c r="F348" s="25">
        <v>2</v>
      </c>
      <c r="G348" s="48">
        <v>1</v>
      </c>
      <c r="H348" s="48">
        <v>80700</v>
      </c>
      <c r="I348" s="48" t="s">
        <v>17</v>
      </c>
      <c r="J348" s="48">
        <v>46533715</v>
      </c>
      <c r="K348" s="53" t="s">
        <v>1235</v>
      </c>
      <c r="L348" s="43" t="s">
        <v>1238</v>
      </c>
      <c r="M348" s="54">
        <v>139900</v>
      </c>
      <c r="N348" s="57">
        <v>0.9</v>
      </c>
      <c r="O348" s="36">
        <f t="shared" si="5"/>
        <v>13990</v>
      </c>
      <c r="P348" s="28" t="s">
        <v>0</v>
      </c>
    </row>
    <row r="349" spans="1:16" ht="15.6" x14ac:dyDescent="0.3">
      <c r="A349" s="25" t="s">
        <v>3214</v>
      </c>
      <c r="B349" s="26">
        <v>46093</v>
      </c>
      <c r="C349" s="26">
        <v>46098</v>
      </c>
      <c r="D349" s="25">
        <v>3319</v>
      </c>
      <c r="E349" s="25">
        <v>327</v>
      </c>
      <c r="F349" s="25">
        <v>2</v>
      </c>
      <c r="G349" s="48">
        <v>1</v>
      </c>
      <c r="H349" s="48">
        <v>80700</v>
      </c>
      <c r="I349" s="48" t="s">
        <v>17</v>
      </c>
      <c r="J349" s="48">
        <v>46533733</v>
      </c>
      <c r="K349" s="53" t="s">
        <v>1235</v>
      </c>
      <c r="L349" s="43" t="s">
        <v>1239</v>
      </c>
      <c r="M349" s="54">
        <v>139900</v>
      </c>
      <c r="N349" s="57">
        <v>0.9</v>
      </c>
      <c r="O349" s="36">
        <f t="shared" si="5"/>
        <v>13990</v>
      </c>
      <c r="P349" s="28" t="s">
        <v>0</v>
      </c>
    </row>
    <row r="350" spans="1:16" ht="15.6" x14ac:dyDescent="0.3">
      <c r="A350" s="25" t="s">
        <v>3214</v>
      </c>
      <c r="B350" s="26">
        <v>46093</v>
      </c>
      <c r="C350" s="26">
        <v>46098</v>
      </c>
      <c r="D350" s="25">
        <v>3319</v>
      </c>
      <c r="E350" s="25">
        <v>327</v>
      </c>
      <c r="F350" s="25">
        <v>2</v>
      </c>
      <c r="G350" s="48">
        <v>1</v>
      </c>
      <c r="H350" s="48">
        <v>80700</v>
      </c>
      <c r="I350" s="48" t="s">
        <v>17</v>
      </c>
      <c r="J350" s="48">
        <v>46533699</v>
      </c>
      <c r="K350" s="53" t="s">
        <v>1235</v>
      </c>
      <c r="L350" s="43" t="s">
        <v>1240</v>
      </c>
      <c r="M350" s="54">
        <v>139900</v>
      </c>
      <c r="N350" s="57">
        <v>0.9</v>
      </c>
      <c r="O350" s="36">
        <f t="shared" si="5"/>
        <v>13990</v>
      </c>
      <c r="P350" s="28" t="s">
        <v>0</v>
      </c>
    </row>
    <row r="351" spans="1:16" ht="15.6" x14ac:dyDescent="0.3">
      <c r="A351" s="25" t="s">
        <v>3214</v>
      </c>
      <c r="B351" s="26">
        <v>46093</v>
      </c>
      <c r="C351" s="26">
        <v>46098</v>
      </c>
      <c r="D351" s="25">
        <v>3319</v>
      </c>
      <c r="E351" s="25">
        <v>327</v>
      </c>
      <c r="F351" s="25">
        <v>2</v>
      </c>
      <c r="G351" s="48">
        <v>1</v>
      </c>
      <c r="H351" s="48">
        <v>80700</v>
      </c>
      <c r="I351" s="48" t="s">
        <v>17</v>
      </c>
      <c r="J351" s="48">
        <v>46533706</v>
      </c>
      <c r="K351" s="53" t="s">
        <v>1235</v>
      </c>
      <c r="L351" s="43" t="s">
        <v>1241</v>
      </c>
      <c r="M351" s="54">
        <v>139900</v>
      </c>
      <c r="N351" s="57">
        <v>0.9</v>
      </c>
      <c r="O351" s="36">
        <f t="shared" si="5"/>
        <v>13990</v>
      </c>
      <c r="P351" s="28" t="s">
        <v>0</v>
      </c>
    </row>
    <row r="352" spans="1:16" ht="15.6" x14ac:dyDescent="0.3">
      <c r="A352" s="25" t="s">
        <v>3214</v>
      </c>
      <c r="B352" s="26">
        <v>46093</v>
      </c>
      <c r="C352" s="26">
        <v>46098</v>
      </c>
      <c r="D352" s="25">
        <v>3319</v>
      </c>
      <c r="E352" s="25">
        <v>327</v>
      </c>
      <c r="F352" s="25">
        <v>2</v>
      </c>
      <c r="G352" s="48">
        <v>1</v>
      </c>
      <c r="H352" s="48">
        <v>80700</v>
      </c>
      <c r="I352" s="48" t="s">
        <v>17</v>
      </c>
      <c r="J352" s="48">
        <v>46533724</v>
      </c>
      <c r="K352" s="53" t="s">
        <v>1235</v>
      </c>
      <c r="L352" s="43" t="s">
        <v>1242</v>
      </c>
      <c r="M352" s="54">
        <v>139900</v>
      </c>
      <c r="N352" s="57">
        <v>0.9</v>
      </c>
      <c r="O352" s="36">
        <f t="shared" si="5"/>
        <v>13990</v>
      </c>
      <c r="P352" s="28" t="s">
        <v>0</v>
      </c>
    </row>
    <row r="353" spans="1:16" ht="15.6" x14ac:dyDescent="0.3">
      <c r="A353" s="25" t="s">
        <v>3214</v>
      </c>
      <c r="B353" s="26">
        <v>46093</v>
      </c>
      <c r="C353" s="26">
        <v>46098</v>
      </c>
      <c r="D353" s="25">
        <v>3319</v>
      </c>
      <c r="E353" s="25">
        <v>327</v>
      </c>
      <c r="F353" s="25">
        <v>2</v>
      </c>
      <c r="G353" s="48">
        <v>1</v>
      </c>
      <c r="H353" s="48">
        <v>80700</v>
      </c>
      <c r="I353" s="48" t="s">
        <v>17</v>
      </c>
      <c r="J353" s="48">
        <v>46533751</v>
      </c>
      <c r="K353" s="53" t="s">
        <v>1235</v>
      </c>
      <c r="L353" s="43" t="s">
        <v>1243</v>
      </c>
      <c r="M353" s="54">
        <v>139900</v>
      </c>
      <c r="N353" s="57">
        <v>0.9</v>
      </c>
      <c r="O353" s="36">
        <f t="shared" si="5"/>
        <v>13990</v>
      </c>
      <c r="P353" s="28" t="s">
        <v>0</v>
      </c>
    </row>
    <row r="354" spans="1:16" ht="15.6" x14ac:dyDescent="0.3">
      <c r="A354" s="25" t="s">
        <v>3214</v>
      </c>
      <c r="B354" s="26">
        <v>46093</v>
      </c>
      <c r="C354" s="26">
        <v>46098</v>
      </c>
      <c r="D354" s="25">
        <v>3319</v>
      </c>
      <c r="E354" s="25">
        <v>327</v>
      </c>
      <c r="F354" s="25">
        <v>2</v>
      </c>
      <c r="G354" s="48">
        <v>1</v>
      </c>
      <c r="H354" s="48">
        <v>80700</v>
      </c>
      <c r="I354" s="48" t="s">
        <v>17</v>
      </c>
      <c r="J354" s="48">
        <v>33442972</v>
      </c>
      <c r="K354" s="53" t="s">
        <v>1244</v>
      </c>
      <c r="L354" s="43" t="s">
        <v>1245</v>
      </c>
      <c r="M354" s="54">
        <v>139900</v>
      </c>
      <c r="N354" s="57">
        <v>0.9</v>
      </c>
      <c r="O354" s="36">
        <f t="shared" si="5"/>
        <v>13990</v>
      </c>
      <c r="P354" s="28" t="s">
        <v>0</v>
      </c>
    </row>
    <row r="355" spans="1:16" ht="15.6" x14ac:dyDescent="0.3">
      <c r="A355" s="25" t="s">
        <v>3214</v>
      </c>
      <c r="B355" s="26">
        <v>46093</v>
      </c>
      <c r="C355" s="26">
        <v>46098</v>
      </c>
      <c r="D355" s="25">
        <v>3319</v>
      </c>
      <c r="E355" s="25">
        <v>327</v>
      </c>
      <c r="F355" s="25">
        <v>2</v>
      </c>
      <c r="G355" s="48">
        <v>1</v>
      </c>
      <c r="H355" s="48">
        <v>80700</v>
      </c>
      <c r="I355" s="48" t="s">
        <v>17</v>
      </c>
      <c r="J355" s="48">
        <v>33442990</v>
      </c>
      <c r="K355" s="53" t="s">
        <v>1244</v>
      </c>
      <c r="L355" s="43" t="s">
        <v>1246</v>
      </c>
      <c r="M355" s="54">
        <v>139900</v>
      </c>
      <c r="N355" s="57">
        <v>0.9</v>
      </c>
      <c r="O355" s="36">
        <f t="shared" si="5"/>
        <v>13990</v>
      </c>
      <c r="P355" s="28" t="s">
        <v>0</v>
      </c>
    </row>
    <row r="356" spans="1:16" ht="15.6" x14ac:dyDescent="0.3">
      <c r="A356" s="25" t="s">
        <v>3214</v>
      </c>
      <c r="B356" s="26">
        <v>46093</v>
      </c>
      <c r="C356" s="26">
        <v>46098</v>
      </c>
      <c r="D356" s="25">
        <v>3319</v>
      </c>
      <c r="E356" s="25">
        <v>327</v>
      </c>
      <c r="F356" s="25">
        <v>2</v>
      </c>
      <c r="G356" s="48">
        <v>1</v>
      </c>
      <c r="H356" s="48">
        <v>80700</v>
      </c>
      <c r="I356" s="48" t="s">
        <v>17</v>
      </c>
      <c r="J356" s="48">
        <v>33442981</v>
      </c>
      <c r="K356" s="53" t="s">
        <v>1244</v>
      </c>
      <c r="L356" s="43" t="s">
        <v>1247</v>
      </c>
      <c r="M356" s="54">
        <v>139900</v>
      </c>
      <c r="N356" s="57">
        <v>0.9</v>
      </c>
      <c r="O356" s="36">
        <f t="shared" si="5"/>
        <v>13990</v>
      </c>
      <c r="P356" s="28" t="s">
        <v>0</v>
      </c>
    </row>
    <row r="357" spans="1:16" ht="15.6" x14ac:dyDescent="0.3">
      <c r="A357" s="25" t="s">
        <v>3214</v>
      </c>
      <c r="B357" s="26">
        <v>46093</v>
      </c>
      <c r="C357" s="26">
        <v>46098</v>
      </c>
      <c r="D357" s="25">
        <v>3319</v>
      </c>
      <c r="E357" s="25">
        <v>327</v>
      </c>
      <c r="F357" s="25">
        <v>2</v>
      </c>
      <c r="G357" s="48">
        <v>1</v>
      </c>
      <c r="H357" s="48">
        <v>80700</v>
      </c>
      <c r="I357" s="48" t="s">
        <v>17</v>
      </c>
      <c r="J357" s="48">
        <v>33443015</v>
      </c>
      <c r="K357" s="53" t="s">
        <v>1244</v>
      </c>
      <c r="L357" s="43" t="s">
        <v>1248</v>
      </c>
      <c r="M357" s="54">
        <v>139900</v>
      </c>
      <c r="N357" s="57">
        <v>0.9</v>
      </c>
      <c r="O357" s="36">
        <f t="shared" si="5"/>
        <v>13990</v>
      </c>
      <c r="P357" s="28" t="s">
        <v>0</v>
      </c>
    </row>
    <row r="358" spans="1:16" ht="15.6" x14ac:dyDescent="0.3">
      <c r="A358" s="25" t="s">
        <v>3214</v>
      </c>
      <c r="B358" s="26">
        <v>46093</v>
      </c>
      <c r="C358" s="26">
        <v>46098</v>
      </c>
      <c r="D358" s="25">
        <v>3319</v>
      </c>
      <c r="E358" s="25">
        <v>327</v>
      </c>
      <c r="F358" s="25">
        <v>2</v>
      </c>
      <c r="G358" s="48">
        <v>1</v>
      </c>
      <c r="H358" s="48">
        <v>80700</v>
      </c>
      <c r="I358" s="48" t="s">
        <v>17</v>
      </c>
      <c r="J358" s="48">
        <v>33442963</v>
      </c>
      <c r="K358" s="53" t="s">
        <v>1244</v>
      </c>
      <c r="L358" s="43" t="s">
        <v>1249</v>
      </c>
      <c r="M358" s="54">
        <v>139900</v>
      </c>
      <c r="N358" s="57">
        <v>0.9</v>
      </c>
      <c r="O358" s="36">
        <f t="shared" si="5"/>
        <v>13990</v>
      </c>
      <c r="P358" s="28" t="s">
        <v>0</v>
      </c>
    </row>
    <row r="359" spans="1:16" ht="15.6" x14ac:dyDescent="0.3">
      <c r="A359" s="25" t="s">
        <v>3214</v>
      </c>
      <c r="B359" s="26">
        <v>46093</v>
      </c>
      <c r="C359" s="26">
        <v>46098</v>
      </c>
      <c r="D359" s="25">
        <v>3319</v>
      </c>
      <c r="E359" s="25">
        <v>327</v>
      </c>
      <c r="F359" s="25">
        <v>2</v>
      </c>
      <c r="G359" s="48">
        <v>1</v>
      </c>
      <c r="H359" s="48">
        <v>80700</v>
      </c>
      <c r="I359" s="48" t="s">
        <v>17</v>
      </c>
      <c r="J359" s="48">
        <v>33443033</v>
      </c>
      <c r="K359" s="53" t="s">
        <v>1244</v>
      </c>
      <c r="L359" s="43" t="s">
        <v>1250</v>
      </c>
      <c r="M359" s="54">
        <v>139900</v>
      </c>
      <c r="N359" s="57">
        <v>0.9</v>
      </c>
      <c r="O359" s="36">
        <f t="shared" si="5"/>
        <v>13990</v>
      </c>
      <c r="P359" s="28" t="s">
        <v>0</v>
      </c>
    </row>
    <row r="360" spans="1:16" ht="15.6" x14ac:dyDescent="0.3">
      <c r="A360" s="25" t="s">
        <v>3214</v>
      </c>
      <c r="B360" s="26">
        <v>46093</v>
      </c>
      <c r="C360" s="26">
        <v>46098</v>
      </c>
      <c r="D360" s="25">
        <v>3319</v>
      </c>
      <c r="E360" s="25">
        <v>327</v>
      </c>
      <c r="F360" s="25">
        <v>2</v>
      </c>
      <c r="G360" s="48">
        <v>1</v>
      </c>
      <c r="H360" s="48">
        <v>80700</v>
      </c>
      <c r="I360" s="48" t="s">
        <v>17</v>
      </c>
      <c r="J360" s="48">
        <v>33443006</v>
      </c>
      <c r="K360" s="53" t="s">
        <v>1244</v>
      </c>
      <c r="L360" s="43" t="s">
        <v>1251</v>
      </c>
      <c r="M360" s="54">
        <v>139900</v>
      </c>
      <c r="N360" s="57">
        <v>0.9</v>
      </c>
      <c r="O360" s="36">
        <f t="shared" si="5"/>
        <v>13990</v>
      </c>
      <c r="P360" s="28" t="s">
        <v>0</v>
      </c>
    </row>
    <row r="361" spans="1:16" ht="15.6" x14ac:dyDescent="0.3">
      <c r="A361" s="25" t="s">
        <v>3214</v>
      </c>
      <c r="B361" s="26">
        <v>46093</v>
      </c>
      <c r="C361" s="26">
        <v>46098</v>
      </c>
      <c r="D361" s="25">
        <v>3319</v>
      </c>
      <c r="E361" s="25">
        <v>327</v>
      </c>
      <c r="F361" s="25">
        <v>2</v>
      </c>
      <c r="G361" s="48">
        <v>1</v>
      </c>
      <c r="H361" s="48">
        <v>80700</v>
      </c>
      <c r="I361" s="48" t="s">
        <v>17</v>
      </c>
      <c r="J361" s="48">
        <v>33443024</v>
      </c>
      <c r="K361" s="53" t="s">
        <v>1244</v>
      </c>
      <c r="L361" s="43" t="s">
        <v>1252</v>
      </c>
      <c r="M361" s="54">
        <v>139900</v>
      </c>
      <c r="N361" s="57">
        <v>0.9</v>
      </c>
      <c r="O361" s="36">
        <f t="shared" si="5"/>
        <v>13990</v>
      </c>
      <c r="P361" s="28" t="s">
        <v>0</v>
      </c>
    </row>
    <row r="362" spans="1:16" ht="15.6" x14ac:dyDescent="0.3">
      <c r="A362" s="25" t="s">
        <v>3214</v>
      </c>
      <c r="B362" s="26">
        <v>46093</v>
      </c>
      <c r="C362" s="26">
        <v>46098</v>
      </c>
      <c r="D362" s="25">
        <v>3319</v>
      </c>
      <c r="E362" s="25">
        <v>327</v>
      </c>
      <c r="F362" s="25">
        <v>2</v>
      </c>
      <c r="G362" s="28">
        <v>1</v>
      </c>
      <c r="H362" s="28">
        <v>80700</v>
      </c>
      <c r="I362" s="28" t="s">
        <v>17</v>
      </c>
      <c r="J362" s="28">
        <v>66161991</v>
      </c>
      <c r="K362" s="38" t="s">
        <v>1253</v>
      </c>
      <c r="L362" t="s">
        <v>1254</v>
      </c>
      <c r="M362" s="37">
        <v>159900</v>
      </c>
      <c r="N362" s="57">
        <v>0.9</v>
      </c>
      <c r="O362" s="36">
        <f t="shared" si="5"/>
        <v>15990</v>
      </c>
      <c r="P362" s="28" t="s">
        <v>0</v>
      </c>
    </row>
    <row r="363" spans="1:16" ht="15.6" x14ac:dyDescent="0.3">
      <c r="A363" s="25" t="s">
        <v>3214</v>
      </c>
      <c r="B363" s="26">
        <v>46093</v>
      </c>
      <c r="C363" s="26">
        <v>46098</v>
      </c>
      <c r="D363" s="25">
        <v>3319</v>
      </c>
      <c r="E363" s="25">
        <v>327</v>
      </c>
      <c r="F363" s="25">
        <v>2</v>
      </c>
      <c r="G363" s="28">
        <v>1</v>
      </c>
      <c r="H363" s="28">
        <v>80700</v>
      </c>
      <c r="I363" s="28" t="s">
        <v>17</v>
      </c>
      <c r="J363" s="28">
        <v>66161982</v>
      </c>
      <c r="K363" s="38" t="s">
        <v>1253</v>
      </c>
      <c r="L363" t="s">
        <v>1255</v>
      </c>
      <c r="M363" s="37">
        <v>159900</v>
      </c>
      <c r="N363" s="57">
        <v>0.9</v>
      </c>
      <c r="O363" s="36">
        <f t="shared" si="5"/>
        <v>15990</v>
      </c>
      <c r="P363" s="28" t="s">
        <v>0</v>
      </c>
    </row>
    <row r="364" spans="1:16" ht="15.6" x14ac:dyDescent="0.3">
      <c r="A364" s="25" t="s">
        <v>3214</v>
      </c>
      <c r="B364" s="26">
        <v>46093</v>
      </c>
      <c r="C364" s="26">
        <v>46098</v>
      </c>
      <c r="D364" s="25">
        <v>3319</v>
      </c>
      <c r="E364" s="25">
        <v>327</v>
      </c>
      <c r="F364" s="25">
        <v>2</v>
      </c>
      <c r="G364" s="28">
        <v>1</v>
      </c>
      <c r="H364" s="28">
        <v>80700</v>
      </c>
      <c r="I364" s="28" t="s">
        <v>17</v>
      </c>
      <c r="J364" s="28">
        <v>66162025</v>
      </c>
      <c r="K364" s="38" t="s">
        <v>1253</v>
      </c>
      <c r="L364" t="s">
        <v>1256</v>
      </c>
      <c r="M364" s="37">
        <v>159900</v>
      </c>
      <c r="N364" s="57">
        <v>0.9</v>
      </c>
      <c r="O364" s="36">
        <f t="shared" si="5"/>
        <v>15990</v>
      </c>
      <c r="P364" s="28" t="s">
        <v>0</v>
      </c>
    </row>
    <row r="365" spans="1:16" ht="15.6" x14ac:dyDescent="0.3">
      <c r="A365" s="25" t="s">
        <v>3214</v>
      </c>
      <c r="B365" s="26">
        <v>46093</v>
      </c>
      <c r="C365" s="26">
        <v>46098</v>
      </c>
      <c r="D365" s="25">
        <v>3319</v>
      </c>
      <c r="E365" s="25">
        <v>327</v>
      </c>
      <c r="F365" s="25">
        <v>2</v>
      </c>
      <c r="G365" s="28">
        <v>1</v>
      </c>
      <c r="H365" s="28">
        <v>80700</v>
      </c>
      <c r="I365" s="28" t="s">
        <v>17</v>
      </c>
      <c r="J365" s="28">
        <v>66161955</v>
      </c>
      <c r="K365" s="38" t="s">
        <v>1253</v>
      </c>
      <c r="L365" t="s">
        <v>1257</v>
      </c>
      <c r="M365" s="37">
        <v>159900</v>
      </c>
      <c r="N365" s="57">
        <v>0.9</v>
      </c>
      <c r="O365" s="36">
        <f t="shared" si="5"/>
        <v>15990</v>
      </c>
      <c r="P365" s="28" t="s">
        <v>0</v>
      </c>
    </row>
    <row r="366" spans="1:16" ht="15.6" x14ac:dyDescent="0.3">
      <c r="A366" s="25" t="s">
        <v>3214</v>
      </c>
      <c r="B366" s="26">
        <v>46093</v>
      </c>
      <c r="C366" s="26">
        <v>46098</v>
      </c>
      <c r="D366" s="25">
        <v>3319</v>
      </c>
      <c r="E366" s="25">
        <v>327</v>
      </c>
      <c r="F366" s="25">
        <v>2</v>
      </c>
      <c r="G366" s="28">
        <v>1</v>
      </c>
      <c r="H366" s="28">
        <v>80700</v>
      </c>
      <c r="I366" s="28" t="s">
        <v>17</v>
      </c>
      <c r="J366" s="28">
        <v>66162016</v>
      </c>
      <c r="K366" s="38" t="s">
        <v>1253</v>
      </c>
      <c r="L366" t="s">
        <v>1258</v>
      </c>
      <c r="M366" s="37">
        <v>159900</v>
      </c>
      <c r="N366" s="57">
        <v>0.9</v>
      </c>
      <c r="O366" s="36">
        <f t="shared" si="5"/>
        <v>15990</v>
      </c>
      <c r="P366" s="28" t="s">
        <v>0</v>
      </c>
    </row>
    <row r="367" spans="1:16" ht="15.6" x14ac:dyDescent="0.3">
      <c r="A367" s="25" t="s">
        <v>3214</v>
      </c>
      <c r="B367" s="26">
        <v>46093</v>
      </c>
      <c r="C367" s="26">
        <v>46098</v>
      </c>
      <c r="D367" s="25">
        <v>3319</v>
      </c>
      <c r="E367" s="25">
        <v>327</v>
      </c>
      <c r="F367" s="25">
        <v>2</v>
      </c>
      <c r="G367" s="28">
        <v>1</v>
      </c>
      <c r="H367" s="28">
        <v>80700</v>
      </c>
      <c r="I367" s="28" t="s">
        <v>17</v>
      </c>
      <c r="J367" s="28">
        <v>66161973</v>
      </c>
      <c r="K367" s="38" t="s">
        <v>1253</v>
      </c>
      <c r="L367" t="s">
        <v>1259</v>
      </c>
      <c r="M367" s="37">
        <v>159900</v>
      </c>
      <c r="N367" s="57">
        <v>0.9</v>
      </c>
      <c r="O367" s="36">
        <f t="shared" si="5"/>
        <v>15990</v>
      </c>
      <c r="P367" s="28" t="s">
        <v>0</v>
      </c>
    </row>
    <row r="368" spans="1:16" ht="15.6" x14ac:dyDescent="0.3">
      <c r="A368" s="25" t="s">
        <v>3214</v>
      </c>
      <c r="B368" s="26">
        <v>46093</v>
      </c>
      <c r="C368" s="26">
        <v>46098</v>
      </c>
      <c r="D368" s="25">
        <v>3319</v>
      </c>
      <c r="E368" s="25">
        <v>327</v>
      </c>
      <c r="F368" s="25">
        <v>2</v>
      </c>
      <c r="G368" s="28">
        <v>1</v>
      </c>
      <c r="H368" s="28">
        <v>80700</v>
      </c>
      <c r="I368" s="28" t="s">
        <v>17</v>
      </c>
      <c r="J368" s="28">
        <v>66161964</v>
      </c>
      <c r="K368" s="38" t="s">
        <v>1253</v>
      </c>
      <c r="L368" t="s">
        <v>1260</v>
      </c>
      <c r="M368" s="37">
        <v>159900</v>
      </c>
      <c r="N368" s="57">
        <v>0.9</v>
      </c>
      <c r="O368" s="36">
        <f t="shared" si="5"/>
        <v>15990</v>
      </c>
      <c r="P368" s="28" t="s">
        <v>0</v>
      </c>
    </row>
    <row r="369" spans="1:16" ht="15.6" x14ac:dyDescent="0.3">
      <c r="A369" s="25" t="s">
        <v>3214</v>
      </c>
      <c r="B369" s="26">
        <v>46093</v>
      </c>
      <c r="C369" s="26">
        <v>46098</v>
      </c>
      <c r="D369" s="25">
        <v>3319</v>
      </c>
      <c r="E369" s="25">
        <v>327</v>
      </c>
      <c r="F369" s="25">
        <v>2</v>
      </c>
      <c r="G369" s="28">
        <v>1</v>
      </c>
      <c r="H369" s="28">
        <v>80700</v>
      </c>
      <c r="I369" s="28" t="s">
        <v>17</v>
      </c>
      <c r="J369" s="28">
        <v>66162007</v>
      </c>
      <c r="K369" s="38" t="s">
        <v>1253</v>
      </c>
      <c r="L369" t="s">
        <v>1261</v>
      </c>
      <c r="M369" s="37">
        <v>159900</v>
      </c>
      <c r="N369" s="57">
        <v>0.9</v>
      </c>
      <c r="O369" s="36">
        <f t="shared" si="5"/>
        <v>15990</v>
      </c>
      <c r="P369" s="28" t="s">
        <v>0</v>
      </c>
    </row>
    <row r="370" spans="1:16" ht="15.6" x14ac:dyDescent="0.3">
      <c r="A370" s="25" t="s">
        <v>3214</v>
      </c>
      <c r="B370" s="26">
        <v>46093</v>
      </c>
      <c r="C370" s="26">
        <v>46098</v>
      </c>
      <c r="D370" s="25">
        <v>3319</v>
      </c>
      <c r="E370" s="25">
        <v>327</v>
      </c>
      <c r="F370" s="25">
        <v>2</v>
      </c>
      <c r="G370" s="28">
        <v>1</v>
      </c>
      <c r="H370" s="28">
        <v>81778</v>
      </c>
      <c r="I370" s="28" t="s">
        <v>17</v>
      </c>
      <c r="J370" s="28">
        <v>78770195</v>
      </c>
      <c r="K370" s="38" t="s">
        <v>1262</v>
      </c>
      <c r="L370" t="s">
        <v>1263</v>
      </c>
      <c r="M370" s="37">
        <v>199900</v>
      </c>
      <c r="N370" s="57">
        <v>0.9</v>
      </c>
      <c r="O370" s="36">
        <f t="shared" si="5"/>
        <v>19990</v>
      </c>
      <c r="P370" s="28" t="s">
        <v>0</v>
      </c>
    </row>
    <row r="371" spans="1:16" ht="15.6" x14ac:dyDescent="0.3">
      <c r="A371" s="25" t="s">
        <v>3214</v>
      </c>
      <c r="B371" s="26">
        <v>46093</v>
      </c>
      <c r="C371" s="26">
        <v>46098</v>
      </c>
      <c r="D371" s="25">
        <v>3319</v>
      </c>
      <c r="E371" s="25">
        <v>327</v>
      </c>
      <c r="F371" s="25">
        <v>2</v>
      </c>
      <c r="G371" s="28">
        <v>1</v>
      </c>
      <c r="H371" s="28">
        <v>81778</v>
      </c>
      <c r="I371" s="28" t="s">
        <v>17</v>
      </c>
      <c r="J371" s="28">
        <v>78770239</v>
      </c>
      <c r="K371" s="38" t="s">
        <v>1262</v>
      </c>
      <c r="L371" t="s">
        <v>1264</v>
      </c>
      <c r="M371" s="37">
        <v>199900</v>
      </c>
      <c r="N371" s="57">
        <v>0.9</v>
      </c>
      <c r="O371" s="36">
        <f t="shared" si="5"/>
        <v>19990</v>
      </c>
      <c r="P371" s="28" t="s">
        <v>0</v>
      </c>
    </row>
    <row r="372" spans="1:16" ht="15.6" x14ac:dyDescent="0.3">
      <c r="A372" s="25" t="s">
        <v>3214</v>
      </c>
      <c r="B372" s="26">
        <v>46093</v>
      </c>
      <c r="C372" s="26">
        <v>46098</v>
      </c>
      <c r="D372" s="25">
        <v>3319</v>
      </c>
      <c r="E372" s="25">
        <v>327</v>
      </c>
      <c r="F372" s="25">
        <v>2</v>
      </c>
      <c r="G372" s="28">
        <v>1</v>
      </c>
      <c r="H372" s="28">
        <v>81778</v>
      </c>
      <c r="I372" s="28" t="s">
        <v>17</v>
      </c>
      <c r="J372" s="28">
        <v>78770220</v>
      </c>
      <c r="K372" s="38" t="s">
        <v>1262</v>
      </c>
      <c r="L372" t="s">
        <v>1265</v>
      </c>
      <c r="M372" s="37">
        <v>199900</v>
      </c>
      <c r="N372" s="57">
        <v>0.9</v>
      </c>
      <c r="O372" s="36">
        <f t="shared" si="5"/>
        <v>19990</v>
      </c>
      <c r="P372" s="28" t="s">
        <v>0</v>
      </c>
    </row>
    <row r="373" spans="1:16" ht="15.6" x14ac:dyDescent="0.3">
      <c r="A373" s="25" t="s">
        <v>3214</v>
      </c>
      <c r="B373" s="26">
        <v>46093</v>
      </c>
      <c r="C373" s="26">
        <v>46098</v>
      </c>
      <c r="D373" s="25">
        <v>3319</v>
      </c>
      <c r="E373" s="25">
        <v>327</v>
      </c>
      <c r="F373" s="25">
        <v>2</v>
      </c>
      <c r="G373" s="28">
        <v>1</v>
      </c>
      <c r="H373" s="28">
        <v>81778</v>
      </c>
      <c r="I373" s="28" t="s">
        <v>17</v>
      </c>
      <c r="J373" s="28">
        <v>78770211</v>
      </c>
      <c r="K373" s="38" t="s">
        <v>1262</v>
      </c>
      <c r="L373" t="s">
        <v>1266</v>
      </c>
      <c r="M373" s="37">
        <v>199900</v>
      </c>
      <c r="N373" s="57">
        <v>0.9</v>
      </c>
      <c r="O373" s="36">
        <f t="shared" si="5"/>
        <v>19990</v>
      </c>
      <c r="P373" s="28" t="s">
        <v>0</v>
      </c>
    </row>
    <row r="374" spans="1:16" ht="15.6" x14ac:dyDescent="0.3">
      <c r="A374" s="25" t="s">
        <v>3214</v>
      </c>
      <c r="B374" s="26">
        <v>46093</v>
      </c>
      <c r="C374" s="26">
        <v>46098</v>
      </c>
      <c r="D374" s="25">
        <v>3319</v>
      </c>
      <c r="E374" s="25">
        <v>327</v>
      </c>
      <c r="F374" s="25">
        <v>2</v>
      </c>
      <c r="G374" s="28">
        <v>1</v>
      </c>
      <c r="H374" s="28">
        <v>81778</v>
      </c>
      <c r="I374" s="28" t="s">
        <v>17</v>
      </c>
      <c r="J374" s="28">
        <v>78770202</v>
      </c>
      <c r="K374" s="38" t="s">
        <v>1262</v>
      </c>
      <c r="L374" t="s">
        <v>1267</v>
      </c>
      <c r="M374" s="37">
        <v>199900</v>
      </c>
      <c r="N374" s="57">
        <v>0.9</v>
      </c>
      <c r="O374" s="36">
        <f t="shared" si="5"/>
        <v>19990</v>
      </c>
      <c r="P374" s="28" t="s">
        <v>0</v>
      </c>
    </row>
    <row r="375" spans="1:16" ht="15.6" x14ac:dyDescent="0.3">
      <c r="A375" s="25" t="s">
        <v>3214</v>
      </c>
      <c r="B375" s="26">
        <v>46093</v>
      </c>
      <c r="C375" s="26">
        <v>46098</v>
      </c>
      <c r="D375" s="25">
        <v>3319</v>
      </c>
      <c r="E375" s="25">
        <v>327</v>
      </c>
      <c r="F375" s="25">
        <v>2</v>
      </c>
      <c r="G375" s="28">
        <v>1</v>
      </c>
      <c r="H375" s="28">
        <v>81778</v>
      </c>
      <c r="I375" s="28" t="s">
        <v>17</v>
      </c>
      <c r="J375" s="49">
        <v>78770248</v>
      </c>
      <c r="K375" s="45" t="s">
        <v>2547</v>
      </c>
      <c r="L375" s="46" t="s">
        <v>2548</v>
      </c>
      <c r="M375" s="55">
        <v>199900</v>
      </c>
      <c r="N375" s="57">
        <v>0.9</v>
      </c>
      <c r="O375" s="36">
        <f t="shared" ref="O375:O379" si="6">M375*10%</f>
        <v>19990</v>
      </c>
      <c r="P375" s="28" t="s">
        <v>0</v>
      </c>
    </row>
    <row r="376" spans="1:16" ht="15.6" x14ac:dyDescent="0.3">
      <c r="A376" s="25" t="s">
        <v>3214</v>
      </c>
      <c r="B376" s="26">
        <v>46093</v>
      </c>
      <c r="C376" s="26">
        <v>46098</v>
      </c>
      <c r="D376" s="25">
        <v>3319</v>
      </c>
      <c r="E376" s="25">
        <v>327</v>
      </c>
      <c r="F376" s="25">
        <v>2</v>
      </c>
      <c r="G376" s="28">
        <v>1</v>
      </c>
      <c r="H376" s="28">
        <v>81778</v>
      </c>
      <c r="I376" s="28" t="s">
        <v>17</v>
      </c>
      <c r="J376" s="49">
        <v>78770257</v>
      </c>
      <c r="K376" s="45" t="s">
        <v>2547</v>
      </c>
      <c r="L376" s="46" t="s">
        <v>2549</v>
      </c>
      <c r="M376" s="55">
        <v>199900</v>
      </c>
      <c r="N376" s="57">
        <v>0.9</v>
      </c>
      <c r="O376" s="36">
        <f t="shared" si="6"/>
        <v>19990</v>
      </c>
      <c r="P376" s="28" t="s">
        <v>0</v>
      </c>
    </row>
    <row r="377" spans="1:16" ht="15.6" x14ac:dyDescent="0.3">
      <c r="A377" s="25" t="s">
        <v>3214</v>
      </c>
      <c r="B377" s="26">
        <v>46093</v>
      </c>
      <c r="C377" s="26">
        <v>46098</v>
      </c>
      <c r="D377" s="25">
        <v>3319</v>
      </c>
      <c r="E377" s="25">
        <v>327</v>
      </c>
      <c r="F377" s="25">
        <v>2</v>
      </c>
      <c r="G377" s="28">
        <v>1</v>
      </c>
      <c r="H377" s="28">
        <v>81778</v>
      </c>
      <c r="I377" s="28" t="s">
        <v>17</v>
      </c>
      <c r="J377" s="49">
        <v>78770266</v>
      </c>
      <c r="K377" s="45" t="s">
        <v>2547</v>
      </c>
      <c r="L377" s="46" t="s">
        <v>2550</v>
      </c>
      <c r="M377" s="55">
        <v>199900</v>
      </c>
      <c r="N377" s="57">
        <v>0.9</v>
      </c>
      <c r="O377" s="36">
        <f t="shared" si="6"/>
        <v>19990</v>
      </c>
      <c r="P377" s="28" t="s">
        <v>0</v>
      </c>
    </row>
    <row r="378" spans="1:16" ht="15.6" x14ac:dyDescent="0.3">
      <c r="A378" s="25" t="s">
        <v>3214</v>
      </c>
      <c r="B378" s="26">
        <v>46093</v>
      </c>
      <c r="C378" s="26">
        <v>46098</v>
      </c>
      <c r="D378" s="25">
        <v>3319</v>
      </c>
      <c r="E378" s="25">
        <v>327</v>
      </c>
      <c r="F378" s="25">
        <v>2</v>
      </c>
      <c r="G378" s="28">
        <v>1</v>
      </c>
      <c r="H378" s="28">
        <v>81778</v>
      </c>
      <c r="I378" s="28" t="s">
        <v>17</v>
      </c>
      <c r="J378" s="49">
        <v>78770275</v>
      </c>
      <c r="K378" s="45" t="s">
        <v>2547</v>
      </c>
      <c r="L378" s="46" t="s">
        <v>2551</v>
      </c>
      <c r="M378" s="55">
        <v>199900</v>
      </c>
      <c r="N378" s="57">
        <v>0.9</v>
      </c>
      <c r="O378" s="36">
        <f t="shared" si="6"/>
        <v>19990</v>
      </c>
      <c r="P378" s="28" t="s">
        <v>0</v>
      </c>
    </row>
    <row r="379" spans="1:16" ht="15.6" x14ac:dyDescent="0.3">
      <c r="A379" s="25" t="s">
        <v>3214</v>
      </c>
      <c r="B379" s="26">
        <v>46093</v>
      </c>
      <c r="C379" s="26">
        <v>46098</v>
      </c>
      <c r="D379" s="25">
        <v>3319</v>
      </c>
      <c r="E379" s="25">
        <v>327</v>
      </c>
      <c r="F379" s="25">
        <v>2</v>
      </c>
      <c r="G379" s="28">
        <v>1</v>
      </c>
      <c r="H379" s="28">
        <v>81778</v>
      </c>
      <c r="I379" s="28" t="s">
        <v>17</v>
      </c>
      <c r="J379" s="49">
        <v>78770284</v>
      </c>
      <c r="K379" s="45" t="s">
        <v>2547</v>
      </c>
      <c r="L379" s="46" t="s">
        <v>2552</v>
      </c>
      <c r="M379" s="55">
        <v>199900</v>
      </c>
      <c r="N379" s="57">
        <v>0.9</v>
      </c>
      <c r="O379" s="36">
        <f t="shared" si="6"/>
        <v>19990</v>
      </c>
      <c r="P379" s="28" t="s">
        <v>0</v>
      </c>
    </row>
  </sheetData>
  <autoFilter ref="A1:P374" xr:uid="{00000000-0009-0000-0000-000003000000}"/>
  <conditionalFormatting sqref="J1">
    <cfRule type="duplicateValues" dxfId="309" priority="3"/>
    <cfRule type="duplicateValues" dxfId="308" priority="4"/>
    <cfRule type="duplicateValues" dxfId="307" priority="5"/>
    <cfRule type="duplicateValues" dxfId="306" priority="6"/>
  </conditionalFormatting>
  <conditionalFormatting sqref="J1:J1048576">
    <cfRule type="duplicateValues" dxfId="305" priority="1"/>
    <cfRule type="duplicateValues" dxfId="304" priority="2"/>
  </conditionalFormatting>
  <conditionalFormatting sqref="J2:J16">
    <cfRule type="duplicateValues" dxfId="303" priority="42"/>
    <cfRule type="duplicateValues" dxfId="302" priority="55"/>
  </conditionalFormatting>
  <conditionalFormatting sqref="J2:J197">
    <cfRule type="duplicateValues" dxfId="301" priority="56"/>
  </conditionalFormatting>
  <conditionalFormatting sqref="J2:J374">
    <cfRule type="duplicateValues" dxfId="300" priority="46"/>
  </conditionalFormatting>
  <conditionalFormatting sqref="J17:J23">
    <cfRule type="duplicateValues" dxfId="299" priority="54"/>
  </conditionalFormatting>
  <conditionalFormatting sqref="J24:J26">
    <cfRule type="duplicateValues" dxfId="298" priority="53"/>
  </conditionalFormatting>
  <conditionalFormatting sqref="J27:J33">
    <cfRule type="duplicateValues" dxfId="297" priority="52"/>
  </conditionalFormatting>
  <conditionalFormatting sqref="J32:J33">
    <cfRule type="duplicateValues" dxfId="296" priority="41"/>
  </conditionalFormatting>
  <conditionalFormatting sqref="J34:J37">
    <cfRule type="duplicateValues" dxfId="295" priority="44"/>
  </conditionalFormatting>
  <conditionalFormatting sqref="J34:J39">
    <cfRule type="duplicateValues" dxfId="294" priority="45"/>
  </conditionalFormatting>
  <conditionalFormatting sqref="J38:J39">
    <cfRule type="duplicateValues" dxfId="293" priority="43"/>
  </conditionalFormatting>
  <conditionalFormatting sqref="J40:J41">
    <cfRule type="duplicateValues" dxfId="292" priority="51"/>
  </conditionalFormatting>
  <conditionalFormatting sqref="J42">
    <cfRule type="duplicateValues" dxfId="291" priority="50"/>
  </conditionalFormatting>
  <conditionalFormatting sqref="J43:J44">
    <cfRule type="duplicateValues" dxfId="290" priority="49"/>
  </conditionalFormatting>
  <conditionalFormatting sqref="J45:J46">
    <cfRule type="duplicateValues" dxfId="289" priority="40"/>
  </conditionalFormatting>
  <conditionalFormatting sqref="J47:J54">
    <cfRule type="duplicateValues" dxfId="288" priority="48"/>
  </conditionalFormatting>
  <conditionalFormatting sqref="J55:J59">
    <cfRule type="duplicateValues" dxfId="287" priority="47"/>
  </conditionalFormatting>
  <conditionalFormatting sqref="J90:J92">
    <cfRule type="duplicateValues" dxfId="286" priority="39"/>
  </conditionalFormatting>
  <conditionalFormatting sqref="J93:J96">
    <cfRule type="duplicateValues" dxfId="285" priority="38"/>
  </conditionalFormatting>
  <conditionalFormatting sqref="J97:J98">
    <cfRule type="duplicateValues" dxfId="284" priority="37"/>
  </conditionalFormatting>
  <conditionalFormatting sqref="J99:J100">
    <cfRule type="duplicateValues" dxfId="283" priority="36"/>
  </conditionalFormatting>
  <conditionalFormatting sqref="J101:J105">
    <cfRule type="duplicateValues" dxfId="282" priority="35"/>
    <cfRule type="duplicateValues" dxfId="281" priority="34"/>
  </conditionalFormatting>
  <conditionalFormatting sqref="J106">
    <cfRule type="duplicateValues" dxfId="280" priority="33"/>
  </conditionalFormatting>
  <conditionalFormatting sqref="J107:J114">
    <cfRule type="duplicateValues" dxfId="279" priority="32"/>
  </conditionalFormatting>
  <conditionalFormatting sqref="J115">
    <cfRule type="duplicateValues" dxfId="278" priority="31"/>
  </conditionalFormatting>
  <conditionalFormatting sqref="J116:J117">
    <cfRule type="duplicateValues" dxfId="277" priority="30"/>
  </conditionalFormatting>
  <conditionalFormatting sqref="J118:J123">
    <cfRule type="duplicateValues" dxfId="276" priority="29"/>
  </conditionalFormatting>
  <conditionalFormatting sqref="J124:J132">
    <cfRule type="duplicateValues" dxfId="275" priority="28"/>
  </conditionalFormatting>
  <conditionalFormatting sqref="J133:J137">
    <cfRule type="duplicateValues" dxfId="274" priority="27"/>
  </conditionalFormatting>
  <conditionalFormatting sqref="J138:J142">
    <cfRule type="duplicateValues" dxfId="273" priority="26"/>
  </conditionalFormatting>
  <conditionalFormatting sqref="J143:J147">
    <cfRule type="duplicateValues" dxfId="272" priority="25"/>
  </conditionalFormatting>
  <conditionalFormatting sqref="J148:J157">
    <cfRule type="duplicateValues" dxfId="271" priority="24"/>
  </conditionalFormatting>
  <conditionalFormatting sqref="J158:J162">
    <cfRule type="duplicateValues" dxfId="270" priority="22"/>
  </conditionalFormatting>
  <conditionalFormatting sqref="J163:J172">
    <cfRule type="duplicateValues" dxfId="269" priority="23"/>
    <cfRule type="duplicateValues" dxfId="268" priority="18"/>
  </conditionalFormatting>
  <conditionalFormatting sqref="J173:J177">
    <cfRule type="duplicateValues" dxfId="267" priority="21"/>
    <cfRule type="duplicateValues" dxfId="266" priority="20"/>
    <cfRule type="duplicateValues" dxfId="265" priority="19"/>
  </conditionalFormatting>
  <conditionalFormatting sqref="J178:J187">
    <cfRule type="duplicateValues" dxfId="264" priority="14"/>
  </conditionalFormatting>
  <conditionalFormatting sqref="J188:J197">
    <cfRule type="duplicateValues" dxfId="263" priority="17"/>
    <cfRule type="duplicateValues" dxfId="262" priority="16"/>
    <cfRule type="duplicateValues" dxfId="261" priority="15"/>
  </conditionalFormatting>
  <conditionalFormatting sqref="J338:J369">
    <cfRule type="duplicateValues" dxfId="260" priority="12"/>
    <cfRule type="duplicateValues" dxfId="259" priority="7"/>
  </conditionalFormatting>
  <conditionalFormatting sqref="J346:J353">
    <cfRule type="duplicateValues" dxfId="258" priority="10"/>
  </conditionalFormatting>
  <conditionalFormatting sqref="J354:J361">
    <cfRule type="duplicateValues" dxfId="257" priority="9"/>
  </conditionalFormatting>
  <conditionalFormatting sqref="J362">
    <cfRule type="duplicateValues" dxfId="256" priority="8"/>
  </conditionalFormatting>
  <conditionalFormatting sqref="J363:J369">
    <cfRule type="duplicateValues" dxfId="255" priority="11"/>
  </conditionalFormatting>
  <conditionalFormatting sqref="J370:J374 J198:J337">
    <cfRule type="duplicateValues" dxfId="254" priority="1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3"/>
  <sheetViews>
    <sheetView zoomScale="90" zoomScaleNormal="90" workbookViewId="0">
      <selection activeCell="H23" sqref="H23"/>
    </sheetView>
  </sheetViews>
  <sheetFormatPr defaultColWidth="9.33203125" defaultRowHeight="15.6" x14ac:dyDescent="0.3"/>
  <cols>
    <col min="1" max="1" width="20.6640625" style="31" customWidth="1"/>
    <col min="2" max="3" width="14" style="31" customWidth="1"/>
    <col min="4" max="7" width="8.6640625" style="31" customWidth="1"/>
    <col min="8" max="9" width="9.33203125" style="31"/>
    <col min="10" max="10" width="11.6640625" style="31" customWidth="1"/>
    <col min="11" max="11" width="13.6640625" style="80" customWidth="1"/>
    <col min="12" max="12" width="35.6640625" style="18" customWidth="1"/>
    <col min="13" max="13" width="15.6640625" style="41" customWidth="1"/>
    <col min="14" max="14" width="8.6640625" style="30" customWidth="1"/>
    <col min="15" max="15" width="15.6640625" style="42" customWidth="1"/>
    <col min="16" max="16" width="15.6640625" style="31" customWidth="1"/>
    <col min="17" max="16384" width="9.33203125" style="18"/>
  </cols>
  <sheetData>
    <row r="1" spans="1:16" s="24" customFormat="1" ht="30" customHeight="1" x14ac:dyDescent="0.3">
      <c r="A1" s="7" t="s">
        <v>16</v>
      </c>
      <c r="B1" s="8" t="s">
        <v>15</v>
      </c>
      <c r="C1" s="8" t="s">
        <v>14</v>
      </c>
      <c r="D1" s="7" t="s">
        <v>13</v>
      </c>
      <c r="E1" s="7" t="s">
        <v>12</v>
      </c>
      <c r="F1" s="7" t="s">
        <v>11</v>
      </c>
      <c r="G1" s="9" t="s">
        <v>10</v>
      </c>
      <c r="H1" s="9" t="s">
        <v>9</v>
      </c>
      <c r="I1" s="7" t="s">
        <v>8</v>
      </c>
      <c r="J1" s="7" t="s">
        <v>7</v>
      </c>
      <c r="K1" s="79" t="s">
        <v>6</v>
      </c>
      <c r="L1" s="7" t="s">
        <v>5</v>
      </c>
      <c r="M1" s="10" t="s">
        <v>4</v>
      </c>
      <c r="N1" s="11" t="s">
        <v>3</v>
      </c>
      <c r="O1" s="10" t="s">
        <v>2</v>
      </c>
      <c r="P1" s="7" t="s">
        <v>1</v>
      </c>
    </row>
    <row r="2" spans="1:16" x14ac:dyDescent="0.3">
      <c r="A2" s="32" t="s">
        <v>3213</v>
      </c>
      <c r="B2" s="40">
        <v>46093</v>
      </c>
      <c r="C2" s="40">
        <v>46098</v>
      </c>
      <c r="D2" s="32">
        <v>3319</v>
      </c>
      <c r="E2" s="32">
        <v>327</v>
      </c>
      <c r="F2" s="32">
        <v>2</v>
      </c>
      <c r="G2" s="31">
        <v>1</v>
      </c>
      <c r="H2" s="31">
        <v>80700</v>
      </c>
      <c r="I2" s="31" t="s">
        <v>17</v>
      </c>
      <c r="J2" s="31">
        <v>79628329</v>
      </c>
      <c r="K2" s="80" t="s">
        <v>1268</v>
      </c>
      <c r="L2" s="18" t="s">
        <v>1269</v>
      </c>
      <c r="M2" s="41">
        <v>159900</v>
      </c>
      <c r="N2" s="30">
        <v>0.9</v>
      </c>
      <c r="O2" s="33">
        <f t="shared" ref="O2:O65" si="0">M2*(1-N2)</f>
        <v>15989.999999999996</v>
      </c>
      <c r="P2" s="28" t="s">
        <v>0</v>
      </c>
    </row>
    <row r="3" spans="1:16" x14ac:dyDescent="0.3">
      <c r="A3" s="32" t="s">
        <v>3213</v>
      </c>
      <c r="B3" s="40">
        <v>46093</v>
      </c>
      <c r="C3" s="40">
        <v>46098</v>
      </c>
      <c r="D3" s="32">
        <v>3319</v>
      </c>
      <c r="E3" s="32">
        <v>327</v>
      </c>
      <c r="F3" s="32">
        <v>2</v>
      </c>
      <c r="G3" s="31">
        <v>1</v>
      </c>
      <c r="H3" s="31">
        <v>80700</v>
      </c>
      <c r="I3" s="31" t="s">
        <v>17</v>
      </c>
      <c r="J3" s="31">
        <v>79628338</v>
      </c>
      <c r="K3" s="80" t="s">
        <v>1268</v>
      </c>
      <c r="L3" s="18" t="s">
        <v>1270</v>
      </c>
      <c r="M3" s="41">
        <v>159900</v>
      </c>
      <c r="N3" s="30">
        <v>0.9</v>
      </c>
      <c r="O3" s="33">
        <f t="shared" si="0"/>
        <v>15989.999999999996</v>
      </c>
      <c r="P3" s="28" t="s">
        <v>0</v>
      </c>
    </row>
    <row r="4" spans="1:16" x14ac:dyDescent="0.3">
      <c r="A4" s="32" t="s">
        <v>3213</v>
      </c>
      <c r="B4" s="40">
        <v>46093</v>
      </c>
      <c r="C4" s="40">
        <v>46098</v>
      </c>
      <c r="D4" s="32">
        <v>3319</v>
      </c>
      <c r="E4" s="32">
        <v>327</v>
      </c>
      <c r="F4" s="32">
        <v>2</v>
      </c>
      <c r="G4" s="31">
        <v>1</v>
      </c>
      <c r="H4" s="31">
        <v>80700</v>
      </c>
      <c r="I4" s="31" t="s">
        <v>17</v>
      </c>
      <c r="J4" s="31">
        <v>79628347</v>
      </c>
      <c r="K4" s="80" t="s">
        <v>1268</v>
      </c>
      <c r="L4" s="18" t="s">
        <v>1271</v>
      </c>
      <c r="M4" s="41">
        <v>159900</v>
      </c>
      <c r="N4" s="30">
        <v>0.9</v>
      </c>
      <c r="O4" s="33">
        <f t="shared" si="0"/>
        <v>15989.999999999996</v>
      </c>
      <c r="P4" s="28" t="s">
        <v>0</v>
      </c>
    </row>
    <row r="5" spans="1:16" x14ac:dyDescent="0.3">
      <c r="A5" s="32" t="s">
        <v>3213</v>
      </c>
      <c r="B5" s="40">
        <v>46093</v>
      </c>
      <c r="C5" s="40">
        <v>46098</v>
      </c>
      <c r="D5" s="32">
        <v>3319</v>
      </c>
      <c r="E5" s="32">
        <v>327</v>
      </c>
      <c r="F5" s="32">
        <v>2</v>
      </c>
      <c r="G5" s="31">
        <v>1</v>
      </c>
      <c r="H5" s="31">
        <v>80700</v>
      </c>
      <c r="I5" s="31" t="s">
        <v>17</v>
      </c>
      <c r="J5" s="31">
        <v>79628356</v>
      </c>
      <c r="K5" s="80" t="s">
        <v>1268</v>
      </c>
      <c r="L5" s="18" t="s">
        <v>1272</v>
      </c>
      <c r="M5" s="41">
        <v>159900</v>
      </c>
      <c r="N5" s="30">
        <v>0.9</v>
      </c>
      <c r="O5" s="33">
        <f t="shared" si="0"/>
        <v>15989.999999999996</v>
      </c>
      <c r="P5" s="28" t="s">
        <v>0</v>
      </c>
    </row>
    <row r="6" spans="1:16" x14ac:dyDescent="0.3">
      <c r="A6" s="32" t="s">
        <v>3213</v>
      </c>
      <c r="B6" s="40">
        <v>46093</v>
      </c>
      <c r="C6" s="40">
        <v>46098</v>
      </c>
      <c r="D6" s="32">
        <v>3319</v>
      </c>
      <c r="E6" s="32">
        <v>327</v>
      </c>
      <c r="F6" s="32">
        <v>2</v>
      </c>
      <c r="G6" s="31">
        <v>1</v>
      </c>
      <c r="H6" s="31">
        <v>80700</v>
      </c>
      <c r="I6" s="31" t="s">
        <v>17</v>
      </c>
      <c r="J6" s="31">
        <v>79628427</v>
      </c>
      <c r="K6" s="80" t="s">
        <v>1273</v>
      </c>
      <c r="L6" s="18" t="s">
        <v>1274</v>
      </c>
      <c r="M6" s="41">
        <v>159900</v>
      </c>
      <c r="N6" s="30">
        <v>0.9</v>
      </c>
      <c r="O6" s="33">
        <f t="shared" si="0"/>
        <v>15989.999999999996</v>
      </c>
      <c r="P6" s="28" t="s">
        <v>0</v>
      </c>
    </row>
    <row r="7" spans="1:16" x14ac:dyDescent="0.3">
      <c r="A7" s="32" t="s">
        <v>3213</v>
      </c>
      <c r="B7" s="40">
        <v>46093</v>
      </c>
      <c r="C7" s="40">
        <v>46098</v>
      </c>
      <c r="D7" s="32">
        <v>3319</v>
      </c>
      <c r="E7" s="32">
        <v>327</v>
      </c>
      <c r="F7" s="32">
        <v>2</v>
      </c>
      <c r="G7" s="31">
        <v>1</v>
      </c>
      <c r="H7" s="31">
        <v>80700</v>
      </c>
      <c r="I7" s="31" t="s">
        <v>17</v>
      </c>
      <c r="J7" s="31">
        <v>79628436</v>
      </c>
      <c r="K7" s="80" t="s">
        <v>1273</v>
      </c>
      <c r="L7" s="18" t="s">
        <v>1275</v>
      </c>
      <c r="M7" s="41">
        <v>159900</v>
      </c>
      <c r="N7" s="30">
        <v>0.9</v>
      </c>
      <c r="O7" s="33">
        <f t="shared" si="0"/>
        <v>15989.999999999996</v>
      </c>
      <c r="P7" s="28" t="s">
        <v>0</v>
      </c>
    </row>
    <row r="8" spans="1:16" x14ac:dyDescent="0.3">
      <c r="A8" s="32" t="s">
        <v>3213</v>
      </c>
      <c r="B8" s="40">
        <v>46093</v>
      </c>
      <c r="C8" s="40">
        <v>46098</v>
      </c>
      <c r="D8" s="32">
        <v>3319</v>
      </c>
      <c r="E8" s="32">
        <v>327</v>
      </c>
      <c r="F8" s="32">
        <v>2</v>
      </c>
      <c r="G8" s="31">
        <v>1</v>
      </c>
      <c r="H8" s="31">
        <v>80700</v>
      </c>
      <c r="I8" s="31" t="s">
        <v>17</v>
      </c>
      <c r="J8" s="31">
        <v>79628445</v>
      </c>
      <c r="K8" s="80" t="s">
        <v>1273</v>
      </c>
      <c r="L8" s="18" t="s">
        <v>1276</v>
      </c>
      <c r="M8" s="41">
        <v>159900</v>
      </c>
      <c r="N8" s="30">
        <v>0.9</v>
      </c>
      <c r="O8" s="33">
        <f t="shared" si="0"/>
        <v>15989.999999999996</v>
      </c>
      <c r="P8" s="28" t="s">
        <v>0</v>
      </c>
    </row>
    <row r="9" spans="1:16" x14ac:dyDescent="0.3">
      <c r="A9" s="32" t="s">
        <v>3213</v>
      </c>
      <c r="B9" s="40">
        <v>46093</v>
      </c>
      <c r="C9" s="40">
        <v>46098</v>
      </c>
      <c r="D9" s="32">
        <v>3319</v>
      </c>
      <c r="E9" s="32">
        <v>327</v>
      </c>
      <c r="F9" s="32">
        <v>2</v>
      </c>
      <c r="G9" s="31">
        <v>1</v>
      </c>
      <c r="H9" s="31">
        <v>80700</v>
      </c>
      <c r="I9" s="31" t="s">
        <v>17</v>
      </c>
      <c r="J9" s="31">
        <v>79628454</v>
      </c>
      <c r="K9" s="80" t="s">
        <v>1273</v>
      </c>
      <c r="L9" s="18" t="s">
        <v>1277</v>
      </c>
      <c r="M9" s="41">
        <v>159900</v>
      </c>
      <c r="N9" s="30">
        <v>0.9</v>
      </c>
      <c r="O9" s="33">
        <f t="shared" si="0"/>
        <v>15989.999999999996</v>
      </c>
      <c r="P9" s="28" t="s">
        <v>0</v>
      </c>
    </row>
    <row r="10" spans="1:16" x14ac:dyDescent="0.3">
      <c r="A10" s="32" t="s">
        <v>3213</v>
      </c>
      <c r="B10" s="40">
        <v>46093</v>
      </c>
      <c r="C10" s="40">
        <v>46098</v>
      </c>
      <c r="D10" s="32">
        <v>3319</v>
      </c>
      <c r="E10" s="32">
        <v>327</v>
      </c>
      <c r="F10" s="32">
        <v>2</v>
      </c>
      <c r="G10" s="31">
        <v>1</v>
      </c>
      <c r="H10" s="31">
        <v>80700</v>
      </c>
      <c r="I10" s="31" t="s">
        <v>17</v>
      </c>
      <c r="J10" s="31">
        <v>79628472</v>
      </c>
      <c r="K10" s="80" t="s">
        <v>1273</v>
      </c>
      <c r="L10" s="18" t="s">
        <v>1278</v>
      </c>
      <c r="M10" s="41">
        <v>159900</v>
      </c>
      <c r="N10" s="30">
        <v>0.9</v>
      </c>
      <c r="O10" s="33">
        <f t="shared" si="0"/>
        <v>15989.999999999996</v>
      </c>
      <c r="P10" s="28" t="s">
        <v>0</v>
      </c>
    </row>
    <row r="11" spans="1:16" x14ac:dyDescent="0.3">
      <c r="A11" s="32" t="s">
        <v>3213</v>
      </c>
      <c r="B11" s="40">
        <v>46093</v>
      </c>
      <c r="C11" s="40">
        <v>46098</v>
      </c>
      <c r="D11" s="32">
        <v>3319</v>
      </c>
      <c r="E11" s="32">
        <v>327</v>
      </c>
      <c r="F11" s="32">
        <v>2</v>
      </c>
      <c r="G11" s="31">
        <v>1</v>
      </c>
      <c r="H11" s="31">
        <v>80700</v>
      </c>
      <c r="I11" s="31" t="s">
        <v>17</v>
      </c>
      <c r="J11" s="31">
        <v>79628481</v>
      </c>
      <c r="K11" s="80" t="s">
        <v>1273</v>
      </c>
      <c r="L11" s="18" t="s">
        <v>1279</v>
      </c>
      <c r="M11" s="41">
        <v>159900</v>
      </c>
      <c r="N11" s="30">
        <v>0.9</v>
      </c>
      <c r="O11" s="33">
        <f t="shared" si="0"/>
        <v>15989.999999999996</v>
      </c>
      <c r="P11" s="28" t="s">
        <v>0</v>
      </c>
    </row>
    <row r="12" spans="1:16" x14ac:dyDescent="0.3">
      <c r="A12" s="32" t="s">
        <v>3213</v>
      </c>
      <c r="B12" s="40">
        <v>46093</v>
      </c>
      <c r="C12" s="40">
        <v>46098</v>
      </c>
      <c r="D12" s="32">
        <v>3319</v>
      </c>
      <c r="E12" s="32">
        <v>327</v>
      </c>
      <c r="F12" s="32">
        <v>2</v>
      </c>
      <c r="G12" s="31">
        <v>1</v>
      </c>
      <c r="H12" s="31">
        <v>80700</v>
      </c>
      <c r="I12" s="31" t="s">
        <v>17</v>
      </c>
      <c r="J12" s="31">
        <v>79628490</v>
      </c>
      <c r="K12" s="80" t="s">
        <v>1273</v>
      </c>
      <c r="L12" s="18" t="s">
        <v>1280</v>
      </c>
      <c r="M12" s="41">
        <v>159900</v>
      </c>
      <c r="N12" s="30">
        <v>0.9</v>
      </c>
      <c r="O12" s="33">
        <f t="shared" si="0"/>
        <v>15989.999999999996</v>
      </c>
      <c r="P12" s="28" t="s">
        <v>0</v>
      </c>
    </row>
    <row r="13" spans="1:16" x14ac:dyDescent="0.3">
      <c r="A13" s="32" t="s">
        <v>3213</v>
      </c>
      <c r="B13" s="40">
        <v>46093</v>
      </c>
      <c r="C13" s="40">
        <v>46098</v>
      </c>
      <c r="D13" s="32">
        <v>3319</v>
      </c>
      <c r="E13" s="32">
        <v>327</v>
      </c>
      <c r="F13" s="32">
        <v>2</v>
      </c>
      <c r="G13" s="31">
        <v>1</v>
      </c>
      <c r="H13" s="31">
        <v>80700</v>
      </c>
      <c r="I13" s="31" t="s">
        <v>17</v>
      </c>
      <c r="J13" s="31">
        <v>79628507</v>
      </c>
      <c r="K13" s="80" t="s">
        <v>1273</v>
      </c>
      <c r="L13" s="18" t="s">
        <v>1281</v>
      </c>
      <c r="M13" s="41">
        <v>159900</v>
      </c>
      <c r="N13" s="30">
        <v>0.9</v>
      </c>
      <c r="O13" s="33">
        <f t="shared" si="0"/>
        <v>15989.999999999996</v>
      </c>
      <c r="P13" s="28" t="s">
        <v>0</v>
      </c>
    </row>
    <row r="14" spans="1:16" x14ac:dyDescent="0.3">
      <c r="A14" s="32" t="s">
        <v>3213</v>
      </c>
      <c r="B14" s="40">
        <v>46093</v>
      </c>
      <c r="C14" s="40">
        <v>46098</v>
      </c>
      <c r="D14" s="32">
        <v>3319</v>
      </c>
      <c r="E14" s="32">
        <v>327</v>
      </c>
      <c r="F14" s="32">
        <v>2</v>
      </c>
      <c r="G14" s="31">
        <v>1</v>
      </c>
      <c r="H14" s="31">
        <v>80700</v>
      </c>
      <c r="I14" s="31" t="s">
        <v>17</v>
      </c>
      <c r="J14" s="31">
        <v>80040568</v>
      </c>
      <c r="K14" s="80" t="s">
        <v>1282</v>
      </c>
      <c r="L14" s="18" t="s">
        <v>1283</v>
      </c>
      <c r="M14" s="41">
        <v>159900</v>
      </c>
      <c r="N14" s="30">
        <v>0.9</v>
      </c>
      <c r="O14" s="33">
        <f t="shared" si="0"/>
        <v>15989.999999999996</v>
      </c>
      <c r="P14" s="28" t="s">
        <v>0</v>
      </c>
    </row>
    <row r="15" spans="1:16" x14ac:dyDescent="0.3">
      <c r="A15" s="32" t="s">
        <v>3213</v>
      </c>
      <c r="B15" s="40">
        <v>46093</v>
      </c>
      <c r="C15" s="40">
        <v>46098</v>
      </c>
      <c r="D15" s="32">
        <v>3319</v>
      </c>
      <c r="E15" s="32">
        <v>327</v>
      </c>
      <c r="F15" s="32">
        <v>2</v>
      </c>
      <c r="G15" s="31">
        <v>1</v>
      </c>
      <c r="H15" s="31">
        <v>80700</v>
      </c>
      <c r="I15" s="31" t="s">
        <v>17</v>
      </c>
      <c r="J15" s="31">
        <v>80040559</v>
      </c>
      <c r="K15" s="80" t="s">
        <v>1282</v>
      </c>
      <c r="L15" s="18" t="s">
        <v>1284</v>
      </c>
      <c r="M15" s="41">
        <v>159900</v>
      </c>
      <c r="N15" s="30">
        <v>0.9</v>
      </c>
      <c r="O15" s="33">
        <f t="shared" si="0"/>
        <v>15989.999999999996</v>
      </c>
      <c r="P15" s="28" t="s">
        <v>0</v>
      </c>
    </row>
    <row r="16" spans="1:16" x14ac:dyDescent="0.3">
      <c r="A16" s="32" t="s">
        <v>3213</v>
      </c>
      <c r="B16" s="40">
        <v>46093</v>
      </c>
      <c r="C16" s="40">
        <v>46098</v>
      </c>
      <c r="D16" s="32">
        <v>3319</v>
      </c>
      <c r="E16" s="32">
        <v>327</v>
      </c>
      <c r="F16" s="32">
        <v>2</v>
      </c>
      <c r="G16" s="31">
        <v>1</v>
      </c>
      <c r="H16" s="31">
        <v>80700</v>
      </c>
      <c r="I16" s="31" t="s">
        <v>17</v>
      </c>
      <c r="J16" s="31">
        <v>80040540</v>
      </c>
      <c r="K16" s="80" t="s">
        <v>1282</v>
      </c>
      <c r="L16" s="18" t="s">
        <v>1285</v>
      </c>
      <c r="M16" s="41">
        <v>159900</v>
      </c>
      <c r="N16" s="30">
        <v>0.9</v>
      </c>
      <c r="O16" s="33">
        <f t="shared" si="0"/>
        <v>15989.999999999996</v>
      </c>
      <c r="P16" s="28" t="s">
        <v>0</v>
      </c>
    </row>
    <row r="17" spans="1:16" x14ac:dyDescent="0.3">
      <c r="A17" s="32" t="s">
        <v>3213</v>
      </c>
      <c r="B17" s="40">
        <v>46093</v>
      </c>
      <c r="C17" s="40">
        <v>46098</v>
      </c>
      <c r="D17" s="32">
        <v>3319</v>
      </c>
      <c r="E17" s="32">
        <v>327</v>
      </c>
      <c r="F17" s="32">
        <v>2</v>
      </c>
      <c r="G17" s="31">
        <v>1</v>
      </c>
      <c r="H17" s="31">
        <v>80700</v>
      </c>
      <c r="I17" s="31" t="s">
        <v>17</v>
      </c>
      <c r="J17" s="31">
        <v>80040531</v>
      </c>
      <c r="K17" s="80" t="s">
        <v>1282</v>
      </c>
      <c r="L17" s="18" t="s">
        <v>1286</v>
      </c>
      <c r="M17" s="41">
        <v>159900</v>
      </c>
      <c r="N17" s="30">
        <v>0.9</v>
      </c>
      <c r="O17" s="33">
        <f t="shared" si="0"/>
        <v>15989.999999999996</v>
      </c>
      <c r="P17" s="28" t="s">
        <v>0</v>
      </c>
    </row>
    <row r="18" spans="1:16" x14ac:dyDescent="0.3">
      <c r="A18" s="32" t="s">
        <v>3213</v>
      </c>
      <c r="B18" s="40">
        <v>46093</v>
      </c>
      <c r="C18" s="40">
        <v>46098</v>
      </c>
      <c r="D18" s="32">
        <v>3319</v>
      </c>
      <c r="E18" s="32">
        <v>327</v>
      </c>
      <c r="F18" s="32">
        <v>2</v>
      </c>
      <c r="G18" s="31">
        <v>1</v>
      </c>
      <c r="H18" s="31">
        <v>80700</v>
      </c>
      <c r="I18" s="31" t="s">
        <v>17</v>
      </c>
      <c r="J18" s="31">
        <v>80040497</v>
      </c>
      <c r="K18" s="80" t="s">
        <v>1282</v>
      </c>
      <c r="L18" s="18" t="s">
        <v>1287</v>
      </c>
      <c r="M18" s="41">
        <v>159900</v>
      </c>
      <c r="N18" s="30">
        <v>0.9</v>
      </c>
      <c r="O18" s="33">
        <f t="shared" si="0"/>
        <v>15989.999999999996</v>
      </c>
      <c r="P18" s="28" t="s">
        <v>0</v>
      </c>
    </row>
    <row r="19" spans="1:16" x14ac:dyDescent="0.3">
      <c r="A19" s="32" t="s">
        <v>3213</v>
      </c>
      <c r="B19" s="40">
        <v>46093</v>
      </c>
      <c r="C19" s="40">
        <v>46098</v>
      </c>
      <c r="D19" s="32">
        <v>3319</v>
      </c>
      <c r="E19" s="32">
        <v>327</v>
      </c>
      <c r="F19" s="32">
        <v>2</v>
      </c>
      <c r="G19" s="31">
        <v>1</v>
      </c>
      <c r="H19" s="31">
        <v>80700</v>
      </c>
      <c r="I19" s="31" t="s">
        <v>17</v>
      </c>
      <c r="J19" s="31">
        <v>80040504</v>
      </c>
      <c r="K19" s="80" t="s">
        <v>1282</v>
      </c>
      <c r="L19" s="18" t="s">
        <v>1288</v>
      </c>
      <c r="M19" s="41">
        <v>159900</v>
      </c>
      <c r="N19" s="30">
        <v>0.9</v>
      </c>
      <c r="O19" s="33">
        <f t="shared" si="0"/>
        <v>15989.999999999996</v>
      </c>
      <c r="P19" s="28" t="s">
        <v>0</v>
      </c>
    </row>
    <row r="20" spans="1:16" x14ac:dyDescent="0.3">
      <c r="A20" s="32" t="s">
        <v>3213</v>
      </c>
      <c r="B20" s="40">
        <v>46093</v>
      </c>
      <c r="C20" s="40">
        <v>46098</v>
      </c>
      <c r="D20" s="32">
        <v>3319</v>
      </c>
      <c r="E20" s="32">
        <v>327</v>
      </c>
      <c r="F20" s="32">
        <v>2</v>
      </c>
      <c r="G20" s="31">
        <v>1</v>
      </c>
      <c r="H20" s="31">
        <v>80700</v>
      </c>
      <c r="I20" s="31" t="s">
        <v>17</v>
      </c>
      <c r="J20" s="31">
        <v>80040513</v>
      </c>
      <c r="K20" s="80" t="s">
        <v>1282</v>
      </c>
      <c r="L20" s="18" t="s">
        <v>1289</v>
      </c>
      <c r="M20" s="41">
        <v>159900</v>
      </c>
      <c r="N20" s="30">
        <v>0.9</v>
      </c>
      <c r="O20" s="33">
        <f t="shared" si="0"/>
        <v>15989.999999999996</v>
      </c>
      <c r="P20" s="28" t="s">
        <v>0</v>
      </c>
    </row>
    <row r="21" spans="1:16" x14ac:dyDescent="0.3">
      <c r="A21" s="32" t="s">
        <v>3213</v>
      </c>
      <c r="B21" s="40">
        <v>46093</v>
      </c>
      <c r="C21" s="40">
        <v>46098</v>
      </c>
      <c r="D21" s="32">
        <v>3319</v>
      </c>
      <c r="E21" s="32">
        <v>327</v>
      </c>
      <c r="F21" s="32">
        <v>2</v>
      </c>
      <c r="G21" s="31">
        <v>1</v>
      </c>
      <c r="H21" s="31">
        <v>80700</v>
      </c>
      <c r="I21" s="31" t="s">
        <v>17</v>
      </c>
      <c r="J21" s="31">
        <v>80040522</v>
      </c>
      <c r="K21" s="80" t="s">
        <v>1282</v>
      </c>
      <c r="L21" s="18" t="s">
        <v>1290</v>
      </c>
      <c r="M21" s="41">
        <v>159900</v>
      </c>
      <c r="N21" s="30">
        <v>0.9</v>
      </c>
      <c r="O21" s="33">
        <f t="shared" si="0"/>
        <v>15989.999999999996</v>
      </c>
      <c r="P21" s="28" t="s">
        <v>0</v>
      </c>
    </row>
    <row r="22" spans="1:16" x14ac:dyDescent="0.3">
      <c r="A22" s="32" t="s">
        <v>3213</v>
      </c>
      <c r="B22" s="40">
        <v>46093</v>
      </c>
      <c r="C22" s="40">
        <v>46098</v>
      </c>
      <c r="D22" s="32">
        <v>3319</v>
      </c>
      <c r="E22" s="32">
        <v>327</v>
      </c>
      <c r="F22" s="32">
        <v>2</v>
      </c>
      <c r="G22" s="31">
        <v>1</v>
      </c>
      <c r="H22" s="31">
        <v>81778</v>
      </c>
      <c r="I22" s="31" t="s">
        <v>17</v>
      </c>
      <c r="J22" s="31">
        <v>78770097</v>
      </c>
      <c r="K22" s="80" t="s">
        <v>1291</v>
      </c>
      <c r="L22" s="18" t="s">
        <v>1292</v>
      </c>
      <c r="M22" s="41">
        <v>159900</v>
      </c>
      <c r="N22" s="30">
        <v>0.9</v>
      </c>
      <c r="O22" s="33">
        <f t="shared" si="0"/>
        <v>15989.999999999996</v>
      </c>
      <c r="P22" s="28" t="s">
        <v>0</v>
      </c>
    </row>
    <row r="23" spans="1:16" x14ac:dyDescent="0.3">
      <c r="A23" s="32" t="s">
        <v>3213</v>
      </c>
      <c r="B23" s="40">
        <v>46093</v>
      </c>
      <c r="C23" s="40">
        <v>46098</v>
      </c>
      <c r="D23" s="32">
        <v>3319</v>
      </c>
      <c r="E23" s="32">
        <v>327</v>
      </c>
      <c r="F23" s="32">
        <v>2</v>
      </c>
      <c r="G23" s="31">
        <v>1</v>
      </c>
      <c r="H23" s="31">
        <v>81778</v>
      </c>
      <c r="I23" s="31" t="s">
        <v>17</v>
      </c>
      <c r="J23" s="31">
        <v>78770104</v>
      </c>
      <c r="K23" s="80" t="s">
        <v>1291</v>
      </c>
      <c r="L23" s="18" t="s">
        <v>1293</v>
      </c>
      <c r="M23" s="41">
        <v>159900</v>
      </c>
      <c r="N23" s="30">
        <v>0.9</v>
      </c>
      <c r="O23" s="33">
        <f t="shared" si="0"/>
        <v>15989.999999999996</v>
      </c>
      <c r="P23" s="28" t="s">
        <v>0</v>
      </c>
    </row>
    <row r="24" spans="1:16" x14ac:dyDescent="0.3">
      <c r="A24" s="32" t="s">
        <v>3213</v>
      </c>
      <c r="B24" s="40">
        <v>46093</v>
      </c>
      <c r="C24" s="40">
        <v>46098</v>
      </c>
      <c r="D24" s="32">
        <v>3319</v>
      </c>
      <c r="E24" s="32">
        <v>327</v>
      </c>
      <c r="F24" s="32">
        <v>2</v>
      </c>
      <c r="G24" s="31">
        <v>1</v>
      </c>
      <c r="H24" s="31">
        <v>81778</v>
      </c>
      <c r="I24" s="31" t="s">
        <v>17</v>
      </c>
      <c r="J24" s="31">
        <v>78770113</v>
      </c>
      <c r="K24" s="80" t="s">
        <v>1291</v>
      </c>
      <c r="L24" s="18" t="s">
        <v>1294</v>
      </c>
      <c r="M24" s="41">
        <v>159900</v>
      </c>
      <c r="N24" s="30">
        <v>0.9</v>
      </c>
      <c r="O24" s="33">
        <f t="shared" si="0"/>
        <v>15989.999999999996</v>
      </c>
      <c r="P24" s="28" t="s">
        <v>0</v>
      </c>
    </row>
    <row r="25" spans="1:16" x14ac:dyDescent="0.3">
      <c r="A25" s="32" t="s">
        <v>3213</v>
      </c>
      <c r="B25" s="40">
        <v>46093</v>
      </c>
      <c r="C25" s="40">
        <v>46098</v>
      </c>
      <c r="D25" s="32">
        <v>3319</v>
      </c>
      <c r="E25" s="32">
        <v>327</v>
      </c>
      <c r="F25" s="32">
        <v>2</v>
      </c>
      <c r="G25" s="31">
        <v>1</v>
      </c>
      <c r="H25" s="31">
        <v>81778</v>
      </c>
      <c r="I25" s="31" t="s">
        <v>17</v>
      </c>
      <c r="J25" s="31">
        <v>78770122</v>
      </c>
      <c r="K25" s="80" t="s">
        <v>1291</v>
      </c>
      <c r="L25" s="18" t="s">
        <v>1295</v>
      </c>
      <c r="M25" s="41">
        <v>159900</v>
      </c>
      <c r="N25" s="30">
        <v>0.9</v>
      </c>
      <c r="O25" s="33">
        <f t="shared" si="0"/>
        <v>15989.999999999996</v>
      </c>
      <c r="P25" s="28" t="s">
        <v>0</v>
      </c>
    </row>
    <row r="26" spans="1:16" x14ac:dyDescent="0.3">
      <c r="A26" s="32" t="s">
        <v>3213</v>
      </c>
      <c r="B26" s="40">
        <v>46093</v>
      </c>
      <c r="C26" s="40">
        <v>46098</v>
      </c>
      <c r="D26" s="32">
        <v>3319</v>
      </c>
      <c r="E26" s="32">
        <v>327</v>
      </c>
      <c r="F26" s="32">
        <v>2</v>
      </c>
      <c r="G26" s="31">
        <v>1</v>
      </c>
      <c r="H26" s="31">
        <v>81778</v>
      </c>
      <c r="I26" s="31" t="s">
        <v>17</v>
      </c>
      <c r="J26" s="31">
        <v>78770131</v>
      </c>
      <c r="K26" s="80" t="s">
        <v>1291</v>
      </c>
      <c r="L26" s="18" t="s">
        <v>1296</v>
      </c>
      <c r="M26" s="41">
        <v>159900</v>
      </c>
      <c r="N26" s="30">
        <v>0.9</v>
      </c>
      <c r="O26" s="33">
        <f t="shared" si="0"/>
        <v>15989.999999999996</v>
      </c>
      <c r="P26" s="28" t="s">
        <v>0</v>
      </c>
    </row>
    <row r="27" spans="1:16" x14ac:dyDescent="0.3">
      <c r="A27" s="32" t="s">
        <v>3213</v>
      </c>
      <c r="B27" s="40">
        <v>46093</v>
      </c>
      <c r="C27" s="40">
        <v>46098</v>
      </c>
      <c r="D27" s="32">
        <v>3319</v>
      </c>
      <c r="E27" s="32">
        <v>327</v>
      </c>
      <c r="F27" s="32">
        <v>2</v>
      </c>
      <c r="G27" s="31">
        <v>1</v>
      </c>
      <c r="H27" s="31">
        <v>81778</v>
      </c>
      <c r="I27" s="31" t="s">
        <v>17</v>
      </c>
      <c r="J27" s="31">
        <v>78770140</v>
      </c>
      <c r="K27" s="80" t="s">
        <v>1297</v>
      </c>
      <c r="L27" s="18" t="s">
        <v>1298</v>
      </c>
      <c r="M27" s="41">
        <v>159900</v>
      </c>
      <c r="N27" s="30">
        <v>0.9</v>
      </c>
      <c r="O27" s="33">
        <f t="shared" si="0"/>
        <v>15989.999999999996</v>
      </c>
      <c r="P27" s="28" t="s">
        <v>0</v>
      </c>
    </row>
    <row r="28" spans="1:16" x14ac:dyDescent="0.3">
      <c r="A28" s="32" t="s">
        <v>3213</v>
      </c>
      <c r="B28" s="40">
        <v>46093</v>
      </c>
      <c r="C28" s="40">
        <v>46098</v>
      </c>
      <c r="D28" s="32">
        <v>3319</v>
      </c>
      <c r="E28" s="32">
        <v>327</v>
      </c>
      <c r="F28" s="32">
        <v>2</v>
      </c>
      <c r="G28" s="31">
        <v>1</v>
      </c>
      <c r="H28" s="31">
        <v>81778</v>
      </c>
      <c r="I28" s="31" t="s">
        <v>17</v>
      </c>
      <c r="J28" s="31">
        <v>78770159</v>
      </c>
      <c r="K28" s="80" t="s">
        <v>1297</v>
      </c>
      <c r="L28" s="18" t="s">
        <v>1299</v>
      </c>
      <c r="M28" s="41">
        <v>159900</v>
      </c>
      <c r="N28" s="30">
        <v>0.9</v>
      </c>
      <c r="O28" s="33">
        <f t="shared" si="0"/>
        <v>15989.999999999996</v>
      </c>
      <c r="P28" s="28" t="s">
        <v>0</v>
      </c>
    </row>
    <row r="29" spans="1:16" x14ac:dyDescent="0.3">
      <c r="A29" s="32" t="s">
        <v>3213</v>
      </c>
      <c r="B29" s="40">
        <v>46093</v>
      </c>
      <c r="C29" s="40">
        <v>46098</v>
      </c>
      <c r="D29" s="32">
        <v>3319</v>
      </c>
      <c r="E29" s="32">
        <v>327</v>
      </c>
      <c r="F29" s="32">
        <v>2</v>
      </c>
      <c r="G29" s="31">
        <v>1</v>
      </c>
      <c r="H29" s="31">
        <v>81778</v>
      </c>
      <c r="I29" s="31" t="s">
        <v>17</v>
      </c>
      <c r="J29" s="31">
        <v>78770168</v>
      </c>
      <c r="K29" s="80" t="s">
        <v>1297</v>
      </c>
      <c r="L29" s="18" t="s">
        <v>1300</v>
      </c>
      <c r="M29" s="41">
        <v>159900</v>
      </c>
      <c r="N29" s="30">
        <v>0.9</v>
      </c>
      <c r="O29" s="33">
        <f t="shared" si="0"/>
        <v>15989.999999999996</v>
      </c>
      <c r="P29" s="28" t="s">
        <v>0</v>
      </c>
    </row>
    <row r="30" spans="1:16" x14ac:dyDescent="0.3">
      <c r="A30" s="32" t="s">
        <v>3213</v>
      </c>
      <c r="B30" s="40">
        <v>46093</v>
      </c>
      <c r="C30" s="40">
        <v>46098</v>
      </c>
      <c r="D30" s="32">
        <v>3319</v>
      </c>
      <c r="E30" s="32">
        <v>327</v>
      </c>
      <c r="F30" s="32">
        <v>2</v>
      </c>
      <c r="G30" s="31">
        <v>1</v>
      </c>
      <c r="H30" s="31">
        <v>81778</v>
      </c>
      <c r="I30" s="31" t="s">
        <v>17</v>
      </c>
      <c r="J30" s="31">
        <v>78770177</v>
      </c>
      <c r="K30" s="80" t="s">
        <v>1297</v>
      </c>
      <c r="L30" s="18" t="s">
        <v>1301</v>
      </c>
      <c r="M30" s="41">
        <v>159900</v>
      </c>
      <c r="N30" s="30">
        <v>0.9</v>
      </c>
      <c r="O30" s="33">
        <f t="shared" si="0"/>
        <v>15989.999999999996</v>
      </c>
      <c r="P30" s="28" t="s">
        <v>0</v>
      </c>
    </row>
    <row r="31" spans="1:16" x14ac:dyDescent="0.3">
      <c r="A31" s="32" t="s">
        <v>3213</v>
      </c>
      <c r="B31" s="40">
        <v>46093</v>
      </c>
      <c r="C31" s="40">
        <v>46098</v>
      </c>
      <c r="D31" s="32">
        <v>3319</v>
      </c>
      <c r="E31" s="32">
        <v>327</v>
      </c>
      <c r="F31" s="32">
        <v>2</v>
      </c>
      <c r="G31" s="31">
        <v>1</v>
      </c>
      <c r="H31" s="31">
        <v>81778</v>
      </c>
      <c r="I31" s="31" t="s">
        <v>17</v>
      </c>
      <c r="J31" s="31">
        <v>78770186</v>
      </c>
      <c r="K31" s="80" t="s">
        <v>1297</v>
      </c>
      <c r="L31" s="18" t="s">
        <v>1302</v>
      </c>
      <c r="M31" s="41">
        <v>159900</v>
      </c>
      <c r="N31" s="30">
        <v>0.9</v>
      </c>
      <c r="O31" s="33">
        <f t="shared" si="0"/>
        <v>15989.999999999996</v>
      </c>
      <c r="P31" s="28" t="s">
        <v>0</v>
      </c>
    </row>
    <row r="32" spans="1:16" x14ac:dyDescent="0.3">
      <c r="A32" s="32" t="s">
        <v>3213</v>
      </c>
      <c r="B32" s="40">
        <v>46093</v>
      </c>
      <c r="C32" s="40">
        <v>46098</v>
      </c>
      <c r="D32" s="32">
        <v>3319</v>
      </c>
      <c r="E32" s="32">
        <v>327</v>
      </c>
      <c r="F32" s="32">
        <v>2</v>
      </c>
      <c r="G32" s="31">
        <v>1</v>
      </c>
      <c r="H32" s="31">
        <v>81433</v>
      </c>
      <c r="I32" s="31" t="s">
        <v>17</v>
      </c>
      <c r="J32" s="31">
        <v>79676438</v>
      </c>
      <c r="K32" s="80" t="s">
        <v>1303</v>
      </c>
      <c r="L32" s="18" t="s">
        <v>1304</v>
      </c>
      <c r="M32" s="41">
        <v>219900</v>
      </c>
      <c r="N32" s="30">
        <v>0.9</v>
      </c>
      <c r="O32" s="33">
        <f t="shared" si="0"/>
        <v>21989.999999999996</v>
      </c>
      <c r="P32" s="28" t="s">
        <v>0</v>
      </c>
    </row>
    <row r="33" spans="1:16" x14ac:dyDescent="0.3">
      <c r="A33" s="32" t="s">
        <v>3213</v>
      </c>
      <c r="B33" s="40">
        <v>46093</v>
      </c>
      <c r="C33" s="40">
        <v>46098</v>
      </c>
      <c r="D33" s="32">
        <v>3319</v>
      </c>
      <c r="E33" s="32">
        <v>327</v>
      </c>
      <c r="F33" s="32">
        <v>2</v>
      </c>
      <c r="G33" s="31">
        <v>1</v>
      </c>
      <c r="H33" s="31">
        <v>81433</v>
      </c>
      <c r="I33" s="31" t="s">
        <v>17</v>
      </c>
      <c r="J33" s="31">
        <v>79676447</v>
      </c>
      <c r="K33" s="80" t="s">
        <v>1303</v>
      </c>
      <c r="L33" s="18" t="s">
        <v>1305</v>
      </c>
      <c r="M33" s="41">
        <v>219900</v>
      </c>
      <c r="N33" s="30">
        <v>0.9</v>
      </c>
      <c r="O33" s="33">
        <f t="shared" si="0"/>
        <v>21989.999999999996</v>
      </c>
      <c r="P33" s="28" t="s">
        <v>0</v>
      </c>
    </row>
    <row r="34" spans="1:16" x14ac:dyDescent="0.3">
      <c r="A34" s="32" t="s">
        <v>3213</v>
      </c>
      <c r="B34" s="40">
        <v>46093</v>
      </c>
      <c r="C34" s="40">
        <v>46098</v>
      </c>
      <c r="D34" s="32">
        <v>3319</v>
      </c>
      <c r="E34" s="32">
        <v>327</v>
      </c>
      <c r="F34" s="32">
        <v>2</v>
      </c>
      <c r="G34" s="31">
        <v>1</v>
      </c>
      <c r="H34" s="31">
        <v>81433</v>
      </c>
      <c r="I34" s="31" t="s">
        <v>17</v>
      </c>
      <c r="J34" s="31">
        <v>79676456</v>
      </c>
      <c r="K34" s="80" t="s">
        <v>1303</v>
      </c>
      <c r="L34" s="18" t="s">
        <v>1306</v>
      </c>
      <c r="M34" s="41">
        <v>219900</v>
      </c>
      <c r="N34" s="30">
        <v>0.9</v>
      </c>
      <c r="O34" s="33">
        <f t="shared" si="0"/>
        <v>21989.999999999996</v>
      </c>
      <c r="P34" s="28" t="s">
        <v>0</v>
      </c>
    </row>
    <row r="35" spans="1:16" x14ac:dyDescent="0.3">
      <c r="A35" s="32" t="s">
        <v>3213</v>
      </c>
      <c r="B35" s="40">
        <v>46093</v>
      </c>
      <c r="C35" s="40">
        <v>46098</v>
      </c>
      <c r="D35" s="32">
        <v>3319</v>
      </c>
      <c r="E35" s="32">
        <v>327</v>
      </c>
      <c r="F35" s="32">
        <v>2</v>
      </c>
      <c r="G35" s="31">
        <v>1</v>
      </c>
      <c r="H35" s="31">
        <v>81433</v>
      </c>
      <c r="I35" s="31" t="s">
        <v>17</v>
      </c>
      <c r="J35" s="31">
        <v>79676465</v>
      </c>
      <c r="K35" s="80" t="s">
        <v>1303</v>
      </c>
      <c r="L35" s="18" t="s">
        <v>1307</v>
      </c>
      <c r="M35" s="41">
        <v>219900</v>
      </c>
      <c r="N35" s="30">
        <v>0.9</v>
      </c>
      <c r="O35" s="33">
        <f t="shared" si="0"/>
        <v>21989.999999999996</v>
      </c>
      <c r="P35" s="28" t="s">
        <v>0</v>
      </c>
    </row>
    <row r="36" spans="1:16" x14ac:dyDescent="0.3">
      <c r="A36" s="32" t="s">
        <v>3213</v>
      </c>
      <c r="B36" s="40">
        <v>46093</v>
      </c>
      <c r="C36" s="40">
        <v>46098</v>
      </c>
      <c r="D36" s="32">
        <v>3319</v>
      </c>
      <c r="E36" s="32">
        <v>327</v>
      </c>
      <c r="F36" s="32">
        <v>2</v>
      </c>
      <c r="G36" s="31">
        <v>1</v>
      </c>
      <c r="H36" s="31">
        <v>81433</v>
      </c>
      <c r="I36" s="31" t="s">
        <v>17</v>
      </c>
      <c r="J36" s="31">
        <v>79676474</v>
      </c>
      <c r="K36" s="80" t="s">
        <v>1303</v>
      </c>
      <c r="L36" s="18" t="s">
        <v>1308</v>
      </c>
      <c r="M36" s="41">
        <v>219900</v>
      </c>
      <c r="N36" s="30">
        <v>0.9</v>
      </c>
      <c r="O36" s="33">
        <f t="shared" si="0"/>
        <v>21989.999999999996</v>
      </c>
      <c r="P36" s="28" t="s">
        <v>0</v>
      </c>
    </row>
    <row r="37" spans="1:16" x14ac:dyDescent="0.3">
      <c r="A37" s="32" t="s">
        <v>3213</v>
      </c>
      <c r="B37" s="40">
        <v>46093</v>
      </c>
      <c r="C37" s="40">
        <v>46098</v>
      </c>
      <c r="D37" s="32">
        <v>3319</v>
      </c>
      <c r="E37" s="32">
        <v>327</v>
      </c>
      <c r="F37" s="32">
        <v>2</v>
      </c>
      <c r="G37" s="31">
        <v>1</v>
      </c>
      <c r="H37" s="31">
        <v>81433</v>
      </c>
      <c r="I37" s="31" t="s">
        <v>17</v>
      </c>
      <c r="J37" s="31">
        <v>79676483</v>
      </c>
      <c r="K37" s="80" t="s">
        <v>1303</v>
      </c>
      <c r="L37" s="18" t="s">
        <v>1309</v>
      </c>
      <c r="M37" s="41">
        <v>219900</v>
      </c>
      <c r="N37" s="30">
        <v>0.9</v>
      </c>
      <c r="O37" s="33">
        <f t="shared" si="0"/>
        <v>21989.999999999996</v>
      </c>
      <c r="P37" s="28" t="s">
        <v>0</v>
      </c>
    </row>
    <row r="38" spans="1:16" x14ac:dyDescent="0.3">
      <c r="A38" s="32" t="s">
        <v>3213</v>
      </c>
      <c r="B38" s="40">
        <v>46093</v>
      </c>
      <c r="C38" s="40">
        <v>46098</v>
      </c>
      <c r="D38" s="32">
        <v>3319</v>
      </c>
      <c r="E38" s="32">
        <v>327</v>
      </c>
      <c r="F38" s="32">
        <v>2</v>
      </c>
      <c r="G38" s="31">
        <v>1</v>
      </c>
      <c r="H38" s="31">
        <v>81433</v>
      </c>
      <c r="I38" s="31" t="s">
        <v>17</v>
      </c>
      <c r="J38" s="31">
        <v>79676492</v>
      </c>
      <c r="K38" s="80" t="s">
        <v>1303</v>
      </c>
      <c r="L38" s="18" t="s">
        <v>1310</v>
      </c>
      <c r="M38" s="41">
        <v>219900</v>
      </c>
      <c r="N38" s="30">
        <v>0.9</v>
      </c>
      <c r="O38" s="33">
        <f t="shared" si="0"/>
        <v>21989.999999999996</v>
      </c>
      <c r="P38" s="28" t="s">
        <v>0</v>
      </c>
    </row>
    <row r="39" spans="1:16" x14ac:dyDescent="0.3">
      <c r="A39" s="32" t="s">
        <v>3213</v>
      </c>
      <c r="B39" s="40">
        <v>46093</v>
      </c>
      <c r="C39" s="40">
        <v>46098</v>
      </c>
      <c r="D39" s="32">
        <v>3319</v>
      </c>
      <c r="E39" s="32">
        <v>327</v>
      </c>
      <c r="F39" s="32">
        <v>2</v>
      </c>
      <c r="G39" s="31">
        <v>1</v>
      </c>
      <c r="H39" s="31">
        <v>81433</v>
      </c>
      <c r="I39" s="31" t="s">
        <v>17</v>
      </c>
      <c r="J39" s="31">
        <v>79676509</v>
      </c>
      <c r="K39" s="80" t="s">
        <v>1303</v>
      </c>
      <c r="L39" s="18" t="s">
        <v>1311</v>
      </c>
      <c r="M39" s="41">
        <v>219900</v>
      </c>
      <c r="N39" s="30">
        <v>0.9</v>
      </c>
      <c r="O39" s="33">
        <f t="shared" si="0"/>
        <v>21989.999999999996</v>
      </c>
      <c r="P39" s="28" t="s">
        <v>0</v>
      </c>
    </row>
    <row r="40" spans="1:16" x14ac:dyDescent="0.3">
      <c r="A40" s="32" t="s">
        <v>3213</v>
      </c>
      <c r="B40" s="40">
        <v>46093</v>
      </c>
      <c r="C40" s="40">
        <v>46098</v>
      </c>
      <c r="D40" s="32">
        <v>3319</v>
      </c>
      <c r="E40" s="32">
        <v>327</v>
      </c>
      <c r="F40" s="32">
        <v>2</v>
      </c>
      <c r="G40" s="31">
        <v>1</v>
      </c>
      <c r="H40" s="31">
        <v>81433</v>
      </c>
      <c r="I40" s="31" t="s">
        <v>17</v>
      </c>
      <c r="J40" s="31">
        <v>79676518</v>
      </c>
      <c r="K40" s="80" t="s">
        <v>1303</v>
      </c>
      <c r="L40" s="18" t="s">
        <v>1312</v>
      </c>
      <c r="M40" s="41">
        <v>219900</v>
      </c>
      <c r="N40" s="30">
        <v>0.9</v>
      </c>
      <c r="O40" s="33">
        <f t="shared" si="0"/>
        <v>21989.999999999996</v>
      </c>
      <c r="P40" s="28" t="s">
        <v>0</v>
      </c>
    </row>
    <row r="41" spans="1:16" x14ac:dyDescent="0.3">
      <c r="A41" s="32" t="s">
        <v>3213</v>
      </c>
      <c r="B41" s="40">
        <v>46093</v>
      </c>
      <c r="C41" s="40">
        <v>46098</v>
      </c>
      <c r="D41" s="32">
        <v>3319</v>
      </c>
      <c r="E41" s="32">
        <v>327</v>
      </c>
      <c r="F41" s="32">
        <v>2</v>
      </c>
      <c r="G41" s="31">
        <v>1</v>
      </c>
      <c r="H41" s="31">
        <v>81433</v>
      </c>
      <c r="I41" s="31" t="s">
        <v>17</v>
      </c>
      <c r="J41" s="31">
        <v>79676527</v>
      </c>
      <c r="K41" s="80" t="s">
        <v>1303</v>
      </c>
      <c r="L41" s="18" t="s">
        <v>1313</v>
      </c>
      <c r="M41" s="41">
        <v>219900</v>
      </c>
      <c r="N41" s="30">
        <v>0.9</v>
      </c>
      <c r="O41" s="33">
        <f t="shared" si="0"/>
        <v>21989.999999999996</v>
      </c>
      <c r="P41" s="28" t="s">
        <v>0</v>
      </c>
    </row>
    <row r="42" spans="1:16" x14ac:dyDescent="0.3">
      <c r="A42" s="32" t="s">
        <v>3213</v>
      </c>
      <c r="B42" s="40">
        <v>46093</v>
      </c>
      <c r="C42" s="40">
        <v>46098</v>
      </c>
      <c r="D42" s="32">
        <v>3319</v>
      </c>
      <c r="E42" s="32">
        <v>327</v>
      </c>
      <c r="F42" s="32">
        <v>2</v>
      </c>
      <c r="G42" s="31">
        <v>1</v>
      </c>
      <c r="H42" s="31">
        <v>81433</v>
      </c>
      <c r="I42" s="31" t="s">
        <v>17</v>
      </c>
      <c r="J42" s="31">
        <v>79676536</v>
      </c>
      <c r="K42" s="80" t="s">
        <v>1314</v>
      </c>
      <c r="L42" s="18" t="s">
        <v>1315</v>
      </c>
      <c r="M42" s="41">
        <v>219900</v>
      </c>
      <c r="N42" s="30">
        <v>0.9</v>
      </c>
      <c r="O42" s="33">
        <f t="shared" si="0"/>
        <v>21989.999999999996</v>
      </c>
      <c r="P42" s="28" t="s">
        <v>0</v>
      </c>
    </row>
    <row r="43" spans="1:16" x14ac:dyDescent="0.3">
      <c r="A43" s="32" t="s">
        <v>3213</v>
      </c>
      <c r="B43" s="40">
        <v>46093</v>
      </c>
      <c r="C43" s="40">
        <v>46098</v>
      </c>
      <c r="D43" s="32">
        <v>3319</v>
      </c>
      <c r="E43" s="32">
        <v>327</v>
      </c>
      <c r="F43" s="32">
        <v>2</v>
      </c>
      <c r="G43" s="31">
        <v>1</v>
      </c>
      <c r="H43" s="31">
        <v>81433</v>
      </c>
      <c r="I43" s="31" t="s">
        <v>17</v>
      </c>
      <c r="J43" s="31">
        <v>79676545</v>
      </c>
      <c r="K43" s="80" t="s">
        <v>1314</v>
      </c>
      <c r="L43" s="18" t="s">
        <v>1316</v>
      </c>
      <c r="M43" s="41">
        <v>219900</v>
      </c>
      <c r="N43" s="30">
        <v>0.9</v>
      </c>
      <c r="O43" s="33">
        <f t="shared" si="0"/>
        <v>21989.999999999996</v>
      </c>
      <c r="P43" s="28" t="s">
        <v>0</v>
      </c>
    </row>
    <row r="44" spans="1:16" x14ac:dyDescent="0.3">
      <c r="A44" s="32" t="s">
        <v>3213</v>
      </c>
      <c r="B44" s="40">
        <v>46093</v>
      </c>
      <c r="C44" s="40">
        <v>46098</v>
      </c>
      <c r="D44" s="32">
        <v>3319</v>
      </c>
      <c r="E44" s="32">
        <v>327</v>
      </c>
      <c r="F44" s="32">
        <v>2</v>
      </c>
      <c r="G44" s="31">
        <v>1</v>
      </c>
      <c r="H44" s="31">
        <v>81433</v>
      </c>
      <c r="I44" s="31" t="s">
        <v>17</v>
      </c>
      <c r="J44" s="31">
        <v>79676554</v>
      </c>
      <c r="K44" s="80" t="s">
        <v>1314</v>
      </c>
      <c r="L44" s="18" t="s">
        <v>1317</v>
      </c>
      <c r="M44" s="41">
        <v>219900</v>
      </c>
      <c r="N44" s="30">
        <v>0.9</v>
      </c>
      <c r="O44" s="33">
        <f t="shared" si="0"/>
        <v>21989.999999999996</v>
      </c>
      <c r="P44" s="28" t="s">
        <v>0</v>
      </c>
    </row>
    <row r="45" spans="1:16" x14ac:dyDescent="0.3">
      <c r="A45" s="32" t="s">
        <v>3213</v>
      </c>
      <c r="B45" s="40">
        <v>46093</v>
      </c>
      <c r="C45" s="40">
        <v>46098</v>
      </c>
      <c r="D45" s="32">
        <v>3319</v>
      </c>
      <c r="E45" s="32">
        <v>327</v>
      </c>
      <c r="F45" s="32">
        <v>2</v>
      </c>
      <c r="G45" s="31">
        <v>1</v>
      </c>
      <c r="H45" s="31">
        <v>81433</v>
      </c>
      <c r="I45" s="31" t="s">
        <v>17</v>
      </c>
      <c r="J45" s="31">
        <v>79676563</v>
      </c>
      <c r="K45" s="80" t="s">
        <v>1314</v>
      </c>
      <c r="L45" s="18" t="s">
        <v>1318</v>
      </c>
      <c r="M45" s="41">
        <v>219900</v>
      </c>
      <c r="N45" s="30">
        <v>0.9</v>
      </c>
      <c r="O45" s="33">
        <f t="shared" si="0"/>
        <v>21989.999999999996</v>
      </c>
      <c r="P45" s="28" t="s">
        <v>0</v>
      </c>
    </row>
    <row r="46" spans="1:16" x14ac:dyDescent="0.3">
      <c r="A46" s="32" t="s">
        <v>3213</v>
      </c>
      <c r="B46" s="40">
        <v>46093</v>
      </c>
      <c r="C46" s="40">
        <v>46098</v>
      </c>
      <c r="D46" s="32">
        <v>3319</v>
      </c>
      <c r="E46" s="32">
        <v>327</v>
      </c>
      <c r="F46" s="32">
        <v>2</v>
      </c>
      <c r="G46" s="31">
        <v>1</v>
      </c>
      <c r="H46" s="31">
        <v>81433</v>
      </c>
      <c r="I46" s="31" t="s">
        <v>17</v>
      </c>
      <c r="J46" s="31">
        <v>79676572</v>
      </c>
      <c r="K46" s="80" t="s">
        <v>1314</v>
      </c>
      <c r="L46" s="18" t="s">
        <v>1319</v>
      </c>
      <c r="M46" s="41">
        <v>219900</v>
      </c>
      <c r="N46" s="30">
        <v>0.9</v>
      </c>
      <c r="O46" s="33">
        <f t="shared" si="0"/>
        <v>21989.999999999996</v>
      </c>
      <c r="P46" s="28" t="s">
        <v>0</v>
      </c>
    </row>
    <row r="47" spans="1:16" x14ac:dyDescent="0.3">
      <c r="A47" s="32" t="s">
        <v>3213</v>
      </c>
      <c r="B47" s="40">
        <v>46093</v>
      </c>
      <c r="C47" s="40">
        <v>46098</v>
      </c>
      <c r="D47" s="32">
        <v>3319</v>
      </c>
      <c r="E47" s="32">
        <v>327</v>
      </c>
      <c r="F47" s="32">
        <v>2</v>
      </c>
      <c r="G47" s="31">
        <v>1</v>
      </c>
      <c r="H47" s="31">
        <v>81433</v>
      </c>
      <c r="I47" s="31" t="s">
        <v>17</v>
      </c>
      <c r="J47" s="31">
        <v>79676581</v>
      </c>
      <c r="K47" s="80" t="s">
        <v>1314</v>
      </c>
      <c r="L47" s="18" t="s">
        <v>1320</v>
      </c>
      <c r="M47" s="41">
        <v>219900</v>
      </c>
      <c r="N47" s="30">
        <v>0.9</v>
      </c>
      <c r="O47" s="33">
        <f t="shared" si="0"/>
        <v>21989.999999999996</v>
      </c>
      <c r="P47" s="28" t="s">
        <v>0</v>
      </c>
    </row>
    <row r="48" spans="1:16" x14ac:dyDescent="0.3">
      <c r="A48" s="32" t="s">
        <v>3213</v>
      </c>
      <c r="B48" s="40">
        <v>46093</v>
      </c>
      <c r="C48" s="40">
        <v>46098</v>
      </c>
      <c r="D48" s="32">
        <v>3319</v>
      </c>
      <c r="E48" s="32">
        <v>327</v>
      </c>
      <c r="F48" s="32">
        <v>2</v>
      </c>
      <c r="G48" s="31">
        <v>1</v>
      </c>
      <c r="H48" s="31">
        <v>81433</v>
      </c>
      <c r="I48" s="31" t="s">
        <v>17</v>
      </c>
      <c r="J48" s="31">
        <v>79676590</v>
      </c>
      <c r="K48" s="80" t="s">
        <v>1314</v>
      </c>
      <c r="L48" s="18" t="s">
        <v>1321</v>
      </c>
      <c r="M48" s="41">
        <v>219900</v>
      </c>
      <c r="N48" s="30">
        <v>0.9</v>
      </c>
      <c r="O48" s="33">
        <f t="shared" si="0"/>
        <v>21989.999999999996</v>
      </c>
      <c r="P48" s="28" t="s">
        <v>0</v>
      </c>
    </row>
    <row r="49" spans="1:16" x14ac:dyDescent="0.3">
      <c r="A49" s="32" t="s">
        <v>3213</v>
      </c>
      <c r="B49" s="40">
        <v>46093</v>
      </c>
      <c r="C49" s="40">
        <v>46098</v>
      </c>
      <c r="D49" s="32">
        <v>3319</v>
      </c>
      <c r="E49" s="32">
        <v>327</v>
      </c>
      <c r="F49" s="32">
        <v>2</v>
      </c>
      <c r="G49" s="31">
        <v>1</v>
      </c>
      <c r="H49" s="31">
        <v>81433</v>
      </c>
      <c r="I49" s="31" t="s">
        <v>17</v>
      </c>
      <c r="J49" s="31">
        <v>79676607</v>
      </c>
      <c r="K49" s="80" t="s">
        <v>1314</v>
      </c>
      <c r="L49" s="18" t="s">
        <v>1322</v>
      </c>
      <c r="M49" s="41">
        <v>219900</v>
      </c>
      <c r="N49" s="30">
        <v>0.9</v>
      </c>
      <c r="O49" s="33">
        <f t="shared" si="0"/>
        <v>21989.999999999996</v>
      </c>
      <c r="P49" s="28" t="s">
        <v>0</v>
      </c>
    </row>
    <row r="50" spans="1:16" x14ac:dyDescent="0.3">
      <c r="A50" s="32" t="s">
        <v>3213</v>
      </c>
      <c r="B50" s="40">
        <v>46093</v>
      </c>
      <c r="C50" s="40">
        <v>46098</v>
      </c>
      <c r="D50" s="32">
        <v>3319</v>
      </c>
      <c r="E50" s="32">
        <v>327</v>
      </c>
      <c r="F50" s="32">
        <v>2</v>
      </c>
      <c r="G50" s="31">
        <v>1</v>
      </c>
      <c r="H50" s="31">
        <v>81433</v>
      </c>
      <c r="I50" s="31" t="s">
        <v>17</v>
      </c>
      <c r="J50" s="31">
        <v>79676616</v>
      </c>
      <c r="K50" s="80" t="s">
        <v>1314</v>
      </c>
      <c r="L50" s="18" t="s">
        <v>1323</v>
      </c>
      <c r="M50" s="41">
        <v>219900</v>
      </c>
      <c r="N50" s="30">
        <v>0.9</v>
      </c>
      <c r="O50" s="33">
        <f t="shared" si="0"/>
        <v>21989.999999999996</v>
      </c>
      <c r="P50" s="28" t="s">
        <v>0</v>
      </c>
    </row>
    <row r="51" spans="1:16" x14ac:dyDescent="0.3">
      <c r="A51" s="32" t="s">
        <v>3213</v>
      </c>
      <c r="B51" s="40">
        <v>46093</v>
      </c>
      <c r="C51" s="40">
        <v>46098</v>
      </c>
      <c r="D51" s="32">
        <v>3319</v>
      </c>
      <c r="E51" s="32">
        <v>327</v>
      </c>
      <c r="F51" s="32">
        <v>2</v>
      </c>
      <c r="G51" s="31">
        <v>1</v>
      </c>
      <c r="H51" s="31">
        <v>81433</v>
      </c>
      <c r="I51" s="31" t="s">
        <v>17</v>
      </c>
      <c r="J51" s="31">
        <v>79676625</v>
      </c>
      <c r="K51" s="80" t="s">
        <v>1314</v>
      </c>
      <c r="L51" s="18" t="s">
        <v>1324</v>
      </c>
      <c r="M51" s="41">
        <v>219900</v>
      </c>
      <c r="N51" s="30">
        <v>0.9</v>
      </c>
      <c r="O51" s="33">
        <f t="shared" si="0"/>
        <v>21989.999999999996</v>
      </c>
      <c r="P51" s="28" t="s">
        <v>0</v>
      </c>
    </row>
    <row r="52" spans="1:16" x14ac:dyDescent="0.3">
      <c r="A52" s="32" t="s">
        <v>3213</v>
      </c>
      <c r="B52" s="40">
        <v>46093</v>
      </c>
      <c r="C52" s="40">
        <v>46098</v>
      </c>
      <c r="D52" s="32">
        <v>3319</v>
      </c>
      <c r="E52" s="32">
        <v>327</v>
      </c>
      <c r="F52" s="32">
        <v>2</v>
      </c>
      <c r="G52" s="31">
        <v>1</v>
      </c>
      <c r="H52" s="31">
        <v>81778</v>
      </c>
      <c r="I52" s="31" t="s">
        <v>17</v>
      </c>
      <c r="J52" s="31">
        <v>78770597</v>
      </c>
      <c r="K52" s="80" t="s">
        <v>1325</v>
      </c>
      <c r="L52" s="18" t="s">
        <v>1326</v>
      </c>
      <c r="M52" s="41">
        <v>219900</v>
      </c>
      <c r="N52" s="30">
        <v>0.9</v>
      </c>
      <c r="O52" s="33">
        <f t="shared" si="0"/>
        <v>21989.999999999996</v>
      </c>
      <c r="P52" s="28" t="s">
        <v>0</v>
      </c>
    </row>
    <row r="53" spans="1:16" x14ac:dyDescent="0.3">
      <c r="A53" s="32" t="s">
        <v>3213</v>
      </c>
      <c r="B53" s="40">
        <v>46093</v>
      </c>
      <c r="C53" s="40">
        <v>46098</v>
      </c>
      <c r="D53" s="32">
        <v>3319</v>
      </c>
      <c r="E53" s="32">
        <v>327</v>
      </c>
      <c r="F53" s="32">
        <v>2</v>
      </c>
      <c r="G53" s="31">
        <v>1</v>
      </c>
      <c r="H53" s="31">
        <v>81778</v>
      </c>
      <c r="I53" s="31" t="s">
        <v>17</v>
      </c>
      <c r="J53" s="31">
        <v>78770604</v>
      </c>
      <c r="K53" s="80" t="s">
        <v>1325</v>
      </c>
      <c r="L53" s="18" t="s">
        <v>1327</v>
      </c>
      <c r="M53" s="41">
        <v>219900</v>
      </c>
      <c r="N53" s="30">
        <v>0.9</v>
      </c>
      <c r="O53" s="33">
        <f t="shared" si="0"/>
        <v>21989.999999999996</v>
      </c>
      <c r="P53" s="28" t="s">
        <v>0</v>
      </c>
    </row>
    <row r="54" spans="1:16" x14ac:dyDescent="0.3">
      <c r="A54" s="32" t="s">
        <v>3213</v>
      </c>
      <c r="B54" s="40">
        <v>46093</v>
      </c>
      <c r="C54" s="40">
        <v>46098</v>
      </c>
      <c r="D54" s="32">
        <v>3319</v>
      </c>
      <c r="E54" s="32">
        <v>327</v>
      </c>
      <c r="F54" s="32">
        <v>2</v>
      </c>
      <c r="G54" s="31">
        <v>1</v>
      </c>
      <c r="H54" s="31">
        <v>81778</v>
      </c>
      <c r="I54" s="31" t="s">
        <v>17</v>
      </c>
      <c r="J54" s="31">
        <v>78770613</v>
      </c>
      <c r="K54" s="80" t="s">
        <v>1325</v>
      </c>
      <c r="L54" s="18" t="s">
        <v>1328</v>
      </c>
      <c r="M54" s="41">
        <v>219900</v>
      </c>
      <c r="N54" s="30">
        <v>0.9</v>
      </c>
      <c r="O54" s="33">
        <f t="shared" si="0"/>
        <v>21989.999999999996</v>
      </c>
      <c r="P54" s="28" t="s">
        <v>0</v>
      </c>
    </row>
    <row r="55" spans="1:16" x14ac:dyDescent="0.3">
      <c r="A55" s="32" t="s">
        <v>3213</v>
      </c>
      <c r="B55" s="40">
        <v>46093</v>
      </c>
      <c r="C55" s="40">
        <v>46098</v>
      </c>
      <c r="D55" s="32">
        <v>3319</v>
      </c>
      <c r="E55" s="32">
        <v>327</v>
      </c>
      <c r="F55" s="32">
        <v>2</v>
      </c>
      <c r="G55" s="31">
        <v>1</v>
      </c>
      <c r="H55" s="31">
        <v>81778</v>
      </c>
      <c r="I55" s="31" t="s">
        <v>17</v>
      </c>
      <c r="J55" s="31">
        <v>78770622</v>
      </c>
      <c r="K55" s="80" t="s">
        <v>1325</v>
      </c>
      <c r="L55" s="18" t="s">
        <v>1329</v>
      </c>
      <c r="M55" s="41">
        <v>219900</v>
      </c>
      <c r="N55" s="30">
        <v>0.9</v>
      </c>
      <c r="O55" s="33">
        <f t="shared" si="0"/>
        <v>21989.999999999996</v>
      </c>
      <c r="P55" s="28" t="s">
        <v>0</v>
      </c>
    </row>
    <row r="56" spans="1:16" x14ac:dyDescent="0.3">
      <c r="A56" s="32" t="s">
        <v>3213</v>
      </c>
      <c r="B56" s="40">
        <v>46093</v>
      </c>
      <c r="C56" s="40">
        <v>46098</v>
      </c>
      <c r="D56" s="32">
        <v>3319</v>
      </c>
      <c r="E56" s="32">
        <v>327</v>
      </c>
      <c r="F56" s="32">
        <v>2</v>
      </c>
      <c r="G56" s="31">
        <v>1</v>
      </c>
      <c r="H56" s="31">
        <v>81778</v>
      </c>
      <c r="I56" s="31" t="s">
        <v>17</v>
      </c>
      <c r="J56" s="31">
        <v>78770631</v>
      </c>
      <c r="K56" s="80" t="s">
        <v>1325</v>
      </c>
      <c r="L56" s="18" t="s">
        <v>1330</v>
      </c>
      <c r="M56" s="41">
        <v>219900</v>
      </c>
      <c r="N56" s="30">
        <v>0.9</v>
      </c>
      <c r="O56" s="33">
        <f t="shared" si="0"/>
        <v>21989.999999999996</v>
      </c>
      <c r="P56" s="28" t="s">
        <v>0</v>
      </c>
    </row>
    <row r="57" spans="1:16" x14ac:dyDescent="0.3">
      <c r="A57" s="32" t="s">
        <v>3213</v>
      </c>
      <c r="B57" s="40">
        <v>46093</v>
      </c>
      <c r="C57" s="40">
        <v>46098</v>
      </c>
      <c r="D57" s="32">
        <v>3319</v>
      </c>
      <c r="E57" s="32">
        <v>327</v>
      </c>
      <c r="F57" s="32">
        <v>2</v>
      </c>
      <c r="G57" s="31">
        <v>1</v>
      </c>
      <c r="H57" s="31">
        <v>81778</v>
      </c>
      <c r="I57" s="31" t="s">
        <v>17</v>
      </c>
      <c r="J57" s="31">
        <v>78770640</v>
      </c>
      <c r="K57" s="80" t="s">
        <v>1325</v>
      </c>
      <c r="L57" s="18" t="s">
        <v>1331</v>
      </c>
      <c r="M57" s="41">
        <v>219900</v>
      </c>
      <c r="N57" s="30">
        <v>0.9</v>
      </c>
      <c r="O57" s="33">
        <f t="shared" si="0"/>
        <v>21989.999999999996</v>
      </c>
      <c r="P57" s="28" t="s">
        <v>0</v>
      </c>
    </row>
    <row r="58" spans="1:16" x14ac:dyDescent="0.3">
      <c r="A58" s="32" t="s">
        <v>3213</v>
      </c>
      <c r="B58" s="40">
        <v>46093</v>
      </c>
      <c r="C58" s="40">
        <v>46098</v>
      </c>
      <c r="D58" s="32">
        <v>3319</v>
      </c>
      <c r="E58" s="32">
        <v>327</v>
      </c>
      <c r="F58" s="32">
        <v>2</v>
      </c>
      <c r="G58" s="31">
        <v>1</v>
      </c>
      <c r="H58" s="31">
        <v>81778</v>
      </c>
      <c r="I58" s="31" t="s">
        <v>17</v>
      </c>
      <c r="J58" s="31">
        <v>78770659</v>
      </c>
      <c r="K58" s="80" t="s">
        <v>1325</v>
      </c>
      <c r="L58" s="18" t="s">
        <v>1332</v>
      </c>
      <c r="M58" s="41">
        <v>219900</v>
      </c>
      <c r="N58" s="30">
        <v>0.9</v>
      </c>
      <c r="O58" s="33">
        <f t="shared" si="0"/>
        <v>21989.999999999996</v>
      </c>
      <c r="P58" s="28" t="s">
        <v>0</v>
      </c>
    </row>
    <row r="59" spans="1:16" x14ac:dyDescent="0.3">
      <c r="A59" s="32" t="s">
        <v>3213</v>
      </c>
      <c r="B59" s="40">
        <v>46093</v>
      </c>
      <c r="C59" s="40">
        <v>46098</v>
      </c>
      <c r="D59" s="32">
        <v>3319</v>
      </c>
      <c r="E59" s="32">
        <v>327</v>
      </c>
      <c r="F59" s="32">
        <v>2</v>
      </c>
      <c r="G59" s="31">
        <v>1</v>
      </c>
      <c r="H59" s="31">
        <v>81778</v>
      </c>
      <c r="I59" s="31" t="s">
        <v>17</v>
      </c>
      <c r="J59" s="31">
        <v>78770668</v>
      </c>
      <c r="K59" s="80" t="s">
        <v>1325</v>
      </c>
      <c r="L59" s="18" t="s">
        <v>1333</v>
      </c>
      <c r="M59" s="41">
        <v>219900</v>
      </c>
      <c r="N59" s="30">
        <v>0.9</v>
      </c>
      <c r="O59" s="33">
        <f t="shared" si="0"/>
        <v>21989.999999999996</v>
      </c>
      <c r="P59" s="28" t="s">
        <v>0</v>
      </c>
    </row>
    <row r="60" spans="1:16" x14ac:dyDescent="0.3">
      <c r="A60" s="32" t="s">
        <v>3213</v>
      </c>
      <c r="B60" s="40">
        <v>46093</v>
      </c>
      <c r="C60" s="40">
        <v>46098</v>
      </c>
      <c r="D60" s="32">
        <v>3319</v>
      </c>
      <c r="E60" s="32">
        <v>327</v>
      </c>
      <c r="F60" s="32">
        <v>2</v>
      </c>
      <c r="G60" s="31">
        <v>1</v>
      </c>
      <c r="H60" s="31">
        <v>81778</v>
      </c>
      <c r="I60" s="31" t="s">
        <v>17</v>
      </c>
      <c r="J60" s="31">
        <v>78770677</v>
      </c>
      <c r="K60" s="80" t="s">
        <v>1325</v>
      </c>
      <c r="L60" s="18" t="s">
        <v>1334</v>
      </c>
      <c r="M60" s="41">
        <v>219900</v>
      </c>
      <c r="N60" s="30">
        <v>0.9</v>
      </c>
      <c r="O60" s="33">
        <f t="shared" si="0"/>
        <v>21989.999999999996</v>
      </c>
      <c r="P60" s="28" t="s">
        <v>0</v>
      </c>
    </row>
    <row r="61" spans="1:16" x14ac:dyDescent="0.3">
      <c r="A61" s="32" t="s">
        <v>3213</v>
      </c>
      <c r="B61" s="40">
        <v>46093</v>
      </c>
      <c r="C61" s="40">
        <v>46098</v>
      </c>
      <c r="D61" s="32">
        <v>3319</v>
      </c>
      <c r="E61" s="32">
        <v>327</v>
      </c>
      <c r="F61" s="32">
        <v>2</v>
      </c>
      <c r="G61" s="31">
        <v>1</v>
      </c>
      <c r="H61" s="31">
        <v>81778</v>
      </c>
      <c r="I61" s="31" t="s">
        <v>17</v>
      </c>
      <c r="J61" s="31">
        <v>78770686</v>
      </c>
      <c r="K61" s="80" t="s">
        <v>1325</v>
      </c>
      <c r="L61" s="18" t="s">
        <v>1335</v>
      </c>
      <c r="M61" s="41">
        <v>219900</v>
      </c>
      <c r="N61" s="30">
        <v>0.9</v>
      </c>
      <c r="O61" s="33">
        <f t="shared" si="0"/>
        <v>21989.999999999996</v>
      </c>
      <c r="P61" s="28" t="s">
        <v>0</v>
      </c>
    </row>
    <row r="62" spans="1:16" x14ac:dyDescent="0.3">
      <c r="A62" s="32" t="s">
        <v>3213</v>
      </c>
      <c r="B62" s="40">
        <v>46093</v>
      </c>
      <c r="C62" s="40">
        <v>46098</v>
      </c>
      <c r="D62" s="32">
        <v>3319</v>
      </c>
      <c r="E62" s="32">
        <v>327</v>
      </c>
      <c r="F62" s="32">
        <v>2</v>
      </c>
      <c r="G62" s="31">
        <v>1</v>
      </c>
      <c r="H62" s="31">
        <v>81778</v>
      </c>
      <c r="I62" s="31" t="s">
        <v>17</v>
      </c>
      <c r="J62" s="31">
        <v>78770793</v>
      </c>
      <c r="K62" s="80" t="s">
        <v>1336</v>
      </c>
      <c r="L62" s="18" t="s">
        <v>1337</v>
      </c>
      <c r="M62" s="41">
        <v>219900</v>
      </c>
      <c r="N62" s="30">
        <v>0.9</v>
      </c>
      <c r="O62" s="33">
        <f t="shared" si="0"/>
        <v>21989.999999999996</v>
      </c>
      <c r="P62" s="28" t="s">
        <v>0</v>
      </c>
    </row>
    <row r="63" spans="1:16" x14ac:dyDescent="0.3">
      <c r="A63" s="32" t="s">
        <v>3213</v>
      </c>
      <c r="B63" s="40">
        <v>46093</v>
      </c>
      <c r="C63" s="40">
        <v>46098</v>
      </c>
      <c r="D63" s="32">
        <v>3319</v>
      </c>
      <c r="E63" s="32">
        <v>327</v>
      </c>
      <c r="F63" s="32">
        <v>2</v>
      </c>
      <c r="G63" s="31">
        <v>1</v>
      </c>
      <c r="H63" s="31">
        <v>81778</v>
      </c>
      <c r="I63" s="31" t="s">
        <v>17</v>
      </c>
      <c r="J63" s="31">
        <v>78770800</v>
      </c>
      <c r="K63" s="80" t="s">
        <v>1336</v>
      </c>
      <c r="L63" s="18" t="s">
        <v>1338</v>
      </c>
      <c r="M63" s="41">
        <v>219900</v>
      </c>
      <c r="N63" s="30">
        <v>0.9</v>
      </c>
      <c r="O63" s="33">
        <f t="shared" si="0"/>
        <v>21989.999999999996</v>
      </c>
      <c r="P63" s="28" t="s">
        <v>0</v>
      </c>
    </row>
    <row r="64" spans="1:16" x14ac:dyDescent="0.3">
      <c r="A64" s="32" t="s">
        <v>3213</v>
      </c>
      <c r="B64" s="40">
        <v>46093</v>
      </c>
      <c r="C64" s="40">
        <v>46098</v>
      </c>
      <c r="D64" s="32">
        <v>3319</v>
      </c>
      <c r="E64" s="32">
        <v>327</v>
      </c>
      <c r="F64" s="32">
        <v>2</v>
      </c>
      <c r="G64" s="31">
        <v>1</v>
      </c>
      <c r="H64" s="31">
        <v>81778</v>
      </c>
      <c r="I64" s="31" t="s">
        <v>17</v>
      </c>
      <c r="J64" s="31">
        <v>78770819</v>
      </c>
      <c r="K64" s="80" t="s">
        <v>1336</v>
      </c>
      <c r="L64" s="18" t="s">
        <v>1339</v>
      </c>
      <c r="M64" s="41">
        <v>219900</v>
      </c>
      <c r="N64" s="30">
        <v>0.9</v>
      </c>
      <c r="O64" s="33">
        <f t="shared" si="0"/>
        <v>21989.999999999996</v>
      </c>
      <c r="P64" s="28" t="s">
        <v>0</v>
      </c>
    </row>
    <row r="65" spans="1:16" x14ac:dyDescent="0.3">
      <c r="A65" s="32" t="s">
        <v>3213</v>
      </c>
      <c r="B65" s="40">
        <v>46093</v>
      </c>
      <c r="C65" s="40">
        <v>46098</v>
      </c>
      <c r="D65" s="32">
        <v>3319</v>
      </c>
      <c r="E65" s="32">
        <v>327</v>
      </c>
      <c r="F65" s="32">
        <v>2</v>
      </c>
      <c r="G65" s="31">
        <v>1</v>
      </c>
      <c r="H65" s="31">
        <v>81778</v>
      </c>
      <c r="I65" s="31" t="s">
        <v>17</v>
      </c>
      <c r="J65" s="31">
        <v>78770828</v>
      </c>
      <c r="K65" s="80" t="s">
        <v>1336</v>
      </c>
      <c r="L65" s="18" t="s">
        <v>1340</v>
      </c>
      <c r="M65" s="41">
        <v>219900</v>
      </c>
      <c r="N65" s="30">
        <v>0.9</v>
      </c>
      <c r="O65" s="33">
        <f t="shared" si="0"/>
        <v>21989.999999999996</v>
      </c>
      <c r="P65" s="28" t="s">
        <v>0</v>
      </c>
    </row>
    <row r="66" spans="1:16" x14ac:dyDescent="0.3">
      <c r="A66" s="32" t="s">
        <v>3213</v>
      </c>
      <c r="B66" s="40">
        <v>46093</v>
      </c>
      <c r="C66" s="40">
        <v>46098</v>
      </c>
      <c r="D66" s="32">
        <v>3319</v>
      </c>
      <c r="E66" s="32">
        <v>327</v>
      </c>
      <c r="F66" s="32">
        <v>2</v>
      </c>
      <c r="G66" s="31">
        <v>1</v>
      </c>
      <c r="H66" s="31">
        <v>81778</v>
      </c>
      <c r="I66" s="31" t="s">
        <v>17</v>
      </c>
      <c r="J66" s="31">
        <v>78770837</v>
      </c>
      <c r="K66" s="80" t="s">
        <v>1336</v>
      </c>
      <c r="L66" s="18" t="s">
        <v>1341</v>
      </c>
      <c r="M66" s="41">
        <v>219900</v>
      </c>
      <c r="N66" s="30">
        <v>0.9</v>
      </c>
      <c r="O66" s="33">
        <f t="shared" ref="O66:O129" si="1">M66*(1-N66)</f>
        <v>21989.999999999996</v>
      </c>
      <c r="P66" s="28" t="s">
        <v>0</v>
      </c>
    </row>
    <row r="67" spans="1:16" x14ac:dyDescent="0.3">
      <c r="A67" s="32" t="s">
        <v>3213</v>
      </c>
      <c r="B67" s="40">
        <v>46093</v>
      </c>
      <c r="C67" s="40">
        <v>46098</v>
      </c>
      <c r="D67" s="32">
        <v>3319</v>
      </c>
      <c r="E67" s="32">
        <v>327</v>
      </c>
      <c r="F67" s="32">
        <v>2</v>
      </c>
      <c r="G67" s="31">
        <v>1</v>
      </c>
      <c r="H67" s="31">
        <v>81778</v>
      </c>
      <c r="I67" s="31" t="s">
        <v>17</v>
      </c>
      <c r="J67" s="31">
        <v>78770846</v>
      </c>
      <c r="K67" s="80" t="s">
        <v>1336</v>
      </c>
      <c r="L67" s="18" t="s">
        <v>1342</v>
      </c>
      <c r="M67" s="41">
        <v>219900</v>
      </c>
      <c r="N67" s="30">
        <v>0.9</v>
      </c>
      <c r="O67" s="33">
        <f t="shared" si="1"/>
        <v>21989.999999999996</v>
      </c>
      <c r="P67" s="28" t="s">
        <v>0</v>
      </c>
    </row>
    <row r="68" spans="1:16" x14ac:dyDescent="0.3">
      <c r="A68" s="32" t="s">
        <v>3213</v>
      </c>
      <c r="B68" s="40">
        <v>46093</v>
      </c>
      <c r="C68" s="40">
        <v>46098</v>
      </c>
      <c r="D68" s="32">
        <v>3319</v>
      </c>
      <c r="E68" s="32">
        <v>327</v>
      </c>
      <c r="F68" s="32">
        <v>2</v>
      </c>
      <c r="G68" s="31">
        <v>1</v>
      </c>
      <c r="H68" s="31">
        <v>81778</v>
      </c>
      <c r="I68" s="31" t="s">
        <v>17</v>
      </c>
      <c r="J68" s="31">
        <v>78770855</v>
      </c>
      <c r="K68" s="80" t="s">
        <v>1336</v>
      </c>
      <c r="L68" s="18" t="s">
        <v>1343</v>
      </c>
      <c r="M68" s="41">
        <v>219900</v>
      </c>
      <c r="N68" s="30">
        <v>0.9</v>
      </c>
      <c r="O68" s="33">
        <f t="shared" si="1"/>
        <v>21989.999999999996</v>
      </c>
      <c r="P68" s="28" t="s">
        <v>0</v>
      </c>
    </row>
    <row r="69" spans="1:16" x14ac:dyDescent="0.3">
      <c r="A69" s="32" t="s">
        <v>3213</v>
      </c>
      <c r="B69" s="40">
        <v>46093</v>
      </c>
      <c r="C69" s="40">
        <v>46098</v>
      </c>
      <c r="D69" s="32">
        <v>3319</v>
      </c>
      <c r="E69" s="32">
        <v>327</v>
      </c>
      <c r="F69" s="32">
        <v>2</v>
      </c>
      <c r="G69" s="31">
        <v>1</v>
      </c>
      <c r="H69" s="31">
        <v>81778</v>
      </c>
      <c r="I69" s="31" t="s">
        <v>17</v>
      </c>
      <c r="J69" s="31">
        <v>78770864</v>
      </c>
      <c r="K69" s="80" t="s">
        <v>1336</v>
      </c>
      <c r="L69" s="18" t="s">
        <v>1344</v>
      </c>
      <c r="M69" s="41">
        <v>219900</v>
      </c>
      <c r="N69" s="30">
        <v>0.9</v>
      </c>
      <c r="O69" s="33">
        <f t="shared" si="1"/>
        <v>21989.999999999996</v>
      </c>
      <c r="P69" s="28" t="s">
        <v>0</v>
      </c>
    </row>
    <row r="70" spans="1:16" x14ac:dyDescent="0.3">
      <c r="A70" s="32" t="s">
        <v>3213</v>
      </c>
      <c r="B70" s="40">
        <v>46093</v>
      </c>
      <c r="C70" s="40">
        <v>46098</v>
      </c>
      <c r="D70" s="32">
        <v>3319</v>
      </c>
      <c r="E70" s="32">
        <v>327</v>
      </c>
      <c r="F70" s="32">
        <v>2</v>
      </c>
      <c r="G70" s="31">
        <v>1</v>
      </c>
      <c r="H70" s="31">
        <v>81778</v>
      </c>
      <c r="I70" s="31" t="s">
        <v>17</v>
      </c>
      <c r="J70" s="31">
        <v>78770873</v>
      </c>
      <c r="K70" s="80" t="s">
        <v>1336</v>
      </c>
      <c r="L70" s="18" t="s">
        <v>1345</v>
      </c>
      <c r="M70" s="41">
        <v>219900</v>
      </c>
      <c r="N70" s="30">
        <v>0.9</v>
      </c>
      <c r="O70" s="33">
        <f t="shared" si="1"/>
        <v>21989.999999999996</v>
      </c>
      <c r="P70" s="28" t="s">
        <v>0</v>
      </c>
    </row>
    <row r="71" spans="1:16" x14ac:dyDescent="0.3">
      <c r="A71" s="32" t="s">
        <v>3213</v>
      </c>
      <c r="B71" s="40">
        <v>46093</v>
      </c>
      <c r="C71" s="40">
        <v>46098</v>
      </c>
      <c r="D71" s="32">
        <v>3319</v>
      </c>
      <c r="E71" s="32">
        <v>327</v>
      </c>
      <c r="F71" s="32">
        <v>2</v>
      </c>
      <c r="G71" s="31">
        <v>1</v>
      </c>
      <c r="H71" s="31">
        <v>81778</v>
      </c>
      <c r="I71" s="31" t="s">
        <v>17</v>
      </c>
      <c r="J71" s="31">
        <v>78770882</v>
      </c>
      <c r="K71" s="80" t="s">
        <v>1336</v>
      </c>
      <c r="L71" s="18" t="s">
        <v>1346</v>
      </c>
      <c r="M71" s="41">
        <v>219900</v>
      </c>
      <c r="N71" s="30">
        <v>0.9</v>
      </c>
      <c r="O71" s="33">
        <f t="shared" si="1"/>
        <v>21989.999999999996</v>
      </c>
      <c r="P71" s="28" t="s">
        <v>0</v>
      </c>
    </row>
    <row r="72" spans="1:16" x14ac:dyDescent="0.3">
      <c r="A72" s="32" t="s">
        <v>3213</v>
      </c>
      <c r="B72" s="40">
        <v>46093</v>
      </c>
      <c r="C72" s="40">
        <v>46098</v>
      </c>
      <c r="D72" s="32">
        <v>3319</v>
      </c>
      <c r="E72" s="32">
        <v>327</v>
      </c>
      <c r="F72" s="32">
        <v>2</v>
      </c>
      <c r="G72" s="31">
        <v>1</v>
      </c>
      <c r="H72" s="31">
        <v>81778</v>
      </c>
      <c r="I72" s="31" t="s">
        <v>17</v>
      </c>
      <c r="J72" s="31">
        <v>78770748</v>
      </c>
      <c r="K72" s="80" t="s">
        <v>1347</v>
      </c>
      <c r="L72" s="18" t="s">
        <v>1348</v>
      </c>
      <c r="M72" s="41">
        <v>219900</v>
      </c>
      <c r="N72" s="30">
        <v>0.9</v>
      </c>
      <c r="O72" s="33">
        <f t="shared" si="1"/>
        <v>21989.999999999996</v>
      </c>
      <c r="P72" s="28" t="s">
        <v>0</v>
      </c>
    </row>
    <row r="73" spans="1:16" x14ac:dyDescent="0.3">
      <c r="A73" s="32" t="s">
        <v>3213</v>
      </c>
      <c r="B73" s="40">
        <v>46093</v>
      </c>
      <c r="C73" s="40">
        <v>46098</v>
      </c>
      <c r="D73" s="32">
        <v>3319</v>
      </c>
      <c r="E73" s="32">
        <v>327</v>
      </c>
      <c r="F73" s="32">
        <v>2</v>
      </c>
      <c r="G73" s="31">
        <v>1</v>
      </c>
      <c r="H73" s="31">
        <v>81778</v>
      </c>
      <c r="I73" s="31" t="s">
        <v>17</v>
      </c>
      <c r="J73" s="31">
        <v>78770757</v>
      </c>
      <c r="K73" s="80" t="s">
        <v>1347</v>
      </c>
      <c r="L73" s="18" t="s">
        <v>1349</v>
      </c>
      <c r="M73" s="41">
        <v>219900</v>
      </c>
      <c r="N73" s="30">
        <v>0.9</v>
      </c>
      <c r="O73" s="33">
        <f t="shared" si="1"/>
        <v>21989.999999999996</v>
      </c>
      <c r="P73" s="28" t="s">
        <v>0</v>
      </c>
    </row>
    <row r="74" spans="1:16" x14ac:dyDescent="0.3">
      <c r="A74" s="32" t="s">
        <v>3213</v>
      </c>
      <c r="B74" s="40">
        <v>46093</v>
      </c>
      <c r="C74" s="40">
        <v>46098</v>
      </c>
      <c r="D74" s="32">
        <v>3319</v>
      </c>
      <c r="E74" s="32">
        <v>327</v>
      </c>
      <c r="F74" s="32">
        <v>2</v>
      </c>
      <c r="G74" s="31">
        <v>1</v>
      </c>
      <c r="H74" s="31">
        <v>81778</v>
      </c>
      <c r="I74" s="31" t="s">
        <v>17</v>
      </c>
      <c r="J74" s="31">
        <v>78770766</v>
      </c>
      <c r="K74" s="80" t="s">
        <v>1347</v>
      </c>
      <c r="L74" s="18" t="s">
        <v>1350</v>
      </c>
      <c r="M74" s="41">
        <v>219900</v>
      </c>
      <c r="N74" s="30">
        <v>0.9</v>
      </c>
      <c r="O74" s="33">
        <f t="shared" si="1"/>
        <v>21989.999999999996</v>
      </c>
      <c r="P74" s="28" t="s">
        <v>0</v>
      </c>
    </row>
    <row r="75" spans="1:16" x14ac:dyDescent="0.3">
      <c r="A75" s="32" t="s">
        <v>3213</v>
      </c>
      <c r="B75" s="40">
        <v>46093</v>
      </c>
      <c r="C75" s="40">
        <v>46098</v>
      </c>
      <c r="D75" s="32">
        <v>3319</v>
      </c>
      <c r="E75" s="32">
        <v>327</v>
      </c>
      <c r="F75" s="32">
        <v>2</v>
      </c>
      <c r="G75" s="31">
        <v>1</v>
      </c>
      <c r="H75" s="31">
        <v>81778</v>
      </c>
      <c r="I75" s="31" t="s">
        <v>17</v>
      </c>
      <c r="J75" s="31">
        <v>78770775</v>
      </c>
      <c r="K75" s="80" t="s">
        <v>1347</v>
      </c>
      <c r="L75" s="18" t="s">
        <v>1351</v>
      </c>
      <c r="M75" s="41">
        <v>219900</v>
      </c>
      <c r="N75" s="30">
        <v>0.9</v>
      </c>
      <c r="O75" s="33">
        <f t="shared" si="1"/>
        <v>21989.999999999996</v>
      </c>
      <c r="P75" s="28" t="s">
        <v>0</v>
      </c>
    </row>
    <row r="76" spans="1:16" x14ac:dyDescent="0.3">
      <c r="A76" s="32" t="s">
        <v>3213</v>
      </c>
      <c r="B76" s="40">
        <v>46093</v>
      </c>
      <c r="C76" s="40">
        <v>46098</v>
      </c>
      <c r="D76" s="32">
        <v>3319</v>
      </c>
      <c r="E76" s="32">
        <v>327</v>
      </c>
      <c r="F76" s="32">
        <v>2</v>
      </c>
      <c r="G76" s="31">
        <v>1</v>
      </c>
      <c r="H76" s="31">
        <v>81778</v>
      </c>
      <c r="I76" s="31" t="s">
        <v>17</v>
      </c>
      <c r="J76" s="31">
        <v>78770784</v>
      </c>
      <c r="K76" s="80" t="s">
        <v>1347</v>
      </c>
      <c r="L76" s="18" t="s">
        <v>1352</v>
      </c>
      <c r="M76" s="41">
        <v>219900</v>
      </c>
      <c r="N76" s="30">
        <v>0.9</v>
      </c>
      <c r="O76" s="33">
        <f t="shared" si="1"/>
        <v>21989.999999999996</v>
      </c>
      <c r="P76" s="28" t="s">
        <v>0</v>
      </c>
    </row>
    <row r="77" spans="1:16" x14ac:dyDescent="0.3">
      <c r="A77" s="32" t="s">
        <v>3213</v>
      </c>
      <c r="B77" s="40">
        <v>46093</v>
      </c>
      <c r="C77" s="40">
        <v>46098</v>
      </c>
      <c r="D77" s="32">
        <v>3319</v>
      </c>
      <c r="E77" s="32">
        <v>327</v>
      </c>
      <c r="F77" s="32">
        <v>2</v>
      </c>
      <c r="G77" s="31">
        <v>1</v>
      </c>
      <c r="H77" s="31">
        <v>81778</v>
      </c>
      <c r="I77" s="31" t="s">
        <v>17</v>
      </c>
      <c r="J77" s="31">
        <v>78770695</v>
      </c>
      <c r="K77" s="80" t="s">
        <v>1347</v>
      </c>
      <c r="L77" s="18" t="s">
        <v>1353</v>
      </c>
      <c r="M77" s="41">
        <v>219900</v>
      </c>
      <c r="N77" s="30">
        <v>0.9</v>
      </c>
      <c r="O77" s="33">
        <f t="shared" si="1"/>
        <v>21989.999999999996</v>
      </c>
      <c r="P77" s="28" t="s">
        <v>0</v>
      </c>
    </row>
    <row r="78" spans="1:16" x14ac:dyDescent="0.3">
      <c r="A78" s="32" t="s">
        <v>3213</v>
      </c>
      <c r="B78" s="40">
        <v>46093</v>
      </c>
      <c r="C78" s="40">
        <v>46098</v>
      </c>
      <c r="D78" s="32">
        <v>3319</v>
      </c>
      <c r="E78" s="32">
        <v>327</v>
      </c>
      <c r="F78" s="32">
        <v>2</v>
      </c>
      <c r="G78" s="31">
        <v>1</v>
      </c>
      <c r="H78" s="31">
        <v>81778</v>
      </c>
      <c r="I78" s="31" t="s">
        <v>17</v>
      </c>
      <c r="J78" s="31">
        <v>78770702</v>
      </c>
      <c r="K78" s="80" t="s">
        <v>1347</v>
      </c>
      <c r="L78" s="18" t="s">
        <v>1354</v>
      </c>
      <c r="M78" s="41">
        <v>219900</v>
      </c>
      <c r="N78" s="30">
        <v>0.9</v>
      </c>
      <c r="O78" s="33">
        <f t="shared" si="1"/>
        <v>21989.999999999996</v>
      </c>
      <c r="P78" s="28" t="s">
        <v>0</v>
      </c>
    </row>
    <row r="79" spans="1:16" x14ac:dyDescent="0.3">
      <c r="A79" s="32" t="s">
        <v>3213</v>
      </c>
      <c r="B79" s="40">
        <v>46093</v>
      </c>
      <c r="C79" s="40">
        <v>46098</v>
      </c>
      <c r="D79" s="32">
        <v>3319</v>
      </c>
      <c r="E79" s="32">
        <v>327</v>
      </c>
      <c r="F79" s="32">
        <v>2</v>
      </c>
      <c r="G79" s="31">
        <v>1</v>
      </c>
      <c r="H79" s="31">
        <v>81778</v>
      </c>
      <c r="I79" s="31" t="s">
        <v>17</v>
      </c>
      <c r="J79" s="31">
        <v>78770711</v>
      </c>
      <c r="K79" s="80" t="s">
        <v>1347</v>
      </c>
      <c r="L79" s="18" t="s">
        <v>1355</v>
      </c>
      <c r="M79" s="41">
        <v>219900</v>
      </c>
      <c r="N79" s="30">
        <v>0.9</v>
      </c>
      <c r="O79" s="33">
        <f t="shared" si="1"/>
        <v>21989.999999999996</v>
      </c>
      <c r="P79" s="28" t="s">
        <v>0</v>
      </c>
    </row>
    <row r="80" spans="1:16" x14ac:dyDescent="0.3">
      <c r="A80" s="32" t="s">
        <v>3213</v>
      </c>
      <c r="B80" s="40">
        <v>46093</v>
      </c>
      <c r="C80" s="40">
        <v>46098</v>
      </c>
      <c r="D80" s="32">
        <v>3319</v>
      </c>
      <c r="E80" s="32">
        <v>327</v>
      </c>
      <c r="F80" s="32">
        <v>2</v>
      </c>
      <c r="G80" s="31">
        <v>1</v>
      </c>
      <c r="H80" s="31">
        <v>81778</v>
      </c>
      <c r="I80" s="31" t="s">
        <v>17</v>
      </c>
      <c r="J80" s="31">
        <v>78770720</v>
      </c>
      <c r="K80" s="80" t="s">
        <v>1347</v>
      </c>
      <c r="L80" s="18" t="s">
        <v>1356</v>
      </c>
      <c r="M80" s="41">
        <v>219900</v>
      </c>
      <c r="N80" s="30">
        <v>0.9</v>
      </c>
      <c r="O80" s="33">
        <f t="shared" si="1"/>
        <v>21989.999999999996</v>
      </c>
      <c r="P80" s="28" t="s">
        <v>0</v>
      </c>
    </row>
    <row r="81" spans="1:16" x14ac:dyDescent="0.3">
      <c r="A81" s="32" t="s">
        <v>3213</v>
      </c>
      <c r="B81" s="40">
        <v>46093</v>
      </c>
      <c r="C81" s="40">
        <v>46098</v>
      </c>
      <c r="D81" s="32">
        <v>3319</v>
      </c>
      <c r="E81" s="32">
        <v>327</v>
      </c>
      <c r="F81" s="32">
        <v>2</v>
      </c>
      <c r="G81" s="31">
        <v>1</v>
      </c>
      <c r="H81" s="31">
        <v>81778</v>
      </c>
      <c r="I81" s="31" t="s">
        <v>17</v>
      </c>
      <c r="J81" s="31">
        <v>78770739</v>
      </c>
      <c r="K81" s="80" t="s">
        <v>1347</v>
      </c>
      <c r="L81" s="18" t="s">
        <v>1357</v>
      </c>
      <c r="M81" s="41">
        <v>219900</v>
      </c>
      <c r="N81" s="30">
        <v>0.9</v>
      </c>
      <c r="O81" s="33">
        <f t="shared" si="1"/>
        <v>21989.999999999996</v>
      </c>
      <c r="P81" s="28" t="s">
        <v>0</v>
      </c>
    </row>
    <row r="82" spans="1:16" x14ac:dyDescent="0.3">
      <c r="A82" s="32" t="s">
        <v>3213</v>
      </c>
      <c r="B82" s="40">
        <v>46093</v>
      </c>
      <c r="C82" s="40">
        <v>46098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31">
        <v>80898535</v>
      </c>
      <c r="K82" s="80" t="s">
        <v>1358</v>
      </c>
      <c r="L82" s="18" t="s">
        <v>1359</v>
      </c>
      <c r="M82" s="41">
        <v>219900</v>
      </c>
      <c r="N82" s="30">
        <v>0.9</v>
      </c>
      <c r="O82" s="33">
        <f t="shared" si="1"/>
        <v>21989.999999999996</v>
      </c>
      <c r="P82" s="28" t="s">
        <v>0</v>
      </c>
    </row>
    <row r="83" spans="1:16" x14ac:dyDescent="0.3">
      <c r="A83" s="32" t="s">
        <v>3213</v>
      </c>
      <c r="B83" s="40">
        <v>46093</v>
      </c>
      <c r="C83" s="40">
        <v>46098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31">
        <v>80898544</v>
      </c>
      <c r="K83" s="80" t="s">
        <v>1358</v>
      </c>
      <c r="L83" s="18" t="s">
        <v>1360</v>
      </c>
      <c r="M83" s="41">
        <v>219900</v>
      </c>
      <c r="N83" s="30">
        <v>0.9</v>
      </c>
      <c r="O83" s="33">
        <f t="shared" si="1"/>
        <v>21989.999999999996</v>
      </c>
      <c r="P83" s="28" t="s">
        <v>0</v>
      </c>
    </row>
    <row r="84" spans="1:16" x14ac:dyDescent="0.3">
      <c r="A84" s="32" t="s">
        <v>3213</v>
      </c>
      <c r="B84" s="40">
        <v>46093</v>
      </c>
      <c r="C84" s="40">
        <v>46098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31">
        <v>80898553</v>
      </c>
      <c r="K84" s="80" t="s">
        <v>1358</v>
      </c>
      <c r="L84" s="18" t="s">
        <v>1361</v>
      </c>
      <c r="M84" s="41">
        <v>219900</v>
      </c>
      <c r="N84" s="30">
        <v>0.9</v>
      </c>
      <c r="O84" s="33">
        <f t="shared" si="1"/>
        <v>21989.999999999996</v>
      </c>
      <c r="P84" s="28" t="s">
        <v>0</v>
      </c>
    </row>
    <row r="85" spans="1:16" x14ac:dyDescent="0.3">
      <c r="A85" s="32" t="s">
        <v>3213</v>
      </c>
      <c r="B85" s="40">
        <v>46093</v>
      </c>
      <c r="C85" s="40">
        <v>46098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31">
        <v>80898562</v>
      </c>
      <c r="K85" s="80" t="s">
        <v>1358</v>
      </c>
      <c r="L85" s="18" t="s">
        <v>1362</v>
      </c>
      <c r="M85" s="41">
        <v>219900</v>
      </c>
      <c r="N85" s="30">
        <v>0.9</v>
      </c>
      <c r="O85" s="33">
        <f t="shared" si="1"/>
        <v>21989.999999999996</v>
      </c>
      <c r="P85" s="28" t="s">
        <v>0</v>
      </c>
    </row>
    <row r="86" spans="1:16" x14ac:dyDescent="0.3">
      <c r="A86" s="32" t="s">
        <v>3213</v>
      </c>
      <c r="B86" s="40">
        <v>46093</v>
      </c>
      <c r="C86" s="40">
        <v>46098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31">
        <v>80898571</v>
      </c>
      <c r="K86" s="80" t="s">
        <v>1358</v>
      </c>
      <c r="L86" s="18" t="s">
        <v>1363</v>
      </c>
      <c r="M86" s="41">
        <v>219900</v>
      </c>
      <c r="N86" s="30">
        <v>0.9</v>
      </c>
      <c r="O86" s="33">
        <f t="shared" si="1"/>
        <v>21989.999999999996</v>
      </c>
      <c r="P86" s="28" t="s">
        <v>0</v>
      </c>
    </row>
    <row r="87" spans="1:16" x14ac:dyDescent="0.3">
      <c r="A87" s="32" t="s">
        <v>3213</v>
      </c>
      <c r="B87" s="40">
        <v>46093</v>
      </c>
      <c r="C87" s="40">
        <v>46098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31">
        <v>80898580</v>
      </c>
      <c r="K87" s="80" t="s">
        <v>1358</v>
      </c>
      <c r="L87" s="18" t="s">
        <v>1364</v>
      </c>
      <c r="M87" s="41">
        <v>219900</v>
      </c>
      <c r="N87" s="30">
        <v>0.9</v>
      </c>
      <c r="O87" s="33">
        <f t="shared" si="1"/>
        <v>21989.999999999996</v>
      </c>
      <c r="P87" s="28" t="s">
        <v>0</v>
      </c>
    </row>
    <row r="88" spans="1:16" x14ac:dyDescent="0.3">
      <c r="A88" s="32" t="s">
        <v>3213</v>
      </c>
      <c r="B88" s="40">
        <v>46093</v>
      </c>
      <c r="C88" s="40">
        <v>46098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31">
        <v>80898599</v>
      </c>
      <c r="K88" s="80" t="s">
        <v>1358</v>
      </c>
      <c r="L88" s="18" t="s">
        <v>1365</v>
      </c>
      <c r="M88" s="41">
        <v>219900</v>
      </c>
      <c r="N88" s="30">
        <v>0.9</v>
      </c>
      <c r="O88" s="33">
        <f t="shared" si="1"/>
        <v>21989.999999999996</v>
      </c>
      <c r="P88" s="28" t="s">
        <v>0</v>
      </c>
    </row>
    <row r="89" spans="1:16" x14ac:dyDescent="0.3">
      <c r="A89" s="32" t="s">
        <v>3213</v>
      </c>
      <c r="B89" s="40">
        <v>46093</v>
      </c>
      <c r="C89" s="40">
        <v>46098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31">
        <v>80898606</v>
      </c>
      <c r="K89" s="80" t="s">
        <v>1358</v>
      </c>
      <c r="L89" s="18" t="s">
        <v>1366</v>
      </c>
      <c r="M89" s="41">
        <v>219900</v>
      </c>
      <c r="N89" s="30">
        <v>0.9</v>
      </c>
      <c r="O89" s="33">
        <f t="shared" si="1"/>
        <v>21989.999999999996</v>
      </c>
      <c r="P89" s="28" t="s">
        <v>0</v>
      </c>
    </row>
    <row r="90" spans="1:16" x14ac:dyDescent="0.3">
      <c r="A90" s="32" t="s">
        <v>3213</v>
      </c>
      <c r="B90" s="40">
        <v>46093</v>
      </c>
      <c r="C90" s="40">
        <v>46098</v>
      </c>
      <c r="D90" s="32">
        <v>3319</v>
      </c>
      <c r="E90" s="32">
        <v>327</v>
      </c>
      <c r="F90" s="32">
        <v>2</v>
      </c>
      <c r="G90" s="31">
        <v>1</v>
      </c>
      <c r="H90" s="31">
        <v>81433</v>
      </c>
      <c r="I90" s="31" t="s">
        <v>17</v>
      </c>
      <c r="J90" s="31">
        <v>80898615</v>
      </c>
      <c r="K90" s="80" t="s">
        <v>1358</v>
      </c>
      <c r="L90" s="18" t="s">
        <v>1367</v>
      </c>
      <c r="M90" s="41">
        <v>219900</v>
      </c>
      <c r="N90" s="30">
        <v>0.9</v>
      </c>
      <c r="O90" s="33">
        <f t="shared" si="1"/>
        <v>21989.999999999996</v>
      </c>
      <c r="P90" s="28" t="s">
        <v>0</v>
      </c>
    </row>
    <row r="91" spans="1:16" x14ac:dyDescent="0.3">
      <c r="A91" s="32" t="s">
        <v>3213</v>
      </c>
      <c r="B91" s="40">
        <v>46093</v>
      </c>
      <c r="C91" s="40">
        <v>46098</v>
      </c>
      <c r="D91" s="32">
        <v>3319</v>
      </c>
      <c r="E91" s="32">
        <v>327</v>
      </c>
      <c r="F91" s="32">
        <v>2</v>
      </c>
      <c r="G91" s="31">
        <v>1</v>
      </c>
      <c r="H91" s="31">
        <v>81433</v>
      </c>
      <c r="I91" s="31" t="s">
        <v>17</v>
      </c>
      <c r="J91" s="31">
        <v>80898624</v>
      </c>
      <c r="K91" s="80" t="s">
        <v>1358</v>
      </c>
      <c r="L91" s="18" t="s">
        <v>1368</v>
      </c>
      <c r="M91" s="41">
        <v>219900</v>
      </c>
      <c r="N91" s="30">
        <v>0.9</v>
      </c>
      <c r="O91" s="33">
        <f t="shared" si="1"/>
        <v>21989.999999999996</v>
      </c>
      <c r="P91" s="28" t="s">
        <v>0</v>
      </c>
    </row>
    <row r="92" spans="1:16" x14ac:dyDescent="0.3">
      <c r="A92" s="32" t="s">
        <v>3213</v>
      </c>
      <c r="B92" s="40">
        <v>46093</v>
      </c>
      <c r="C92" s="40">
        <v>46098</v>
      </c>
      <c r="D92" s="32">
        <v>3319</v>
      </c>
      <c r="E92" s="32">
        <v>327</v>
      </c>
      <c r="F92" s="32">
        <v>2</v>
      </c>
      <c r="G92" s="31">
        <v>1</v>
      </c>
      <c r="H92" s="31">
        <v>81778</v>
      </c>
      <c r="I92" s="31" t="s">
        <v>17</v>
      </c>
      <c r="J92" s="31">
        <v>78769992</v>
      </c>
      <c r="K92" s="80" t="s">
        <v>1369</v>
      </c>
      <c r="L92" s="18" t="s">
        <v>1370</v>
      </c>
      <c r="M92" s="41">
        <v>199900</v>
      </c>
      <c r="N92" s="30">
        <v>0.9</v>
      </c>
      <c r="O92" s="33">
        <f t="shared" si="1"/>
        <v>19989.999999999996</v>
      </c>
      <c r="P92" s="28" t="s">
        <v>0</v>
      </c>
    </row>
    <row r="93" spans="1:16" x14ac:dyDescent="0.3">
      <c r="A93" s="32" t="s">
        <v>3213</v>
      </c>
      <c r="B93" s="40">
        <v>46093</v>
      </c>
      <c r="C93" s="40">
        <v>46098</v>
      </c>
      <c r="D93" s="32">
        <v>3319</v>
      </c>
      <c r="E93" s="32">
        <v>327</v>
      </c>
      <c r="F93" s="32">
        <v>2</v>
      </c>
      <c r="G93" s="31">
        <v>1</v>
      </c>
      <c r="H93" s="31">
        <v>81778</v>
      </c>
      <c r="I93" s="31" t="s">
        <v>17</v>
      </c>
      <c r="J93" s="31">
        <v>78770006</v>
      </c>
      <c r="K93" s="80" t="s">
        <v>1369</v>
      </c>
      <c r="L93" s="18" t="s">
        <v>1371</v>
      </c>
      <c r="M93" s="41">
        <v>199900</v>
      </c>
      <c r="N93" s="30">
        <v>0.9</v>
      </c>
      <c r="O93" s="33">
        <f t="shared" si="1"/>
        <v>19989.999999999996</v>
      </c>
      <c r="P93" s="28" t="s">
        <v>0</v>
      </c>
    </row>
    <row r="94" spans="1:16" x14ac:dyDescent="0.3">
      <c r="A94" s="32" t="s">
        <v>3213</v>
      </c>
      <c r="B94" s="40">
        <v>46093</v>
      </c>
      <c r="C94" s="40">
        <v>46098</v>
      </c>
      <c r="D94" s="32">
        <v>3319</v>
      </c>
      <c r="E94" s="32">
        <v>327</v>
      </c>
      <c r="F94" s="32">
        <v>2</v>
      </c>
      <c r="G94" s="31">
        <v>1</v>
      </c>
      <c r="H94" s="31">
        <v>81778</v>
      </c>
      <c r="I94" s="31" t="s">
        <v>17</v>
      </c>
      <c r="J94" s="31">
        <v>78770015</v>
      </c>
      <c r="K94" s="80" t="s">
        <v>1369</v>
      </c>
      <c r="L94" s="18" t="s">
        <v>1372</v>
      </c>
      <c r="M94" s="41">
        <v>199900</v>
      </c>
      <c r="N94" s="30">
        <v>0.9</v>
      </c>
      <c r="O94" s="33">
        <f t="shared" si="1"/>
        <v>19989.999999999996</v>
      </c>
      <c r="P94" s="28" t="s">
        <v>0</v>
      </c>
    </row>
    <row r="95" spans="1:16" x14ac:dyDescent="0.3">
      <c r="A95" s="32" t="s">
        <v>3213</v>
      </c>
      <c r="B95" s="40">
        <v>46093</v>
      </c>
      <c r="C95" s="40">
        <v>46098</v>
      </c>
      <c r="D95" s="32">
        <v>3319</v>
      </c>
      <c r="E95" s="32">
        <v>327</v>
      </c>
      <c r="F95" s="32">
        <v>2</v>
      </c>
      <c r="G95" s="31">
        <v>1</v>
      </c>
      <c r="H95" s="31">
        <v>81778</v>
      </c>
      <c r="I95" s="31" t="s">
        <v>17</v>
      </c>
      <c r="J95" s="31">
        <v>78770024</v>
      </c>
      <c r="K95" s="80" t="s">
        <v>1369</v>
      </c>
      <c r="L95" s="18" t="s">
        <v>1373</v>
      </c>
      <c r="M95" s="41">
        <v>199900</v>
      </c>
      <c r="N95" s="30">
        <v>0.9</v>
      </c>
      <c r="O95" s="33">
        <f t="shared" si="1"/>
        <v>19989.999999999996</v>
      </c>
      <c r="P95" s="28" t="s">
        <v>0</v>
      </c>
    </row>
    <row r="96" spans="1:16" x14ac:dyDescent="0.3">
      <c r="A96" s="32" t="s">
        <v>3213</v>
      </c>
      <c r="B96" s="40">
        <v>46093</v>
      </c>
      <c r="C96" s="40">
        <v>46098</v>
      </c>
      <c r="D96" s="32">
        <v>3319</v>
      </c>
      <c r="E96" s="32">
        <v>327</v>
      </c>
      <c r="F96" s="32">
        <v>2</v>
      </c>
      <c r="G96" s="31">
        <v>1</v>
      </c>
      <c r="H96" s="31">
        <v>81778</v>
      </c>
      <c r="I96" s="31" t="s">
        <v>17</v>
      </c>
      <c r="J96" s="31">
        <v>78770033</v>
      </c>
      <c r="K96" s="80" t="s">
        <v>1369</v>
      </c>
      <c r="L96" s="18" t="s">
        <v>1374</v>
      </c>
      <c r="M96" s="41">
        <v>199900</v>
      </c>
      <c r="N96" s="30">
        <v>0.9</v>
      </c>
      <c r="O96" s="33">
        <f t="shared" si="1"/>
        <v>19989.999999999996</v>
      </c>
      <c r="P96" s="28" t="s">
        <v>0</v>
      </c>
    </row>
    <row r="97" spans="1:16" x14ac:dyDescent="0.3">
      <c r="A97" s="32" t="s">
        <v>3213</v>
      </c>
      <c r="B97" s="40">
        <v>46093</v>
      </c>
      <c r="C97" s="40">
        <v>46098</v>
      </c>
      <c r="D97" s="32">
        <v>3319</v>
      </c>
      <c r="E97" s="32">
        <v>327</v>
      </c>
      <c r="F97" s="32">
        <v>2</v>
      </c>
      <c r="G97" s="31">
        <v>1</v>
      </c>
      <c r="H97" s="31">
        <v>81778</v>
      </c>
      <c r="I97" s="31" t="s">
        <v>17</v>
      </c>
      <c r="J97" s="31">
        <v>78770042</v>
      </c>
      <c r="K97" s="80" t="s">
        <v>1369</v>
      </c>
      <c r="L97" s="18" t="s">
        <v>1375</v>
      </c>
      <c r="M97" s="41">
        <v>199900</v>
      </c>
      <c r="N97" s="30">
        <v>0.9</v>
      </c>
      <c r="O97" s="33">
        <f t="shared" si="1"/>
        <v>19989.999999999996</v>
      </c>
      <c r="P97" s="28" t="s">
        <v>0</v>
      </c>
    </row>
    <row r="98" spans="1:16" x14ac:dyDescent="0.3">
      <c r="A98" s="32" t="s">
        <v>3213</v>
      </c>
      <c r="B98" s="40">
        <v>46093</v>
      </c>
      <c r="C98" s="40">
        <v>46098</v>
      </c>
      <c r="D98" s="32">
        <v>3319</v>
      </c>
      <c r="E98" s="32">
        <v>327</v>
      </c>
      <c r="F98" s="32">
        <v>2</v>
      </c>
      <c r="G98" s="31">
        <v>1</v>
      </c>
      <c r="H98" s="31">
        <v>81778</v>
      </c>
      <c r="I98" s="31" t="s">
        <v>17</v>
      </c>
      <c r="J98" s="31">
        <v>78770051</v>
      </c>
      <c r="K98" s="80" t="s">
        <v>1369</v>
      </c>
      <c r="L98" s="18" t="s">
        <v>1376</v>
      </c>
      <c r="M98" s="41">
        <v>199900</v>
      </c>
      <c r="N98" s="30">
        <v>0.9</v>
      </c>
      <c r="O98" s="33">
        <f t="shared" si="1"/>
        <v>19989.999999999996</v>
      </c>
      <c r="P98" s="28" t="s">
        <v>0</v>
      </c>
    </row>
    <row r="99" spans="1:16" x14ac:dyDescent="0.3">
      <c r="A99" s="32" t="s">
        <v>3213</v>
      </c>
      <c r="B99" s="40">
        <v>46093</v>
      </c>
      <c r="C99" s="40">
        <v>46098</v>
      </c>
      <c r="D99" s="32">
        <v>3319</v>
      </c>
      <c r="E99" s="32">
        <v>327</v>
      </c>
      <c r="F99" s="32">
        <v>2</v>
      </c>
      <c r="G99" s="31">
        <v>1</v>
      </c>
      <c r="H99" s="31">
        <v>81778</v>
      </c>
      <c r="I99" s="31" t="s">
        <v>17</v>
      </c>
      <c r="J99" s="31">
        <v>78770060</v>
      </c>
      <c r="K99" s="80" t="s">
        <v>1369</v>
      </c>
      <c r="L99" s="18" t="s">
        <v>1377</v>
      </c>
      <c r="M99" s="41">
        <v>199900</v>
      </c>
      <c r="N99" s="30">
        <v>0.9</v>
      </c>
      <c r="O99" s="33">
        <f t="shared" si="1"/>
        <v>19989.999999999996</v>
      </c>
      <c r="P99" s="28" t="s">
        <v>0</v>
      </c>
    </row>
    <row r="100" spans="1:16" x14ac:dyDescent="0.3">
      <c r="A100" s="32" t="s">
        <v>3213</v>
      </c>
      <c r="B100" s="40">
        <v>46093</v>
      </c>
      <c r="C100" s="40">
        <v>46098</v>
      </c>
      <c r="D100" s="32">
        <v>3319</v>
      </c>
      <c r="E100" s="32">
        <v>327</v>
      </c>
      <c r="F100" s="32">
        <v>2</v>
      </c>
      <c r="G100" s="31">
        <v>1</v>
      </c>
      <c r="H100" s="31">
        <v>81778</v>
      </c>
      <c r="I100" s="31" t="s">
        <v>17</v>
      </c>
      <c r="J100" s="31">
        <v>78770079</v>
      </c>
      <c r="K100" s="80" t="s">
        <v>1369</v>
      </c>
      <c r="L100" s="18" t="s">
        <v>1378</v>
      </c>
      <c r="M100" s="41">
        <v>199900</v>
      </c>
      <c r="N100" s="30">
        <v>0.9</v>
      </c>
      <c r="O100" s="33">
        <f t="shared" si="1"/>
        <v>19989.999999999996</v>
      </c>
      <c r="P100" s="28" t="s">
        <v>0</v>
      </c>
    </row>
    <row r="101" spans="1:16" x14ac:dyDescent="0.3">
      <c r="A101" s="32" t="s">
        <v>3213</v>
      </c>
      <c r="B101" s="40">
        <v>46093</v>
      </c>
      <c r="C101" s="40">
        <v>46098</v>
      </c>
      <c r="D101" s="32">
        <v>3319</v>
      </c>
      <c r="E101" s="32">
        <v>327</v>
      </c>
      <c r="F101" s="32">
        <v>2</v>
      </c>
      <c r="G101" s="31">
        <v>1</v>
      </c>
      <c r="H101" s="31">
        <v>81778</v>
      </c>
      <c r="I101" s="31" t="s">
        <v>17</v>
      </c>
      <c r="J101" s="31">
        <v>78770088</v>
      </c>
      <c r="K101" s="80" t="s">
        <v>1369</v>
      </c>
      <c r="L101" s="18" t="s">
        <v>1379</v>
      </c>
      <c r="M101" s="41">
        <v>199900</v>
      </c>
      <c r="N101" s="30">
        <v>0.9</v>
      </c>
      <c r="O101" s="33">
        <f t="shared" si="1"/>
        <v>19989.999999999996</v>
      </c>
      <c r="P101" s="28" t="s">
        <v>0</v>
      </c>
    </row>
    <row r="102" spans="1:16" x14ac:dyDescent="0.3">
      <c r="A102" s="32" t="s">
        <v>3213</v>
      </c>
      <c r="B102" s="40">
        <v>46093</v>
      </c>
      <c r="C102" s="40">
        <v>46098</v>
      </c>
      <c r="D102" s="32">
        <v>3319</v>
      </c>
      <c r="E102" s="32">
        <v>327</v>
      </c>
      <c r="F102" s="32">
        <v>2</v>
      </c>
      <c r="G102" s="31">
        <v>1</v>
      </c>
      <c r="H102" s="31">
        <v>81433</v>
      </c>
      <c r="I102" s="31" t="s">
        <v>17</v>
      </c>
      <c r="J102" s="31">
        <v>73615586</v>
      </c>
      <c r="K102" s="80" t="s">
        <v>1380</v>
      </c>
      <c r="L102" s="18" t="s">
        <v>1381</v>
      </c>
      <c r="M102" s="41">
        <v>219900</v>
      </c>
      <c r="N102" s="30">
        <v>0.9</v>
      </c>
      <c r="O102" s="33">
        <f t="shared" si="1"/>
        <v>21989.999999999996</v>
      </c>
      <c r="P102" s="28" t="s">
        <v>0</v>
      </c>
    </row>
    <row r="103" spans="1:16" x14ac:dyDescent="0.3">
      <c r="A103" s="32" t="s">
        <v>3213</v>
      </c>
      <c r="B103" s="40">
        <v>46093</v>
      </c>
      <c r="C103" s="40">
        <v>46098</v>
      </c>
      <c r="D103" s="32">
        <v>3319</v>
      </c>
      <c r="E103" s="32">
        <v>327</v>
      </c>
      <c r="F103" s="32">
        <v>2</v>
      </c>
      <c r="G103" s="31">
        <v>1</v>
      </c>
      <c r="H103" s="31">
        <v>81433</v>
      </c>
      <c r="I103" s="31" t="s">
        <v>17</v>
      </c>
      <c r="J103" s="31">
        <v>73615568</v>
      </c>
      <c r="K103" s="80" t="s">
        <v>1380</v>
      </c>
      <c r="L103" s="18" t="s">
        <v>1382</v>
      </c>
      <c r="M103" s="41">
        <v>219900</v>
      </c>
      <c r="N103" s="30">
        <v>0.9</v>
      </c>
      <c r="O103" s="33">
        <f t="shared" si="1"/>
        <v>21989.999999999996</v>
      </c>
      <c r="P103" s="28" t="s">
        <v>0</v>
      </c>
    </row>
    <row r="104" spans="1:16" x14ac:dyDescent="0.3">
      <c r="A104" s="32" t="s">
        <v>3213</v>
      </c>
      <c r="B104" s="40">
        <v>46093</v>
      </c>
      <c r="C104" s="40">
        <v>46098</v>
      </c>
      <c r="D104" s="32">
        <v>3319</v>
      </c>
      <c r="E104" s="32">
        <v>327</v>
      </c>
      <c r="F104" s="32">
        <v>2</v>
      </c>
      <c r="G104" s="31">
        <v>1</v>
      </c>
      <c r="H104" s="31">
        <v>81433</v>
      </c>
      <c r="I104" s="31" t="s">
        <v>17</v>
      </c>
      <c r="J104" s="31">
        <v>73615620</v>
      </c>
      <c r="K104" s="80" t="s">
        <v>1380</v>
      </c>
      <c r="L104" s="18" t="s">
        <v>1383</v>
      </c>
      <c r="M104" s="41">
        <v>219900</v>
      </c>
      <c r="N104" s="30">
        <v>0.9</v>
      </c>
      <c r="O104" s="33">
        <f t="shared" si="1"/>
        <v>21989.999999999996</v>
      </c>
      <c r="P104" s="28" t="s">
        <v>0</v>
      </c>
    </row>
    <row r="105" spans="1:16" x14ac:dyDescent="0.3">
      <c r="A105" s="32" t="s">
        <v>3213</v>
      </c>
      <c r="B105" s="40">
        <v>46093</v>
      </c>
      <c r="C105" s="40">
        <v>46098</v>
      </c>
      <c r="D105" s="32">
        <v>3319</v>
      </c>
      <c r="E105" s="32">
        <v>327</v>
      </c>
      <c r="F105" s="32">
        <v>2</v>
      </c>
      <c r="G105" s="31">
        <v>1</v>
      </c>
      <c r="H105" s="31">
        <v>81433</v>
      </c>
      <c r="I105" s="31" t="s">
        <v>17</v>
      </c>
      <c r="J105" s="31">
        <v>73615657</v>
      </c>
      <c r="K105" s="80" t="s">
        <v>1380</v>
      </c>
      <c r="L105" s="18" t="s">
        <v>1384</v>
      </c>
      <c r="M105" s="41">
        <v>219900</v>
      </c>
      <c r="N105" s="30">
        <v>0.9</v>
      </c>
      <c r="O105" s="33">
        <f t="shared" si="1"/>
        <v>21989.999999999996</v>
      </c>
      <c r="P105" s="28" t="s">
        <v>0</v>
      </c>
    </row>
    <row r="106" spans="1:16" x14ac:dyDescent="0.3">
      <c r="A106" s="32" t="s">
        <v>3213</v>
      </c>
      <c r="B106" s="40">
        <v>46093</v>
      </c>
      <c r="C106" s="40">
        <v>46098</v>
      </c>
      <c r="D106" s="32">
        <v>3319</v>
      </c>
      <c r="E106" s="32">
        <v>327</v>
      </c>
      <c r="F106" s="32">
        <v>2</v>
      </c>
      <c r="G106" s="31">
        <v>1</v>
      </c>
      <c r="H106" s="31">
        <v>81433</v>
      </c>
      <c r="I106" s="31" t="s">
        <v>17</v>
      </c>
      <c r="J106" s="31">
        <v>73615648</v>
      </c>
      <c r="K106" s="80" t="s">
        <v>1380</v>
      </c>
      <c r="L106" s="18" t="s">
        <v>1385</v>
      </c>
      <c r="M106" s="41">
        <v>219900</v>
      </c>
      <c r="N106" s="30">
        <v>0.9</v>
      </c>
      <c r="O106" s="33">
        <f t="shared" si="1"/>
        <v>21989.999999999996</v>
      </c>
      <c r="P106" s="28" t="s">
        <v>0</v>
      </c>
    </row>
    <row r="107" spans="1:16" x14ac:dyDescent="0.3">
      <c r="A107" s="32" t="s">
        <v>3213</v>
      </c>
      <c r="B107" s="40">
        <v>46093</v>
      </c>
      <c r="C107" s="40">
        <v>46098</v>
      </c>
      <c r="D107" s="32">
        <v>3319</v>
      </c>
      <c r="E107" s="32">
        <v>327</v>
      </c>
      <c r="F107" s="32">
        <v>2</v>
      </c>
      <c r="G107" s="31">
        <v>1</v>
      </c>
      <c r="H107" s="31">
        <v>81433</v>
      </c>
      <c r="I107" s="31" t="s">
        <v>17</v>
      </c>
      <c r="J107" s="31">
        <v>73615602</v>
      </c>
      <c r="K107" s="80" t="s">
        <v>1380</v>
      </c>
      <c r="L107" s="18" t="s">
        <v>1386</v>
      </c>
      <c r="M107" s="41">
        <v>219900</v>
      </c>
      <c r="N107" s="30">
        <v>0.9</v>
      </c>
      <c r="O107" s="33">
        <f t="shared" si="1"/>
        <v>21989.999999999996</v>
      </c>
      <c r="P107" s="28" t="s">
        <v>0</v>
      </c>
    </row>
    <row r="108" spans="1:16" x14ac:dyDescent="0.3">
      <c r="A108" s="32" t="s">
        <v>3213</v>
      </c>
      <c r="B108" s="40">
        <v>46093</v>
      </c>
      <c r="C108" s="40">
        <v>46098</v>
      </c>
      <c r="D108" s="32">
        <v>3319</v>
      </c>
      <c r="E108" s="32">
        <v>327</v>
      </c>
      <c r="F108" s="32">
        <v>2</v>
      </c>
      <c r="G108" s="31">
        <v>1</v>
      </c>
      <c r="H108" s="31">
        <v>81433</v>
      </c>
      <c r="I108" s="31" t="s">
        <v>17</v>
      </c>
      <c r="J108" s="31">
        <v>73615639</v>
      </c>
      <c r="K108" s="80" t="s">
        <v>1380</v>
      </c>
      <c r="L108" s="18" t="s">
        <v>1387</v>
      </c>
      <c r="M108" s="41">
        <v>219900</v>
      </c>
      <c r="N108" s="30">
        <v>0.9</v>
      </c>
      <c r="O108" s="33">
        <f t="shared" si="1"/>
        <v>21989.999999999996</v>
      </c>
      <c r="P108" s="28" t="s">
        <v>0</v>
      </c>
    </row>
    <row r="109" spans="1:16" x14ac:dyDescent="0.3">
      <c r="A109" s="32" t="s">
        <v>3213</v>
      </c>
      <c r="B109" s="40">
        <v>46093</v>
      </c>
      <c r="C109" s="40">
        <v>46098</v>
      </c>
      <c r="D109" s="32">
        <v>3319</v>
      </c>
      <c r="E109" s="32">
        <v>327</v>
      </c>
      <c r="F109" s="32">
        <v>2</v>
      </c>
      <c r="G109" s="31">
        <v>1</v>
      </c>
      <c r="H109" s="31">
        <v>81433</v>
      </c>
      <c r="I109" s="31" t="s">
        <v>17</v>
      </c>
      <c r="J109" s="31">
        <v>73615611</v>
      </c>
      <c r="K109" s="80" t="s">
        <v>1380</v>
      </c>
      <c r="L109" s="18" t="s">
        <v>1388</v>
      </c>
      <c r="M109" s="41">
        <v>219900</v>
      </c>
      <c r="N109" s="30">
        <v>0.9</v>
      </c>
      <c r="O109" s="33">
        <f t="shared" si="1"/>
        <v>21989.999999999996</v>
      </c>
      <c r="P109" s="28" t="s">
        <v>0</v>
      </c>
    </row>
    <row r="110" spans="1:16" x14ac:dyDescent="0.3">
      <c r="A110" s="32" t="s">
        <v>3213</v>
      </c>
      <c r="B110" s="40">
        <v>46093</v>
      </c>
      <c r="C110" s="40">
        <v>46098</v>
      </c>
      <c r="D110" s="32">
        <v>3319</v>
      </c>
      <c r="E110" s="32">
        <v>327</v>
      </c>
      <c r="F110" s="32">
        <v>2</v>
      </c>
      <c r="G110" s="31">
        <v>1</v>
      </c>
      <c r="H110" s="31">
        <v>81433</v>
      </c>
      <c r="I110" s="31" t="s">
        <v>17</v>
      </c>
      <c r="J110" s="31">
        <v>73615595</v>
      </c>
      <c r="K110" s="80" t="s">
        <v>1380</v>
      </c>
      <c r="L110" s="18" t="s">
        <v>1389</v>
      </c>
      <c r="M110" s="41">
        <v>219900</v>
      </c>
      <c r="N110" s="30">
        <v>0.9</v>
      </c>
      <c r="O110" s="33">
        <f t="shared" si="1"/>
        <v>21989.999999999996</v>
      </c>
      <c r="P110" s="28" t="s">
        <v>0</v>
      </c>
    </row>
    <row r="111" spans="1:16" x14ac:dyDescent="0.3">
      <c r="A111" s="32" t="s">
        <v>3213</v>
      </c>
      <c r="B111" s="40">
        <v>46093</v>
      </c>
      <c r="C111" s="40">
        <v>46098</v>
      </c>
      <c r="D111" s="32">
        <v>3319</v>
      </c>
      <c r="E111" s="32">
        <v>327</v>
      </c>
      <c r="F111" s="32">
        <v>2</v>
      </c>
      <c r="G111" s="31">
        <v>1</v>
      </c>
      <c r="H111" s="31">
        <v>81433</v>
      </c>
      <c r="I111" s="31" t="s">
        <v>17</v>
      </c>
      <c r="J111" s="31">
        <v>73615577</v>
      </c>
      <c r="K111" s="80" t="s">
        <v>1380</v>
      </c>
      <c r="L111" s="18" t="s">
        <v>1390</v>
      </c>
      <c r="M111" s="41">
        <v>219900</v>
      </c>
      <c r="N111" s="30">
        <v>0.9</v>
      </c>
      <c r="O111" s="33">
        <f t="shared" si="1"/>
        <v>21989.999999999996</v>
      </c>
      <c r="P111" s="28" t="s">
        <v>0</v>
      </c>
    </row>
    <row r="112" spans="1:16" x14ac:dyDescent="0.3">
      <c r="A112" s="32" t="s">
        <v>3213</v>
      </c>
      <c r="B112" s="40">
        <v>46093</v>
      </c>
      <c r="C112" s="40">
        <v>46098</v>
      </c>
      <c r="D112" s="32">
        <v>3319</v>
      </c>
      <c r="E112" s="32">
        <v>327</v>
      </c>
      <c r="F112" s="32">
        <v>2</v>
      </c>
      <c r="G112" s="31">
        <v>1</v>
      </c>
      <c r="H112" s="31">
        <v>81433</v>
      </c>
      <c r="I112" s="31" t="s">
        <v>17</v>
      </c>
      <c r="J112" s="31">
        <v>81119759</v>
      </c>
      <c r="K112" s="80" t="s">
        <v>1391</v>
      </c>
      <c r="L112" s="18" t="s">
        <v>1392</v>
      </c>
      <c r="M112" s="41">
        <v>219900</v>
      </c>
      <c r="N112" s="30">
        <v>0.9</v>
      </c>
      <c r="O112" s="33">
        <f t="shared" si="1"/>
        <v>21989.999999999996</v>
      </c>
      <c r="P112" s="28" t="s">
        <v>0</v>
      </c>
    </row>
    <row r="113" spans="1:16" x14ac:dyDescent="0.3">
      <c r="A113" s="32" t="s">
        <v>3213</v>
      </c>
      <c r="B113" s="40">
        <v>46093</v>
      </c>
      <c r="C113" s="40">
        <v>46098</v>
      </c>
      <c r="D113" s="32">
        <v>3319</v>
      </c>
      <c r="E113" s="32">
        <v>327</v>
      </c>
      <c r="F113" s="32">
        <v>2</v>
      </c>
      <c r="G113" s="31">
        <v>1</v>
      </c>
      <c r="H113" s="31">
        <v>81433</v>
      </c>
      <c r="I113" s="31" t="s">
        <v>17</v>
      </c>
      <c r="J113" s="31">
        <v>81119768</v>
      </c>
      <c r="K113" s="80" t="s">
        <v>1391</v>
      </c>
      <c r="L113" s="18" t="s">
        <v>1393</v>
      </c>
      <c r="M113" s="41">
        <v>219900</v>
      </c>
      <c r="N113" s="30">
        <v>0.9</v>
      </c>
      <c r="O113" s="33">
        <f t="shared" si="1"/>
        <v>21989.999999999996</v>
      </c>
      <c r="P113" s="28" t="s">
        <v>0</v>
      </c>
    </row>
    <row r="114" spans="1:16" x14ac:dyDescent="0.3">
      <c r="A114" s="32" t="s">
        <v>3213</v>
      </c>
      <c r="B114" s="40">
        <v>46093</v>
      </c>
      <c r="C114" s="40">
        <v>46098</v>
      </c>
      <c r="D114" s="32">
        <v>3319</v>
      </c>
      <c r="E114" s="32">
        <v>327</v>
      </c>
      <c r="F114" s="32">
        <v>2</v>
      </c>
      <c r="G114" s="31">
        <v>1</v>
      </c>
      <c r="H114" s="31">
        <v>81433</v>
      </c>
      <c r="I114" s="31" t="s">
        <v>17</v>
      </c>
      <c r="J114" s="31">
        <v>81119777</v>
      </c>
      <c r="K114" s="80" t="s">
        <v>1391</v>
      </c>
      <c r="L114" s="18" t="s">
        <v>1394</v>
      </c>
      <c r="M114" s="41">
        <v>219900</v>
      </c>
      <c r="N114" s="30">
        <v>0.9</v>
      </c>
      <c r="O114" s="33">
        <f t="shared" si="1"/>
        <v>21989.999999999996</v>
      </c>
      <c r="P114" s="28" t="s">
        <v>0</v>
      </c>
    </row>
    <row r="115" spans="1:16" x14ac:dyDescent="0.3">
      <c r="A115" s="32" t="s">
        <v>3213</v>
      </c>
      <c r="B115" s="40">
        <v>46093</v>
      </c>
      <c r="C115" s="40">
        <v>46098</v>
      </c>
      <c r="D115" s="32">
        <v>3319</v>
      </c>
      <c r="E115" s="32">
        <v>327</v>
      </c>
      <c r="F115" s="32">
        <v>2</v>
      </c>
      <c r="G115" s="31">
        <v>1</v>
      </c>
      <c r="H115" s="31">
        <v>81433</v>
      </c>
      <c r="I115" s="31" t="s">
        <v>17</v>
      </c>
      <c r="J115" s="31">
        <v>81119786</v>
      </c>
      <c r="K115" s="80" t="s">
        <v>1391</v>
      </c>
      <c r="L115" s="18" t="s">
        <v>1395</v>
      </c>
      <c r="M115" s="41">
        <v>219900</v>
      </c>
      <c r="N115" s="30">
        <v>0.9</v>
      </c>
      <c r="O115" s="33">
        <f t="shared" si="1"/>
        <v>21989.999999999996</v>
      </c>
      <c r="P115" s="28" t="s">
        <v>0</v>
      </c>
    </row>
    <row r="116" spans="1:16" x14ac:dyDescent="0.3">
      <c r="A116" s="32" t="s">
        <v>3213</v>
      </c>
      <c r="B116" s="40">
        <v>46093</v>
      </c>
      <c r="C116" s="40">
        <v>46098</v>
      </c>
      <c r="D116" s="32">
        <v>3319</v>
      </c>
      <c r="E116" s="32">
        <v>327</v>
      </c>
      <c r="F116" s="32">
        <v>2</v>
      </c>
      <c r="G116" s="31">
        <v>1</v>
      </c>
      <c r="H116" s="31">
        <v>81433</v>
      </c>
      <c r="I116" s="31" t="s">
        <v>17</v>
      </c>
      <c r="J116" s="31">
        <v>81119795</v>
      </c>
      <c r="K116" s="80" t="s">
        <v>1391</v>
      </c>
      <c r="L116" s="18" t="s">
        <v>1396</v>
      </c>
      <c r="M116" s="41">
        <v>219900</v>
      </c>
      <c r="N116" s="30">
        <v>0.9</v>
      </c>
      <c r="O116" s="33">
        <f t="shared" si="1"/>
        <v>21989.999999999996</v>
      </c>
      <c r="P116" s="28" t="s">
        <v>0</v>
      </c>
    </row>
    <row r="117" spans="1:16" x14ac:dyDescent="0.3">
      <c r="A117" s="32" t="s">
        <v>3213</v>
      </c>
      <c r="B117" s="40">
        <v>46093</v>
      </c>
      <c r="C117" s="40">
        <v>46098</v>
      </c>
      <c r="D117" s="32">
        <v>3319</v>
      </c>
      <c r="E117" s="32">
        <v>327</v>
      </c>
      <c r="F117" s="32">
        <v>2</v>
      </c>
      <c r="G117" s="31">
        <v>1</v>
      </c>
      <c r="H117" s="31">
        <v>81433</v>
      </c>
      <c r="I117" s="31" t="s">
        <v>17</v>
      </c>
      <c r="J117" s="31">
        <v>81119802</v>
      </c>
      <c r="K117" s="80" t="s">
        <v>1391</v>
      </c>
      <c r="L117" s="18" t="s">
        <v>1397</v>
      </c>
      <c r="M117" s="41">
        <v>219900</v>
      </c>
      <c r="N117" s="30">
        <v>0.9</v>
      </c>
      <c r="O117" s="33">
        <f t="shared" si="1"/>
        <v>21989.999999999996</v>
      </c>
      <c r="P117" s="28" t="s">
        <v>0</v>
      </c>
    </row>
    <row r="118" spans="1:16" x14ac:dyDescent="0.3">
      <c r="A118" s="32" t="s">
        <v>3213</v>
      </c>
      <c r="B118" s="40">
        <v>46093</v>
      </c>
      <c r="C118" s="40">
        <v>46098</v>
      </c>
      <c r="D118" s="32">
        <v>3319</v>
      </c>
      <c r="E118" s="32">
        <v>327</v>
      </c>
      <c r="F118" s="32">
        <v>2</v>
      </c>
      <c r="G118" s="31">
        <v>1</v>
      </c>
      <c r="H118" s="31">
        <v>81433</v>
      </c>
      <c r="I118" s="31" t="s">
        <v>17</v>
      </c>
      <c r="J118" s="31">
        <v>81119811</v>
      </c>
      <c r="K118" s="80" t="s">
        <v>1391</v>
      </c>
      <c r="L118" s="18" t="s">
        <v>1398</v>
      </c>
      <c r="M118" s="41">
        <v>219900</v>
      </c>
      <c r="N118" s="30">
        <v>0.9</v>
      </c>
      <c r="O118" s="33">
        <f t="shared" si="1"/>
        <v>21989.999999999996</v>
      </c>
      <c r="P118" s="28" t="s">
        <v>0</v>
      </c>
    </row>
    <row r="119" spans="1:16" x14ac:dyDescent="0.3">
      <c r="A119" s="32" t="s">
        <v>3213</v>
      </c>
      <c r="B119" s="40">
        <v>46093</v>
      </c>
      <c r="C119" s="40">
        <v>46098</v>
      </c>
      <c r="D119" s="32">
        <v>3319</v>
      </c>
      <c r="E119" s="32">
        <v>327</v>
      </c>
      <c r="F119" s="32">
        <v>2</v>
      </c>
      <c r="G119" s="31">
        <v>1</v>
      </c>
      <c r="H119" s="31">
        <v>81433</v>
      </c>
      <c r="I119" s="31" t="s">
        <v>17</v>
      </c>
      <c r="J119" s="31">
        <v>81119820</v>
      </c>
      <c r="K119" s="80" t="s">
        <v>1391</v>
      </c>
      <c r="L119" s="18" t="s">
        <v>1399</v>
      </c>
      <c r="M119" s="41">
        <v>219900</v>
      </c>
      <c r="N119" s="30">
        <v>0.9</v>
      </c>
      <c r="O119" s="33">
        <f t="shared" si="1"/>
        <v>21989.999999999996</v>
      </c>
      <c r="P119" s="28" t="s">
        <v>0</v>
      </c>
    </row>
    <row r="120" spans="1:16" x14ac:dyDescent="0.3">
      <c r="A120" s="32" t="s">
        <v>3213</v>
      </c>
      <c r="B120" s="40">
        <v>46093</v>
      </c>
      <c r="C120" s="40">
        <v>46098</v>
      </c>
      <c r="D120" s="32">
        <v>3319</v>
      </c>
      <c r="E120" s="32">
        <v>327</v>
      </c>
      <c r="F120" s="32">
        <v>2</v>
      </c>
      <c r="G120" s="31">
        <v>1</v>
      </c>
      <c r="H120" s="31">
        <v>81433</v>
      </c>
      <c r="I120" s="31" t="s">
        <v>17</v>
      </c>
      <c r="J120" s="31">
        <v>81119839</v>
      </c>
      <c r="K120" s="80" t="s">
        <v>1391</v>
      </c>
      <c r="L120" s="18" t="s">
        <v>1400</v>
      </c>
      <c r="M120" s="41">
        <v>219900</v>
      </c>
      <c r="N120" s="30">
        <v>0.9</v>
      </c>
      <c r="O120" s="33">
        <f t="shared" si="1"/>
        <v>21989.999999999996</v>
      </c>
      <c r="P120" s="28" t="s">
        <v>0</v>
      </c>
    </row>
    <row r="121" spans="1:16" x14ac:dyDescent="0.3">
      <c r="A121" s="32" t="s">
        <v>3213</v>
      </c>
      <c r="B121" s="40">
        <v>46093</v>
      </c>
      <c r="C121" s="40">
        <v>46098</v>
      </c>
      <c r="D121" s="32">
        <v>3319</v>
      </c>
      <c r="E121" s="32">
        <v>327</v>
      </c>
      <c r="F121" s="32">
        <v>2</v>
      </c>
      <c r="G121" s="31">
        <v>1</v>
      </c>
      <c r="H121" s="31">
        <v>81433</v>
      </c>
      <c r="I121" s="31" t="s">
        <v>17</v>
      </c>
      <c r="J121" s="31">
        <v>81119848</v>
      </c>
      <c r="K121" s="80" t="s">
        <v>1391</v>
      </c>
      <c r="L121" s="18" t="s">
        <v>1401</v>
      </c>
      <c r="M121" s="41">
        <v>219900</v>
      </c>
      <c r="N121" s="30">
        <v>0.9</v>
      </c>
      <c r="O121" s="33">
        <f t="shared" si="1"/>
        <v>21989.999999999996</v>
      </c>
      <c r="P121" s="28" t="s">
        <v>0</v>
      </c>
    </row>
    <row r="122" spans="1:16" x14ac:dyDescent="0.3">
      <c r="A122" s="32" t="s">
        <v>3213</v>
      </c>
      <c r="B122" s="40">
        <v>46093</v>
      </c>
      <c r="C122" s="40">
        <v>46098</v>
      </c>
      <c r="D122" s="32">
        <v>3319</v>
      </c>
      <c r="E122" s="32">
        <v>327</v>
      </c>
      <c r="F122" s="32">
        <v>2</v>
      </c>
      <c r="G122" s="31">
        <v>1</v>
      </c>
      <c r="H122" s="31">
        <v>81433</v>
      </c>
      <c r="I122" s="31" t="s">
        <v>17</v>
      </c>
      <c r="J122" s="31">
        <v>66162258</v>
      </c>
      <c r="K122" s="80" t="s">
        <v>1402</v>
      </c>
      <c r="L122" s="18" t="s">
        <v>1403</v>
      </c>
      <c r="M122" s="41">
        <v>259900</v>
      </c>
      <c r="N122" s="30">
        <v>0.9</v>
      </c>
      <c r="O122" s="33">
        <f t="shared" si="1"/>
        <v>25989.999999999993</v>
      </c>
      <c r="P122" s="28" t="s">
        <v>0</v>
      </c>
    </row>
    <row r="123" spans="1:16" x14ac:dyDescent="0.3">
      <c r="A123" s="32" t="s">
        <v>3213</v>
      </c>
      <c r="B123" s="40">
        <v>46093</v>
      </c>
      <c r="C123" s="40">
        <v>46098</v>
      </c>
      <c r="D123" s="32">
        <v>3319</v>
      </c>
      <c r="E123" s="32">
        <v>327</v>
      </c>
      <c r="F123" s="32">
        <v>2</v>
      </c>
      <c r="G123" s="31">
        <v>1</v>
      </c>
      <c r="H123" s="31">
        <v>81433</v>
      </c>
      <c r="I123" s="31" t="s">
        <v>17</v>
      </c>
      <c r="J123" s="31">
        <v>66162267</v>
      </c>
      <c r="K123" s="80" t="s">
        <v>1402</v>
      </c>
      <c r="L123" s="18" t="s">
        <v>1404</v>
      </c>
      <c r="M123" s="41">
        <v>259900</v>
      </c>
      <c r="N123" s="30">
        <v>0.9</v>
      </c>
      <c r="O123" s="33">
        <f t="shared" si="1"/>
        <v>25989.999999999993</v>
      </c>
      <c r="P123" s="28" t="s">
        <v>0</v>
      </c>
    </row>
    <row r="124" spans="1:16" x14ac:dyDescent="0.3">
      <c r="A124" s="32" t="s">
        <v>3213</v>
      </c>
      <c r="B124" s="40">
        <v>46093</v>
      </c>
      <c r="C124" s="40">
        <v>46098</v>
      </c>
      <c r="D124" s="32">
        <v>3319</v>
      </c>
      <c r="E124" s="32">
        <v>327</v>
      </c>
      <c r="F124" s="32">
        <v>2</v>
      </c>
      <c r="G124" s="31">
        <v>1</v>
      </c>
      <c r="H124" s="31">
        <v>81433</v>
      </c>
      <c r="I124" s="31" t="s">
        <v>17</v>
      </c>
      <c r="J124" s="31">
        <v>66162276</v>
      </c>
      <c r="K124" s="80" t="s">
        <v>1402</v>
      </c>
      <c r="L124" s="18" t="s">
        <v>1405</v>
      </c>
      <c r="M124" s="41">
        <v>259900</v>
      </c>
      <c r="N124" s="30">
        <v>0.9</v>
      </c>
      <c r="O124" s="33">
        <f t="shared" si="1"/>
        <v>25989.999999999993</v>
      </c>
      <c r="P124" s="28" t="s">
        <v>0</v>
      </c>
    </row>
    <row r="125" spans="1:16" x14ac:dyDescent="0.3">
      <c r="A125" s="32" t="s">
        <v>3213</v>
      </c>
      <c r="B125" s="40">
        <v>46093</v>
      </c>
      <c r="C125" s="40">
        <v>46098</v>
      </c>
      <c r="D125" s="32">
        <v>3319</v>
      </c>
      <c r="E125" s="32">
        <v>327</v>
      </c>
      <c r="F125" s="32">
        <v>2</v>
      </c>
      <c r="G125" s="31">
        <v>1</v>
      </c>
      <c r="H125" s="31">
        <v>81433</v>
      </c>
      <c r="I125" s="31" t="s">
        <v>17</v>
      </c>
      <c r="J125" s="31">
        <v>66162294</v>
      </c>
      <c r="K125" s="80" t="s">
        <v>1402</v>
      </c>
      <c r="L125" s="18" t="s">
        <v>1406</v>
      </c>
      <c r="M125" s="41">
        <v>259900</v>
      </c>
      <c r="N125" s="30">
        <v>0.9</v>
      </c>
      <c r="O125" s="33">
        <f t="shared" si="1"/>
        <v>25989.999999999993</v>
      </c>
      <c r="P125" s="28" t="s">
        <v>0</v>
      </c>
    </row>
    <row r="126" spans="1:16" x14ac:dyDescent="0.3">
      <c r="A126" s="32" t="s">
        <v>3213</v>
      </c>
      <c r="B126" s="40">
        <v>46093</v>
      </c>
      <c r="C126" s="40">
        <v>46098</v>
      </c>
      <c r="D126" s="32">
        <v>3319</v>
      </c>
      <c r="E126" s="32">
        <v>327</v>
      </c>
      <c r="F126" s="32">
        <v>2</v>
      </c>
      <c r="G126" s="31">
        <v>1</v>
      </c>
      <c r="H126" s="31">
        <v>81433</v>
      </c>
      <c r="I126" s="31" t="s">
        <v>17</v>
      </c>
      <c r="J126" s="31">
        <v>66146525</v>
      </c>
      <c r="K126" s="80" t="s">
        <v>1407</v>
      </c>
      <c r="L126" s="18" t="s">
        <v>1408</v>
      </c>
      <c r="M126" s="41">
        <v>259900</v>
      </c>
      <c r="N126" s="30">
        <v>0.9</v>
      </c>
      <c r="O126" s="33">
        <f t="shared" si="1"/>
        <v>25989.999999999993</v>
      </c>
      <c r="P126" s="28" t="s">
        <v>0</v>
      </c>
    </row>
    <row r="127" spans="1:16" x14ac:dyDescent="0.3">
      <c r="A127" s="32" t="s">
        <v>3213</v>
      </c>
      <c r="B127" s="40">
        <v>46093</v>
      </c>
      <c r="C127" s="40">
        <v>46098</v>
      </c>
      <c r="D127" s="32">
        <v>3319</v>
      </c>
      <c r="E127" s="32">
        <v>327</v>
      </c>
      <c r="F127" s="32">
        <v>2</v>
      </c>
      <c r="G127" s="31">
        <v>1</v>
      </c>
      <c r="H127" s="31">
        <v>81433</v>
      </c>
      <c r="I127" s="31" t="s">
        <v>17</v>
      </c>
      <c r="J127" s="31">
        <v>66146507</v>
      </c>
      <c r="K127" s="80" t="s">
        <v>1407</v>
      </c>
      <c r="L127" s="18" t="s">
        <v>1409</v>
      </c>
      <c r="M127" s="41">
        <v>259900</v>
      </c>
      <c r="N127" s="30">
        <v>0.9</v>
      </c>
      <c r="O127" s="33">
        <f t="shared" si="1"/>
        <v>25989.999999999993</v>
      </c>
      <c r="P127" s="28" t="s">
        <v>0</v>
      </c>
    </row>
    <row r="128" spans="1:16" x14ac:dyDescent="0.3">
      <c r="A128" s="32" t="s">
        <v>3213</v>
      </c>
      <c r="B128" s="40">
        <v>46093</v>
      </c>
      <c r="C128" s="40">
        <v>46098</v>
      </c>
      <c r="D128" s="32">
        <v>3319</v>
      </c>
      <c r="E128" s="32">
        <v>327</v>
      </c>
      <c r="F128" s="32">
        <v>2</v>
      </c>
      <c r="G128" s="31">
        <v>1</v>
      </c>
      <c r="H128" s="31">
        <v>81433</v>
      </c>
      <c r="I128" s="31" t="s">
        <v>17</v>
      </c>
      <c r="J128" s="31">
        <v>66146516</v>
      </c>
      <c r="K128" s="80" t="s">
        <v>1407</v>
      </c>
      <c r="L128" s="18" t="s">
        <v>1410</v>
      </c>
      <c r="M128" s="41">
        <v>259900</v>
      </c>
      <c r="N128" s="30">
        <v>0.9</v>
      </c>
      <c r="O128" s="33">
        <f t="shared" si="1"/>
        <v>25989.999999999993</v>
      </c>
      <c r="P128" s="28" t="s">
        <v>0</v>
      </c>
    </row>
    <row r="129" spans="1:16" x14ac:dyDescent="0.3">
      <c r="A129" s="32" t="s">
        <v>3213</v>
      </c>
      <c r="B129" s="40">
        <v>46093</v>
      </c>
      <c r="C129" s="40">
        <v>46098</v>
      </c>
      <c r="D129" s="32">
        <v>3319</v>
      </c>
      <c r="E129" s="32">
        <v>327</v>
      </c>
      <c r="F129" s="32">
        <v>2</v>
      </c>
      <c r="G129" s="31">
        <v>1</v>
      </c>
      <c r="H129" s="31">
        <v>81433</v>
      </c>
      <c r="I129" s="31" t="s">
        <v>17</v>
      </c>
      <c r="J129" s="31">
        <v>66146490</v>
      </c>
      <c r="K129" s="80" t="s">
        <v>1407</v>
      </c>
      <c r="L129" s="18" t="s">
        <v>1411</v>
      </c>
      <c r="M129" s="41">
        <v>259900</v>
      </c>
      <c r="N129" s="30">
        <v>0.9</v>
      </c>
      <c r="O129" s="33">
        <f t="shared" si="1"/>
        <v>25989.999999999993</v>
      </c>
      <c r="P129" s="28" t="s">
        <v>0</v>
      </c>
    </row>
    <row r="130" spans="1:16" x14ac:dyDescent="0.3">
      <c r="A130" s="32" t="s">
        <v>3213</v>
      </c>
      <c r="B130" s="40">
        <v>46093</v>
      </c>
      <c r="C130" s="40">
        <v>46098</v>
      </c>
      <c r="D130" s="32">
        <v>3319</v>
      </c>
      <c r="E130" s="32">
        <v>327</v>
      </c>
      <c r="F130" s="32">
        <v>2</v>
      </c>
      <c r="G130" s="31">
        <v>1</v>
      </c>
      <c r="H130" s="31">
        <v>81433</v>
      </c>
      <c r="I130" s="31" t="s">
        <v>17</v>
      </c>
      <c r="J130" s="31">
        <v>66651470</v>
      </c>
      <c r="K130" s="80" t="s">
        <v>18</v>
      </c>
      <c r="L130" s="18" t="s">
        <v>1412</v>
      </c>
      <c r="M130" s="41">
        <v>239900</v>
      </c>
      <c r="N130" s="30">
        <v>0.9</v>
      </c>
      <c r="O130" s="33">
        <f t="shared" ref="O130:O193" si="2">M130*(1-N130)</f>
        <v>23989.999999999996</v>
      </c>
      <c r="P130" s="28" t="s">
        <v>0</v>
      </c>
    </row>
    <row r="131" spans="1:16" x14ac:dyDescent="0.3">
      <c r="A131" s="32" t="s">
        <v>3213</v>
      </c>
      <c r="B131" s="40">
        <v>46093</v>
      </c>
      <c r="C131" s="40">
        <v>46098</v>
      </c>
      <c r="D131" s="32">
        <v>3319</v>
      </c>
      <c r="E131" s="32">
        <v>327</v>
      </c>
      <c r="F131" s="32">
        <v>2</v>
      </c>
      <c r="G131" s="31">
        <v>1</v>
      </c>
      <c r="H131" s="31">
        <v>81433</v>
      </c>
      <c r="I131" s="31" t="s">
        <v>17</v>
      </c>
      <c r="J131" s="31">
        <v>66651452</v>
      </c>
      <c r="K131" s="80" t="s">
        <v>18</v>
      </c>
      <c r="L131" s="18" t="s">
        <v>1413</v>
      </c>
      <c r="M131" s="41">
        <v>239900</v>
      </c>
      <c r="N131" s="30">
        <v>0.9</v>
      </c>
      <c r="O131" s="33">
        <f t="shared" si="2"/>
        <v>23989.999999999996</v>
      </c>
      <c r="P131" s="28" t="s">
        <v>0</v>
      </c>
    </row>
    <row r="132" spans="1:16" x14ac:dyDescent="0.3">
      <c r="A132" s="32" t="s">
        <v>3213</v>
      </c>
      <c r="B132" s="40">
        <v>46093</v>
      </c>
      <c r="C132" s="40">
        <v>46098</v>
      </c>
      <c r="D132" s="32">
        <v>3319</v>
      </c>
      <c r="E132" s="32">
        <v>327</v>
      </c>
      <c r="F132" s="32">
        <v>2</v>
      </c>
      <c r="G132" s="31">
        <v>1</v>
      </c>
      <c r="H132" s="31">
        <v>81433</v>
      </c>
      <c r="I132" s="31" t="s">
        <v>17</v>
      </c>
      <c r="J132" s="31">
        <v>67293776</v>
      </c>
      <c r="K132" s="80" t="s">
        <v>31</v>
      </c>
      <c r="L132" s="18" t="s">
        <v>1414</v>
      </c>
      <c r="M132" s="41">
        <v>259900</v>
      </c>
      <c r="N132" s="30">
        <v>0.9</v>
      </c>
      <c r="O132" s="33">
        <f t="shared" si="2"/>
        <v>25989.999999999993</v>
      </c>
      <c r="P132" s="28" t="s">
        <v>0</v>
      </c>
    </row>
    <row r="133" spans="1:16" x14ac:dyDescent="0.3">
      <c r="A133" s="32" t="s">
        <v>3213</v>
      </c>
      <c r="B133" s="40">
        <v>46093</v>
      </c>
      <c r="C133" s="40">
        <v>46098</v>
      </c>
      <c r="D133" s="32">
        <v>3319</v>
      </c>
      <c r="E133" s="32">
        <v>327</v>
      </c>
      <c r="F133" s="32">
        <v>2</v>
      </c>
      <c r="G133" s="31">
        <v>1</v>
      </c>
      <c r="H133" s="31">
        <v>81433</v>
      </c>
      <c r="I133" s="31" t="s">
        <v>17</v>
      </c>
      <c r="J133" s="31">
        <v>67293785</v>
      </c>
      <c r="K133" s="80" t="s">
        <v>31</v>
      </c>
      <c r="L133" s="18" t="s">
        <v>1415</v>
      </c>
      <c r="M133" s="41">
        <v>259900</v>
      </c>
      <c r="N133" s="30">
        <v>0.9</v>
      </c>
      <c r="O133" s="33">
        <f t="shared" si="2"/>
        <v>25989.999999999993</v>
      </c>
      <c r="P133" s="28" t="s">
        <v>0</v>
      </c>
    </row>
    <row r="134" spans="1:16" x14ac:dyDescent="0.3">
      <c r="A134" s="32" t="s">
        <v>3213</v>
      </c>
      <c r="B134" s="40">
        <v>46093</v>
      </c>
      <c r="C134" s="40">
        <v>46098</v>
      </c>
      <c r="D134" s="32">
        <v>3319</v>
      </c>
      <c r="E134" s="32">
        <v>327</v>
      </c>
      <c r="F134" s="32">
        <v>2</v>
      </c>
      <c r="G134" s="31">
        <v>1</v>
      </c>
      <c r="H134" s="31">
        <v>81433</v>
      </c>
      <c r="I134" s="31" t="s">
        <v>17</v>
      </c>
      <c r="J134" s="31">
        <v>67293810</v>
      </c>
      <c r="K134" s="80" t="s">
        <v>31</v>
      </c>
      <c r="L134" s="18" t="s">
        <v>1416</v>
      </c>
      <c r="M134" s="41">
        <v>259900</v>
      </c>
      <c r="N134" s="30">
        <v>0.9</v>
      </c>
      <c r="O134" s="33">
        <f t="shared" si="2"/>
        <v>25989.999999999993</v>
      </c>
      <c r="P134" s="28" t="s">
        <v>0</v>
      </c>
    </row>
    <row r="135" spans="1:16" x14ac:dyDescent="0.3">
      <c r="A135" s="32" t="s">
        <v>3213</v>
      </c>
      <c r="B135" s="40">
        <v>46093</v>
      </c>
      <c r="C135" s="40">
        <v>46098</v>
      </c>
      <c r="D135" s="32">
        <v>3319</v>
      </c>
      <c r="E135" s="32">
        <v>327</v>
      </c>
      <c r="F135" s="32">
        <v>2</v>
      </c>
      <c r="G135" s="31">
        <v>1</v>
      </c>
      <c r="H135" s="31">
        <v>81433</v>
      </c>
      <c r="I135" s="31" t="s">
        <v>17</v>
      </c>
      <c r="J135" s="31">
        <v>66651443</v>
      </c>
      <c r="K135" s="80" t="s">
        <v>18</v>
      </c>
      <c r="L135" s="18" t="s">
        <v>1417</v>
      </c>
      <c r="M135" s="41">
        <v>239900</v>
      </c>
      <c r="N135" s="30">
        <v>0.9</v>
      </c>
      <c r="O135" s="33">
        <f t="shared" si="2"/>
        <v>23989.999999999996</v>
      </c>
      <c r="P135" s="28" t="s">
        <v>0</v>
      </c>
    </row>
    <row r="136" spans="1:16" x14ac:dyDescent="0.3">
      <c r="A136" s="32" t="s">
        <v>3213</v>
      </c>
      <c r="B136" s="40">
        <v>46093</v>
      </c>
      <c r="C136" s="40">
        <v>46098</v>
      </c>
      <c r="D136" s="32">
        <v>3319</v>
      </c>
      <c r="E136" s="32">
        <v>327</v>
      </c>
      <c r="F136" s="32">
        <v>2</v>
      </c>
      <c r="G136" s="31">
        <v>1</v>
      </c>
      <c r="H136" s="31">
        <v>81433</v>
      </c>
      <c r="I136" s="31" t="s">
        <v>17</v>
      </c>
      <c r="J136" s="31">
        <v>66651461</v>
      </c>
      <c r="K136" s="80" t="s">
        <v>18</v>
      </c>
      <c r="L136" s="18" t="s">
        <v>1418</v>
      </c>
      <c r="M136" s="41">
        <v>239900</v>
      </c>
      <c r="N136" s="30">
        <v>0.9</v>
      </c>
      <c r="O136" s="33">
        <f t="shared" si="2"/>
        <v>23989.999999999996</v>
      </c>
      <c r="P136" s="28" t="s">
        <v>0</v>
      </c>
    </row>
    <row r="137" spans="1:16" x14ac:dyDescent="0.3">
      <c r="A137" s="32" t="s">
        <v>3213</v>
      </c>
      <c r="B137" s="40">
        <v>46093</v>
      </c>
      <c r="C137" s="40">
        <v>46098</v>
      </c>
      <c r="D137" s="32">
        <v>3319</v>
      </c>
      <c r="E137" s="32">
        <v>327</v>
      </c>
      <c r="F137" s="32">
        <v>2</v>
      </c>
      <c r="G137" s="31">
        <v>1</v>
      </c>
      <c r="H137" s="31">
        <v>81433</v>
      </c>
      <c r="I137" s="31" t="s">
        <v>17</v>
      </c>
      <c r="J137" s="31">
        <v>66651489</v>
      </c>
      <c r="K137" s="80" t="s">
        <v>18</v>
      </c>
      <c r="L137" s="18" t="s">
        <v>1419</v>
      </c>
      <c r="M137" s="41">
        <v>239900</v>
      </c>
      <c r="N137" s="30">
        <v>0.9</v>
      </c>
      <c r="O137" s="33">
        <f t="shared" si="2"/>
        <v>23989.999999999996</v>
      </c>
      <c r="P137" s="28" t="s">
        <v>0</v>
      </c>
    </row>
    <row r="138" spans="1:16" x14ac:dyDescent="0.3">
      <c r="A138" s="32" t="s">
        <v>3213</v>
      </c>
      <c r="B138" s="40">
        <v>46093</v>
      </c>
      <c r="C138" s="40">
        <v>46098</v>
      </c>
      <c r="D138" s="32">
        <v>3319</v>
      </c>
      <c r="E138" s="32">
        <v>327</v>
      </c>
      <c r="F138" s="32">
        <v>2</v>
      </c>
      <c r="G138" s="31">
        <v>1</v>
      </c>
      <c r="H138" s="31">
        <v>81433</v>
      </c>
      <c r="I138" s="31" t="s">
        <v>17</v>
      </c>
      <c r="J138" s="31">
        <v>66146534</v>
      </c>
      <c r="K138" s="80" t="s">
        <v>1407</v>
      </c>
      <c r="L138" s="18" t="s">
        <v>1420</v>
      </c>
      <c r="M138" s="41">
        <v>259900</v>
      </c>
      <c r="N138" s="30">
        <v>0.9</v>
      </c>
      <c r="O138" s="33">
        <f t="shared" si="2"/>
        <v>25989.999999999993</v>
      </c>
      <c r="P138" s="28" t="s">
        <v>0</v>
      </c>
    </row>
    <row r="139" spans="1:16" x14ac:dyDescent="0.3">
      <c r="A139" s="32" t="s">
        <v>3213</v>
      </c>
      <c r="B139" s="40">
        <v>46093</v>
      </c>
      <c r="C139" s="40">
        <v>46098</v>
      </c>
      <c r="D139" s="32">
        <v>3319</v>
      </c>
      <c r="E139" s="32">
        <v>327</v>
      </c>
      <c r="F139" s="32">
        <v>2</v>
      </c>
      <c r="G139" s="31">
        <v>1</v>
      </c>
      <c r="H139" s="31">
        <v>81433</v>
      </c>
      <c r="I139" s="31" t="s">
        <v>17</v>
      </c>
      <c r="J139" s="31">
        <v>66162285</v>
      </c>
      <c r="K139" s="80" t="s">
        <v>1402</v>
      </c>
      <c r="L139" s="18" t="s">
        <v>1421</v>
      </c>
      <c r="M139" s="41">
        <v>259900</v>
      </c>
      <c r="N139" s="30">
        <v>0.9</v>
      </c>
      <c r="O139" s="33">
        <f t="shared" si="2"/>
        <v>25989.999999999993</v>
      </c>
      <c r="P139" s="28" t="s">
        <v>0</v>
      </c>
    </row>
    <row r="140" spans="1:16" x14ac:dyDescent="0.3">
      <c r="A140" s="32" t="s">
        <v>3213</v>
      </c>
      <c r="B140" s="40">
        <v>46093</v>
      </c>
      <c r="C140" s="40">
        <v>46098</v>
      </c>
      <c r="D140" s="32">
        <v>3319</v>
      </c>
      <c r="E140" s="32">
        <v>327</v>
      </c>
      <c r="F140" s="32">
        <v>2</v>
      </c>
      <c r="G140" s="31">
        <v>1</v>
      </c>
      <c r="H140" s="31">
        <v>81433</v>
      </c>
      <c r="I140" s="31" t="s">
        <v>17</v>
      </c>
      <c r="J140" s="31">
        <v>67293794</v>
      </c>
      <c r="K140" s="80" t="s">
        <v>31</v>
      </c>
      <c r="L140" s="18" t="s">
        <v>1422</v>
      </c>
      <c r="M140" s="41">
        <v>259900</v>
      </c>
      <c r="N140" s="30">
        <v>0.9</v>
      </c>
      <c r="O140" s="33">
        <f t="shared" si="2"/>
        <v>25989.999999999993</v>
      </c>
      <c r="P140" s="28" t="s">
        <v>0</v>
      </c>
    </row>
    <row r="141" spans="1:16" x14ac:dyDescent="0.3">
      <c r="A141" s="32" t="s">
        <v>3213</v>
      </c>
      <c r="B141" s="40">
        <v>46093</v>
      </c>
      <c r="C141" s="40">
        <v>46098</v>
      </c>
      <c r="D141" s="32">
        <v>3319</v>
      </c>
      <c r="E141" s="32">
        <v>327</v>
      </c>
      <c r="F141" s="32">
        <v>2</v>
      </c>
      <c r="G141" s="31">
        <v>1</v>
      </c>
      <c r="H141" s="31">
        <v>81433</v>
      </c>
      <c r="I141" s="31" t="s">
        <v>17</v>
      </c>
      <c r="J141" s="31">
        <v>67293801</v>
      </c>
      <c r="K141" s="80" t="s">
        <v>31</v>
      </c>
      <c r="L141" s="18" t="s">
        <v>1423</v>
      </c>
      <c r="M141" s="41">
        <v>259900</v>
      </c>
      <c r="N141" s="30">
        <v>0.9</v>
      </c>
      <c r="O141" s="33">
        <f t="shared" si="2"/>
        <v>25989.999999999993</v>
      </c>
      <c r="P141" s="28" t="s">
        <v>0</v>
      </c>
    </row>
    <row r="142" spans="1:16" x14ac:dyDescent="0.3">
      <c r="A142" s="32" t="s">
        <v>3213</v>
      </c>
      <c r="B142" s="40">
        <v>46093</v>
      </c>
      <c r="C142" s="40">
        <v>46098</v>
      </c>
      <c r="D142" s="32">
        <v>3319</v>
      </c>
      <c r="E142" s="32">
        <v>327</v>
      </c>
      <c r="F142" s="32">
        <v>2</v>
      </c>
      <c r="G142" s="31">
        <v>1</v>
      </c>
      <c r="H142" s="31">
        <v>81433</v>
      </c>
      <c r="I142" s="31" t="s">
        <v>17</v>
      </c>
      <c r="J142" s="31">
        <v>80040380</v>
      </c>
      <c r="K142" s="80" t="s">
        <v>1424</v>
      </c>
      <c r="L142" s="18" t="s">
        <v>1425</v>
      </c>
      <c r="M142" s="41">
        <v>259900</v>
      </c>
      <c r="N142" s="30">
        <v>0.9</v>
      </c>
      <c r="O142" s="33">
        <f t="shared" si="2"/>
        <v>25989.999999999993</v>
      </c>
      <c r="P142" s="28" t="s">
        <v>0</v>
      </c>
    </row>
    <row r="143" spans="1:16" x14ac:dyDescent="0.3">
      <c r="A143" s="32" t="s">
        <v>3213</v>
      </c>
      <c r="B143" s="40">
        <v>46093</v>
      </c>
      <c r="C143" s="40">
        <v>46098</v>
      </c>
      <c r="D143" s="32">
        <v>3319</v>
      </c>
      <c r="E143" s="32">
        <v>327</v>
      </c>
      <c r="F143" s="32">
        <v>2</v>
      </c>
      <c r="G143" s="31">
        <v>1</v>
      </c>
      <c r="H143" s="31">
        <v>81433</v>
      </c>
      <c r="I143" s="31" t="s">
        <v>17</v>
      </c>
      <c r="J143" s="31">
        <v>80040291</v>
      </c>
      <c r="K143" s="80" t="s">
        <v>1424</v>
      </c>
      <c r="L143" s="18" t="s">
        <v>1426</v>
      </c>
      <c r="M143" s="41">
        <v>259900</v>
      </c>
      <c r="N143" s="30">
        <v>0.9</v>
      </c>
      <c r="O143" s="33">
        <f t="shared" si="2"/>
        <v>25989.999999999993</v>
      </c>
      <c r="P143" s="28" t="s">
        <v>0</v>
      </c>
    </row>
    <row r="144" spans="1:16" x14ac:dyDescent="0.3">
      <c r="A144" s="32" t="s">
        <v>3213</v>
      </c>
      <c r="B144" s="40">
        <v>46093</v>
      </c>
      <c r="C144" s="40">
        <v>46098</v>
      </c>
      <c r="D144" s="32">
        <v>3319</v>
      </c>
      <c r="E144" s="32">
        <v>327</v>
      </c>
      <c r="F144" s="32">
        <v>2</v>
      </c>
      <c r="G144" s="31">
        <v>1</v>
      </c>
      <c r="H144" s="31">
        <v>81433</v>
      </c>
      <c r="I144" s="31" t="s">
        <v>17</v>
      </c>
      <c r="J144" s="31">
        <v>80040308</v>
      </c>
      <c r="K144" s="80" t="s">
        <v>1424</v>
      </c>
      <c r="L144" s="18" t="s">
        <v>1427</v>
      </c>
      <c r="M144" s="41">
        <v>259900</v>
      </c>
      <c r="N144" s="30">
        <v>0.9</v>
      </c>
      <c r="O144" s="33">
        <f t="shared" si="2"/>
        <v>25989.999999999993</v>
      </c>
      <c r="P144" s="28" t="s">
        <v>0</v>
      </c>
    </row>
    <row r="145" spans="1:16" x14ac:dyDescent="0.3">
      <c r="A145" s="32" t="s">
        <v>3213</v>
      </c>
      <c r="B145" s="40">
        <v>46093</v>
      </c>
      <c r="C145" s="40">
        <v>46098</v>
      </c>
      <c r="D145" s="32">
        <v>3319</v>
      </c>
      <c r="E145" s="32">
        <v>327</v>
      </c>
      <c r="F145" s="32">
        <v>2</v>
      </c>
      <c r="G145" s="31">
        <v>1</v>
      </c>
      <c r="H145" s="31">
        <v>81433</v>
      </c>
      <c r="I145" s="31" t="s">
        <v>17</v>
      </c>
      <c r="J145" s="31">
        <v>80040317</v>
      </c>
      <c r="K145" s="80" t="s">
        <v>1424</v>
      </c>
      <c r="L145" s="18" t="s">
        <v>1428</v>
      </c>
      <c r="M145" s="41">
        <v>259900</v>
      </c>
      <c r="N145" s="30">
        <v>0.9</v>
      </c>
      <c r="O145" s="33">
        <f t="shared" si="2"/>
        <v>25989.999999999993</v>
      </c>
      <c r="P145" s="28" t="s">
        <v>0</v>
      </c>
    </row>
    <row r="146" spans="1:16" x14ac:dyDescent="0.3">
      <c r="A146" s="32" t="s">
        <v>3213</v>
      </c>
      <c r="B146" s="40">
        <v>46093</v>
      </c>
      <c r="C146" s="40">
        <v>46098</v>
      </c>
      <c r="D146" s="32">
        <v>3319</v>
      </c>
      <c r="E146" s="32">
        <v>327</v>
      </c>
      <c r="F146" s="32">
        <v>2</v>
      </c>
      <c r="G146" s="31">
        <v>1</v>
      </c>
      <c r="H146" s="31">
        <v>81433</v>
      </c>
      <c r="I146" s="31" t="s">
        <v>17</v>
      </c>
      <c r="J146" s="31">
        <v>80040326</v>
      </c>
      <c r="K146" s="80" t="s">
        <v>1424</v>
      </c>
      <c r="L146" s="18" t="s">
        <v>1429</v>
      </c>
      <c r="M146" s="41">
        <v>259900</v>
      </c>
      <c r="N146" s="30">
        <v>0.9</v>
      </c>
      <c r="O146" s="33">
        <f t="shared" si="2"/>
        <v>25989.999999999993</v>
      </c>
      <c r="P146" s="28" t="s">
        <v>0</v>
      </c>
    </row>
    <row r="147" spans="1:16" x14ac:dyDescent="0.3">
      <c r="A147" s="32" t="s">
        <v>3213</v>
      </c>
      <c r="B147" s="40">
        <v>46093</v>
      </c>
      <c r="C147" s="40">
        <v>46098</v>
      </c>
      <c r="D147" s="32">
        <v>3319</v>
      </c>
      <c r="E147" s="32">
        <v>327</v>
      </c>
      <c r="F147" s="32">
        <v>2</v>
      </c>
      <c r="G147" s="31">
        <v>1</v>
      </c>
      <c r="H147" s="31">
        <v>81433</v>
      </c>
      <c r="I147" s="31" t="s">
        <v>17</v>
      </c>
      <c r="J147" s="31">
        <v>80040335</v>
      </c>
      <c r="K147" s="80" t="s">
        <v>1424</v>
      </c>
      <c r="L147" s="18" t="s">
        <v>1430</v>
      </c>
      <c r="M147" s="41">
        <v>259900</v>
      </c>
      <c r="N147" s="30">
        <v>0.9</v>
      </c>
      <c r="O147" s="33">
        <f t="shared" si="2"/>
        <v>25989.999999999993</v>
      </c>
      <c r="P147" s="28" t="s">
        <v>0</v>
      </c>
    </row>
    <row r="148" spans="1:16" x14ac:dyDescent="0.3">
      <c r="A148" s="32" t="s">
        <v>3213</v>
      </c>
      <c r="B148" s="40">
        <v>46093</v>
      </c>
      <c r="C148" s="40">
        <v>46098</v>
      </c>
      <c r="D148" s="32">
        <v>3319</v>
      </c>
      <c r="E148" s="32">
        <v>327</v>
      </c>
      <c r="F148" s="32">
        <v>2</v>
      </c>
      <c r="G148" s="31">
        <v>1</v>
      </c>
      <c r="H148" s="31">
        <v>81433</v>
      </c>
      <c r="I148" s="31" t="s">
        <v>17</v>
      </c>
      <c r="J148" s="31">
        <v>80040344</v>
      </c>
      <c r="K148" s="80" t="s">
        <v>1424</v>
      </c>
      <c r="L148" s="18" t="s">
        <v>1431</v>
      </c>
      <c r="M148" s="41">
        <v>259900</v>
      </c>
      <c r="N148" s="30">
        <v>0.9</v>
      </c>
      <c r="O148" s="33">
        <f t="shared" si="2"/>
        <v>25989.999999999993</v>
      </c>
      <c r="P148" s="28" t="s">
        <v>0</v>
      </c>
    </row>
    <row r="149" spans="1:16" x14ac:dyDescent="0.3">
      <c r="A149" s="32" t="s">
        <v>3213</v>
      </c>
      <c r="B149" s="40">
        <v>46093</v>
      </c>
      <c r="C149" s="40">
        <v>46098</v>
      </c>
      <c r="D149" s="32">
        <v>3319</v>
      </c>
      <c r="E149" s="32">
        <v>327</v>
      </c>
      <c r="F149" s="32">
        <v>2</v>
      </c>
      <c r="G149" s="31">
        <v>1</v>
      </c>
      <c r="H149" s="31">
        <v>81433</v>
      </c>
      <c r="I149" s="31" t="s">
        <v>17</v>
      </c>
      <c r="J149" s="31">
        <v>80040362</v>
      </c>
      <c r="K149" s="80" t="s">
        <v>1424</v>
      </c>
      <c r="L149" s="18" t="s">
        <v>1432</v>
      </c>
      <c r="M149" s="41">
        <v>259900</v>
      </c>
      <c r="N149" s="30">
        <v>0.9</v>
      </c>
      <c r="O149" s="33">
        <f t="shared" si="2"/>
        <v>25989.999999999993</v>
      </c>
      <c r="P149" s="28" t="s">
        <v>0</v>
      </c>
    </row>
    <row r="150" spans="1:16" x14ac:dyDescent="0.3">
      <c r="A150" s="32" t="s">
        <v>3213</v>
      </c>
      <c r="B150" s="40">
        <v>46093</v>
      </c>
      <c r="C150" s="40">
        <v>46098</v>
      </c>
      <c r="D150" s="32">
        <v>3319</v>
      </c>
      <c r="E150" s="32">
        <v>327</v>
      </c>
      <c r="F150" s="32">
        <v>2</v>
      </c>
      <c r="G150" s="31">
        <v>1</v>
      </c>
      <c r="H150" s="31">
        <v>81433</v>
      </c>
      <c r="I150" s="31" t="s">
        <v>17</v>
      </c>
      <c r="J150" s="31">
        <v>80040371</v>
      </c>
      <c r="K150" s="80" t="s">
        <v>1424</v>
      </c>
      <c r="L150" s="18" t="s">
        <v>1433</v>
      </c>
      <c r="M150" s="41">
        <v>259900</v>
      </c>
      <c r="N150" s="30">
        <v>0.9</v>
      </c>
      <c r="O150" s="33">
        <f t="shared" si="2"/>
        <v>25989.999999999993</v>
      </c>
      <c r="P150" s="28" t="s">
        <v>0</v>
      </c>
    </row>
    <row r="151" spans="1:16" x14ac:dyDescent="0.3">
      <c r="A151" s="32" t="s">
        <v>3213</v>
      </c>
      <c r="B151" s="40">
        <v>46093</v>
      </c>
      <c r="C151" s="40">
        <v>46098</v>
      </c>
      <c r="D151" s="32">
        <v>3319</v>
      </c>
      <c r="E151" s="32">
        <v>327</v>
      </c>
      <c r="F151" s="32">
        <v>2</v>
      </c>
      <c r="G151" s="31">
        <v>1</v>
      </c>
      <c r="H151" s="31">
        <v>81433</v>
      </c>
      <c r="I151" s="31" t="s">
        <v>17</v>
      </c>
      <c r="J151" s="31">
        <v>80040353</v>
      </c>
      <c r="K151" s="80" t="s">
        <v>1424</v>
      </c>
      <c r="L151" s="18" t="s">
        <v>1434</v>
      </c>
      <c r="M151" s="41">
        <v>259900</v>
      </c>
      <c r="N151" s="30">
        <v>0.9</v>
      </c>
      <c r="O151" s="33">
        <f t="shared" si="2"/>
        <v>25989.999999999993</v>
      </c>
      <c r="P151" s="28" t="s">
        <v>0</v>
      </c>
    </row>
    <row r="152" spans="1:16" x14ac:dyDescent="0.3">
      <c r="A152" s="32" t="s">
        <v>3213</v>
      </c>
      <c r="B152" s="40">
        <v>46093</v>
      </c>
      <c r="C152" s="40">
        <v>46098</v>
      </c>
      <c r="D152" s="32">
        <v>3319</v>
      </c>
      <c r="E152" s="32">
        <v>327</v>
      </c>
      <c r="F152" s="32">
        <v>2</v>
      </c>
      <c r="G152" s="31">
        <v>1</v>
      </c>
      <c r="H152" s="31">
        <v>81433</v>
      </c>
      <c r="I152" s="31" t="s">
        <v>17</v>
      </c>
      <c r="J152" s="31">
        <v>80040399</v>
      </c>
      <c r="K152" s="80" t="s">
        <v>1435</v>
      </c>
      <c r="L152" s="18" t="s">
        <v>1436</v>
      </c>
      <c r="M152" s="41">
        <v>239900</v>
      </c>
      <c r="N152" s="30">
        <v>0.9</v>
      </c>
      <c r="O152" s="33">
        <f t="shared" si="2"/>
        <v>23989.999999999996</v>
      </c>
      <c r="P152" s="28" t="s">
        <v>0</v>
      </c>
    </row>
    <row r="153" spans="1:16" x14ac:dyDescent="0.3">
      <c r="A153" s="32" t="s">
        <v>3213</v>
      </c>
      <c r="B153" s="40">
        <v>46093</v>
      </c>
      <c r="C153" s="40">
        <v>46098</v>
      </c>
      <c r="D153" s="32">
        <v>3319</v>
      </c>
      <c r="E153" s="32">
        <v>327</v>
      </c>
      <c r="F153" s="32">
        <v>2</v>
      </c>
      <c r="G153" s="31">
        <v>1</v>
      </c>
      <c r="H153" s="31">
        <v>81433</v>
      </c>
      <c r="I153" s="31" t="s">
        <v>17</v>
      </c>
      <c r="J153" s="31">
        <v>80040406</v>
      </c>
      <c r="K153" s="80" t="s">
        <v>1435</v>
      </c>
      <c r="L153" s="18" t="s">
        <v>1437</v>
      </c>
      <c r="M153" s="41">
        <v>239900</v>
      </c>
      <c r="N153" s="30">
        <v>0.9</v>
      </c>
      <c r="O153" s="33">
        <f t="shared" si="2"/>
        <v>23989.999999999996</v>
      </c>
      <c r="P153" s="28" t="s">
        <v>0</v>
      </c>
    </row>
    <row r="154" spans="1:16" x14ac:dyDescent="0.3">
      <c r="A154" s="32" t="s">
        <v>3213</v>
      </c>
      <c r="B154" s="40">
        <v>46093</v>
      </c>
      <c r="C154" s="40">
        <v>46098</v>
      </c>
      <c r="D154" s="32">
        <v>3319</v>
      </c>
      <c r="E154" s="32">
        <v>327</v>
      </c>
      <c r="F154" s="32">
        <v>2</v>
      </c>
      <c r="G154" s="31">
        <v>1</v>
      </c>
      <c r="H154" s="31">
        <v>81433</v>
      </c>
      <c r="I154" s="31" t="s">
        <v>17</v>
      </c>
      <c r="J154" s="31">
        <v>80040415</v>
      </c>
      <c r="K154" s="80" t="s">
        <v>1435</v>
      </c>
      <c r="L154" s="18" t="s">
        <v>1438</v>
      </c>
      <c r="M154" s="41">
        <v>239900</v>
      </c>
      <c r="N154" s="30">
        <v>0.9</v>
      </c>
      <c r="O154" s="33">
        <f t="shared" si="2"/>
        <v>23989.999999999996</v>
      </c>
      <c r="P154" s="28" t="s">
        <v>0</v>
      </c>
    </row>
    <row r="155" spans="1:16" x14ac:dyDescent="0.3">
      <c r="A155" s="32" t="s">
        <v>3213</v>
      </c>
      <c r="B155" s="40">
        <v>46093</v>
      </c>
      <c r="C155" s="40">
        <v>46098</v>
      </c>
      <c r="D155" s="32">
        <v>3319</v>
      </c>
      <c r="E155" s="32">
        <v>327</v>
      </c>
      <c r="F155" s="32">
        <v>2</v>
      </c>
      <c r="G155" s="31">
        <v>1</v>
      </c>
      <c r="H155" s="31">
        <v>81433</v>
      </c>
      <c r="I155" s="31" t="s">
        <v>17</v>
      </c>
      <c r="J155" s="31">
        <v>80040424</v>
      </c>
      <c r="K155" s="80" t="s">
        <v>1435</v>
      </c>
      <c r="L155" s="18" t="s">
        <v>1439</v>
      </c>
      <c r="M155" s="41">
        <v>239900</v>
      </c>
      <c r="N155" s="30">
        <v>0.9</v>
      </c>
      <c r="O155" s="33">
        <f t="shared" si="2"/>
        <v>23989.999999999996</v>
      </c>
      <c r="P155" s="28" t="s">
        <v>0</v>
      </c>
    </row>
    <row r="156" spans="1:16" x14ac:dyDescent="0.3">
      <c r="A156" s="32" t="s">
        <v>3213</v>
      </c>
      <c r="B156" s="40">
        <v>46093</v>
      </c>
      <c r="C156" s="40">
        <v>46098</v>
      </c>
      <c r="D156" s="32">
        <v>3319</v>
      </c>
      <c r="E156" s="32">
        <v>327</v>
      </c>
      <c r="F156" s="32">
        <v>2</v>
      </c>
      <c r="G156" s="31">
        <v>1</v>
      </c>
      <c r="H156" s="31">
        <v>81433</v>
      </c>
      <c r="I156" s="31" t="s">
        <v>17</v>
      </c>
      <c r="J156" s="31">
        <v>80040433</v>
      </c>
      <c r="K156" s="80" t="s">
        <v>1435</v>
      </c>
      <c r="L156" s="18" t="s">
        <v>1440</v>
      </c>
      <c r="M156" s="41">
        <v>239900</v>
      </c>
      <c r="N156" s="30">
        <v>0.9</v>
      </c>
      <c r="O156" s="33">
        <f t="shared" si="2"/>
        <v>23989.999999999996</v>
      </c>
      <c r="P156" s="28" t="s">
        <v>0</v>
      </c>
    </row>
    <row r="157" spans="1:16" x14ac:dyDescent="0.3">
      <c r="A157" s="32" t="s">
        <v>3213</v>
      </c>
      <c r="B157" s="40">
        <v>46093</v>
      </c>
      <c r="C157" s="40">
        <v>46098</v>
      </c>
      <c r="D157" s="32">
        <v>3319</v>
      </c>
      <c r="E157" s="32">
        <v>327</v>
      </c>
      <c r="F157" s="32">
        <v>2</v>
      </c>
      <c r="G157" s="31">
        <v>1</v>
      </c>
      <c r="H157" s="31">
        <v>81433</v>
      </c>
      <c r="I157" s="31" t="s">
        <v>17</v>
      </c>
      <c r="J157" s="31">
        <v>80040442</v>
      </c>
      <c r="K157" s="80" t="s">
        <v>1435</v>
      </c>
      <c r="L157" s="18" t="s">
        <v>1441</v>
      </c>
      <c r="M157" s="41">
        <v>239900</v>
      </c>
      <c r="N157" s="30">
        <v>0.9</v>
      </c>
      <c r="O157" s="33">
        <f t="shared" si="2"/>
        <v>23989.999999999996</v>
      </c>
      <c r="P157" s="28" t="s">
        <v>0</v>
      </c>
    </row>
    <row r="158" spans="1:16" x14ac:dyDescent="0.3">
      <c r="A158" s="32" t="s">
        <v>3213</v>
      </c>
      <c r="B158" s="40">
        <v>46093</v>
      </c>
      <c r="C158" s="40">
        <v>46098</v>
      </c>
      <c r="D158" s="32">
        <v>3319</v>
      </c>
      <c r="E158" s="32">
        <v>327</v>
      </c>
      <c r="F158" s="32">
        <v>2</v>
      </c>
      <c r="G158" s="31">
        <v>1</v>
      </c>
      <c r="H158" s="31">
        <v>81433</v>
      </c>
      <c r="I158" s="31" t="s">
        <v>17</v>
      </c>
      <c r="J158" s="31">
        <v>80040451</v>
      </c>
      <c r="K158" s="80" t="s">
        <v>1435</v>
      </c>
      <c r="L158" s="18" t="s">
        <v>1442</v>
      </c>
      <c r="M158" s="41">
        <v>239900</v>
      </c>
      <c r="N158" s="30">
        <v>0.9</v>
      </c>
      <c r="O158" s="33">
        <f t="shared" si="2"/>
        <v>23989.999999999996</v>
      </c>
      <c r="P158" s="28" t="s">
        <v>0</v>
      </c>
    </row>
    <row r="159" spans="1:16" x14ac:dyDescent="0.3">
      <c r="A159" s="32" t="s">
        <v>3213</v>
      </c>
      <c r="B159" s="40">
        <v>46093</v>
      </c>
      <c r="C159" s="40">
        <v>46098</v>
      </c>
      <c r="D159" s="32">
        <v>3319</v>
      </c>
      <c r="E159" s="32">
        <v>327</v>
      </c>
      <c r="F159" s="32">
        <v>2</v>
      </c>
      <c r="G159" s="31">
        <v>1</v>
      </c>
      <c r="H159" s="31">
        <v>81433</v>
      </c>
      <c r="I159" s="31" t="s">
        <v>17</v>
      </c>
      <c r="J159" s="31">
        <v>80040460</v>
      </c>
      <c r="K159" s="80" t="s">
        <v>1435</v>
      </c>
      <c r="L159" s="18" t="s">
        <v>1443</v>
      </c>
      <c r="M159" s="41">
        <v>239900</v>
      </c>
      <c r="N159" s="30">
        <v>0.9</v>
      </c>
      <c r="O159" s="33">
        <f t="shared" si="2"/>
        <v>23989.999999999996</v>
      </c>
      <c r="P159" s="28" t="s">
        <v>0</v>
      </c>
    </row>
    <row r="160" spans="1:16" x14ac:dyDescent="0.3">
      <c r="A160" s="32" t="s">
        <v>3213</v>
      </c>
      <c r="B160" s="40">
        <v>46093</v>
      </c>
      <c r="C160" s="40">
        <v>46098</v>
      </c>
      <c r="D160" s="32">
        <v>3319</v>
      </c>
      <c r="E160" s="32">
        <v>327</v>
      </c>
      <c r="F160" s="32">
        <v>2</v>
      </c>
      <c r="G160" s="31">
        <v>1</v>
      </c>
      <c r="H160" s="31">
        <v>81433</v>
      </c>
      <c r="I160" s="31" t="s">
        <v>17</v>
      </c>
      <c r="J160" s="31">
        <v>80040479</v>
      </c>
      <c r="K160" s="80" t="s">
        <v>1435</v>
      </c>
      <c r="L160" s="18" t="s">
        <v>1444</v>
      </c>
      <c r="M160" s="41">
        <v>239900</v>
      </c>
      <c r="N160" s="30">
        <v>0.9</v>
      </c>
      <c r="O160" s="33">
        <f t="shared" si="2"/>
        <v>23989.999999999996</v>
      </c>
      <c r="P160" s="28" t="s">
        <v>0</v>
      </c>
    </row>
    <row r="161" spans="1:16" x14ac:dyDescent="0.3">
      <c r="A161" s="32" t="s">
        <v>3213</v>
      </c>
      <c r="B161" s="40">
        <v>46093</v>
      </c>
      <c r="C161" s="40">
        <v>46098</v>
      </c>
      <c r="D161" s="32">
        <v>3319</v>
      </c>
      <c r="E161" s="32">
        <v>327</v>
      </c>
      <c r="F161" s="32">
        <v>2</v>
      </c>
      <c r="G161" s="31">
        <v>1</v>
      </c>
      <c r="H161" s="31">
        <v>81433</v>
      </c>
      <c r="I161" s="31" t="s">
        <v>17</v>
      </c>
      <c r="J161" s="31">
        <v>80040488</v>
      </c>
      <c r="K161" s="80" t="s">
        <v>1435</v>
      </c>
      <c r="L161" s="18" t="s">
        <v>1445</v>
      </c>
      <c r="M161" s="41">
        <v>239900</v>
      </c>
      <c r="N161" s="30">
        <v>0.9</v>
      </c>
      <c r="O161" s="33">
        <f t="shared" si="2"/>
        <v>23989.999999999996</v>
      </c>
      <c r="P161" s="28" t="s">
        <v>0</v>
      </c>
    </row>
    <row r="162" spans="1:16" x14ac:dyDescent="0.3">
      <c r="A162" s="32" t="s">
        <v>3213</v>
      </c>
      <c r="B162" s="40">
        <v>46093</v>
      </c>
      <c r="C162" s="40">
        <v>46098</v>
      </c>
      <c r="D162" s="32">
        <v>3319</v>
      </c>
      <c r="E162" s="32">
        <v>327</v>
      </c>
      <c r="F162" s="32">
        <v>2</v>
      </c>
      <c r="G162" s="31">
        <v>1</v>
      </c>
      <c r="H162" s="31">
        <v>81433</v>
      </c>
      <c r="I162" s="31" t="s">
        <v>17</v>
      </c>
      <c r="J162" s="31">
        <v>80040095</v>
      </c>
      <c r="K162" s="80" t="s">
        <v>1446</v>
      </c>
      <c r="L162" s="18" t="s">
        <v>1447</v>
      </c>
      <c r="M162" s="41">
        <v>259900</v>
      </c>
      <c r="N162" s="30">
        <v>0.9</v>
      </c>
      <c r="O162" s="33">
        <f t="shared" si="2"/>
        <v>25989.999999999993</v>
      </c>
      <c r="P162" s="28" t="s">
        <v>0</v>
      </c>
    </row>
    <row r="163" spans="1:16" x14ac:dyDescent="0.3">
      <c r="A163" s="32" t="s">
        <v>3213</v>
      </c>
      <c r="B163" s="40">
        <v>46093</v>
      </c>
      <c r="C163" s="40">
        <v>46098</v>
      </c>
      <c r="D163" s="32">
        <v>3319</v>
      </c>
      <c r="E163" s="32">
        <v>327</v>
      </c>
      <c r="F163" s="32">
        <v>2</v>
      </c>
      <c r="G163" s="31">
        <v>1</v>
      </c>
      <c r="H163" s="31">
        <v>81433</v>
      </c>
      <c r="I163" s="31" t="s">
        <v>17</v>
      </c>
      <c r="J163" s="31">
        <v>80040102</v>
      </c>
      <c r="K163" s="80" t="s">
        <v>1446</v>
      </c>
      <c r="L163" s="18" t="s">
        <v>1448</v>
      </c>
      <c r="M163" s="41">
        <v>259900</v>
      </c>
      <c r="N163" s="30">
        <v>0.9</v>
      </c>
      <c r="O163" s="33">
        <f t="shared" si="2"/>
        <v>25989.999999999993</v>
      </c>
      <c r="P163" s="28" t="s">
        <v>0</v>
      </c>
    </row>
    <row r="164" spans="1:16" x14ac:dyDescent="0.3">
      <c r="A164" s="32" t="s">
        <v>3213</v>
      </c>
      <c r="B164" s="40">
        <v>46093</v>
      </c>
      <c r="C164" s="40">
        <v>46098</v>
      </c>
      <c r="D164" s="32">
        <v>3319</v>
      </c>
      <c r="E164" s="32">
        <v>327</v>
      </c>
      <c r="F164" s="32">
        <v>2</v>
      </c>
      <c r="G164" s="31">
        <v>1</v>
      </c>
      <c r="H164" s="31">
        <v>81433</v>
      </c>
      <c r="I164" s="31" t="s">
        <v>17</v>
      </c>
      <c r="J164" s="31">
        <v>80040111</v>
      </c>
      <c r="K164" s="80" t="s">
        <v>1446</v>
      </c>
      <c r="L164" s="18" t="s">
        <v>1449</v>
      </c>
      <c r="M164" s="41">
        <v>259900</v>
      </c>
      <c r="N164" s="30">
        <v>0.9</v>
      </c>
      <c r="O164" s="33">
        <f t="shared" si="2"/>
        <v>25989.999999999993</v>
      </c>
      <c r="P164" s="28" t="s">
        <v>0</v>
      </c>
    </row>
    <row r="165" spans="1:16" x14ac:dyDescent="0.3">
      <c r="A165" s="32" t="s">
        <v>3213</v>
      </c>
      <c r="B165" s="40">
        <v>46093</v>
      </c>
      <c r="C165" s="40">
        <v>46098</v>
      </c>
      <c r="D165" s="32">
        <v>3319</v>
      </c>
      <c r="E165" s="32">
        <v>327</v>
      </c>
      <c r="F165" s="32">
        <v>2</v>
      </c>
      <c r="G165" s="31">
        <v>1</v>
      </c>
      <c r="H165" s="31">
        <v>81433</v>
      </c>
      <c r="I165" s="31" t="s">
        <v>17</v>
      </c>
      <c r="J165" s="31">
        <v>80040120</v>
      </c>
      <c r="K165" s="80" t="s">
        <v>1446</v>
      </c>
      <c r="L165" s="18" t="s">
        <v>1450</v>
      </c>
      <c r="M165" s="41">
        <v>259900</v>
      </c>
      <c r="N165" s="30">
        <v>0.9</v>
      </c>
      <c r="O165" s="33">
        <f t="shared" si="2"/>
        <v>25989.999999999993</v>
      </c>
      <c r="P165" s="28" t="s">
        <v>0</v>
      </c>
    </row>
    <row r="166" spans="1:16" x14ac:dyDescent="0.3">
      <c r="A166" s="32" t="s">
        <v>3213</v>
      </c>
      <c r="B166" s="40">
        <v>46093</v>
      </c>
      <c r="C166" s="40">
        <v>46098</v>
      </c>
      <c r="D166" s="32">
        <v>3319</v>
      </c>
      <c r="E166" s="32">
        <v>327</v>
      </c>
      <c r="F166" s="32">
        <v>2</v>
      </c>
      <c r="G166" s="31">
        <v>1</v>
      </c>
      <c r="H166" s="31">
        <v>81433</v>
      </c>
      <c r="I166" s="31" t="s">
        <v>17</v>
      </c>
      <c r="J166" s="31">
        <v>80040139</v>
      </c>
      <c r="K166" s="80" t="s">
        <v>1446</v>
      </c>
      <c r="L166" s="18" t="s">
        <v>1451</v>
      </c>
      <c r="M166" s="41">
        <v>259900</v>
      </c>
      <c r="N166" s="30">
        <v>0.9</v>
      </c>
      <c r="O166" s="33">
        <f t="shared" si="2"/>
        <v>25989.999999999993</v>
      </c>
      <c r="P166" s="28" t="s">
        <v>0</v>
      </c>
    </row>
    <row r="167" spans="1:16" x14ac:dyDescent="0.3">
      <c r="A167" s="32" t="s">
        <v>3213</v>
      </c>
      <c r="B167" s="40">
        <v>46093</v>
      </c>
      <c r="C167" s="40">
        <v>46098</v>
      </c>
      <c r="D167" s="32">
        <v>3319</v>
      </c>
      <c r="E167" s="32">
        <v>327</v>
      </c>
      <c r="F167" s="32">
        <v>2</v>
      </c>
      <c r="G167" s="31">
        <v>1</v>
      </c>
      <c r="H167" s="31">
        <v>81433</v>
      </c>
      <c r="I167" s="31" t="s">
        <v>17</v>
      </c>
      <c r="J167" s="31">
        <v>80040148</v>
      </c>
      <c r="K167" s="80" t="s">
        <v>1446</v>
      </c>
      <c r="L167" s="18" t="s">
        <v>1452</v>
      </c>
      <c r="M167" s="41">
        <v>259900</v>
      </c>
      <c r="N167" s="30">
        <v>0.9</v>
      </c>
      <c r="O167" s="33">
        <f t="shared" si="2"/>
        <v>25989.999999999993</v>
      </c>
      <c r="P167" s="28" t="s">
        <v>0</v>
      </c>
    </row>
    <row r="168" spans="1:16" x14ac:dyDescent="0.3">
      <c r="A168" s="32" t="s">
        <v>3213</v>
      </c>
      <c r="B168" s="40">
        <v>46093</v>
      </c>
      <c r="C168" s="40">
        <v>46098</v>
      </c>
      <c r="D168" s="32">
        <v>3319</v>
      </c>
      <c r="E168" s="32">
        <v>327</v>
      </c>
      <c r="F168" s="32">
        <v>2</v>
      </c>
      <c r="G168" s="31">
        <v>1</v>
      </c>
      <c r="H168" s="31">
        <v>81433</v>
      </c>
      <c r="I168" s="31" t="s">
        <v>17</v>
      </c>
      <c r="J168" s="31">
        <v>80040157</v>
      </c>
      <c r="K168" s="80" t="s">
        <v>1446</v>
      </c>
      <c r="L168" s="18" t="s">
        <v>1453</v>
      </c>
      <c r="M168" s="41">
        <v>259900</v>
      </c>
      <c r="N168" s="30">
        <v>0.9</v>
      </c>
      <c r="O168" s="33">
        <f t="shared" si="2"/>
        <v>25989.999999999993</v>
      </c>
      <c r="P168" s="28" t="s">
        <v>0</v>
      </c>
    </row>
    <row r="169" spans="1:16" x14ac:dyDescent="0.3">
      <c r="A169" s="32" t="s">
        <v>3213</v>
      </c>
      <c r="B169" s="40">
        <v>46093</v>
      </c>
      <c r="C169" s="40">
        <v>46098</v>
      </c>
      <c r="D169" s="32">
        <v>3319</v>
      </c>
      <c r="E169" s="32">
        <v>327</v>
      </c>
      <c r="F169" s="32">
        <v>2</v>
      </c>
      <c r="G169" s="31">
        <v>1</v>
      </c>
      <c r="H169" s="31">
        <v>81433</v>
      </c>
      <c r="I169" s="31" t="s">
        <v>17</v>
      </c>
      <c r="J169" s="31">
        <v>80040166</v>
      </c>
      <c r="K169" s="80" t="s">
        <v>1446</v>
      </c>
      <c r="L169" s="18" t="s">
        <v>1454</v>
      </c>
      <c r="M169" s="41">
        <v>259900</v>
      </c>
      <c r="N169" s="30">
        <v>0.9</v>
      </c>
      <c r="O169" s="33">
        <f t="shared" si="2"/>
        <v>25989.999999999993</v>
      </c>
      <c r="P169" s="28" t="s">
        <v>0</v>
      </c>
    </row>
    <row r="170" spans="1:16" x14ac:dyDescent="0.3">
      <c r="A170" s="32" t="s">
        <v>3213</v>
      </c>
      <c r="B170" s="40">
        <v>46093</v>
      </c>
      <c r="C170" s="40">
        <v>46098</v>
      </c>
      <c r="D170" s="32">
        <v>3319</v>
      </c>
      <c r="E170" s="32">
        <v>327</v>
      </c>
      <c r="F170" s="32">
        <v>2</v>
      </c>
      <c r="G170" s="31">
        <v>1</v>
      </c>
      <c r="H170" s="31">
        <v>81433</v>
      </c>
      <c r="I170" s="31" t="s">
        <v>17</v>
      </c>
      <c r="J170" s="31">
        <v>80040175</v>
      </c>
      <c r="K170" s="80" t="s">
        <v>1446</v>
      </c>
      <c r="L170" s="18" t="s">
        <v>1455</v>
      </c>
      <c r="M170" s="41">
        <v>259900</v>
      </c>
      <c r="N170" s="30">
        <v>0.9</v>
      </c>
      <c r="O170" s="33">
        <f t="shared" si="2"/>
        <v>25989.999999999993</v>
      </c>
      <c r="P170" s="28" t="s">
        <v>0</v>
      </c>
    </row>
    <row r="171" spans="1:16" x14ac:dyDescent="0.3">
      <c r="A171" s="32" t="s">
        <v>3213</v>
      </c>
      <c r="B171" s="40">
        <v>46093</v>
      </c>
      <c r="C171" s="40">
        <v>46098</v>
      </c>
      <c r="D171" s="32">
        <v>3319</v>
      </c>
      <c r="E171" s="32">
        <v>327</v>
      </c>
      <c r="F171" s="32">
        <v>2</v>
      </c>
      <c r="G171" s="31">
        <v>1</v>
      </c>
      <c r="H171" s="31">
        <v>81433</v>
      </c>
      <c r="I171" s="31" t="s">
        <v>17</v>
      </c>
      <c r="J171" s="31">
        <v>80040184</v>
      </c>
      <c r="K171" s="80" t="s">
        <v>1446</v>
      </c>
      <c r="L171" s="18" t="s">
        <v>1456</v>
      </c>
      <c r="M171" s="41">
        <v>259900</v>
      </c>
      <c r="N171" s="30">
        <v>0.9</v>
      </c>
      <c r="O171" s="33">
        <f t="shared" si="2"/>
        <v>25989.999999999993</v>
      </c>
      <c r="P171" s="28" t="s">
        <v>0</v>
      </c>
    </row>
    <row r="172" spans="1:16" x14ac:dyDescent="0.3">
      <c r="A172" s="32" t="s">
        <v>3213</v>
      </c>
      <c r="B172" s="40">
        <v>46093</v>
      </c>
      <c r="C172" s="40">
        <v>46098</v>
      </c>
      <c r="D172" s="32">
        <v>3319</v>
      </c>
      <c r="E172" s="32">
        <v>327</v>
      </c>
      <c r="F172" s="32">
        <v>2</v>
      </c>
      <c r="G172" s="31">
        <v>1</v>
      </c>
      <c r="H172" s="31">
        <v>81433</v>
      </c>
      <c r="I172" s="31" t="s">
        <v>17</v>
      </c>
      <c r="J172" s="31">
        <v>80040193</v>
      </c>
      <c r="K172" s="80" t="s">
        <v>1457</v>
      </c>
      <c r="L172" s="18" t="s">
        <v>1458</v>
      </c>
      <c r="M172" s="41">
        <v>259900</v>
      </c>
      <c r="N172" s="30">
        <v>0.9</v>
      </c>
      <c r="O172" s="33">
        <f t="shared" si="2"/>
        <v>25989.999999999993</v>
      </c>
      <c r="P172" s="28" t="s">
        <v>0</v>
      </c>
    </row>
    <row r="173" spans="1:16" x14ac:dyDescent="0.3">
      <c r="A173" s="32" t="s">
        <v>3213</v>
      </c>
      <c r="B173" s="40">
        <v>46093</v>
      </c>
      <c r="C173" s="40">
        <v>46098</v>
      </c>
      <c r="D173" s="32">
        <v>3319</v>
      </c>
      <c r="E173" s="32">
        <v>327</v>
      </c>
      <c r="F173" s="32">
        <v>2</v>
      </c>
      <c r="G173" s="31">
        <v>1</v>
      </c>
      <c r="H173" s="31">
        <v>81433</v>
      </c>
      <c r="I173" s="31" t="s">
        <v>17</v>
      </c>
      <c r="J173" s="31">
        <v>80040200</v>
      </c>
      <c r="K173" s="80" t="s">
        <v>1457</v>
      </c>
      <c r="L173" s="18" t="s">
        <v>1459</v>
      </c>
      <c r="M173" s="41">
        <v>259900</v>
      </c>
      <c r="N173" s="30">
        <v>0.9</v>
      </c>
      <c r="O173" s="33">
        <f t="shared" si="2"/>
        <v>25989.999999999993</v>
      </c>
      <c r="P173" s="28" t="s">
        <v>0</v>
      </c>
    </row>
    <row r="174" spans="1:16" x14ac:dyDescent="0.3">
      <c r="A174" s="32" t="s">
        <v>3213</v>
      </c>
      <c r="B174" s="40">
        <v>46093</v>
      </c>
      <c r="C174" s="40">
        <v>46098</v>
      </c>
      <c r="D174" s="32">
        <v>3319</v>
      </c>
      <c r="E174" s="32">
        <v>327</v>
      </c>
      <c r="F174" s="32">
        <v>2</v>
      </c>
      <c r="G174" s="31">
        <v>1</v>
      </c>
      <c r="H174" s="31">
        <v>81433</v>
      </c>
      <c r="I174" s="31" t="s">
        <v>17</v>
      </c>
      <c r="J174" s="31">
        <v>80040219</v>
      </c>
      <c r="K174" s="80" t="s">
        <v>1457</v>
      </c>
      <c r="L174" s="18" t="s">
        <v>1460</v>
      </c>
      <c r="M174" s="41">
        <v>259900</v>
      </c>
      <c r="N174" s="30">
        <v>0.9</v>
      </c>
      <c r="O174" s="33">
        <f t="shared" si="2"/>
        <v>25989.999999999993</v>
      </c>
      <c r="P174" s="28" t="s">
        <v>0</v>
      </c>
    </row>
    <row r="175" spans="1:16" x14ac:dyDescent="0.3">
      <c r="A175" s="32" t="s">
        <v>3213</v>
      </c>
      <c r="B175" s="40">
        <v>46093</v>
      </c>
      <c r="C175" s="40">
        <v>46098</v>
      </c>
      <c r="D175" s="32">
        <v>3319</v>
      </c>
      <c r="E175" s="32">
        <v>327</v>
      </c>
      <c r="F175" s="32">
        <v>2</v>
      </c>
      <c r="G175" s="31">
        <v>1</v>
      </c>
      <c r="H175" s="31">
        <v>81433</v>
      </c>
      <c r="I175" s="31" t="s">
        <v>17</v>
      </c>
      <c r="J175" s="31">
        <v>80040228</v>
      </c>
      <c r="K175" s="80" t="s">
        <v>1457</v>
      </c>
      <c r="L175" s="18" t="s">
        <v>1461</v>
      </c>
      <c r="M175" s="41">
        <v>259900</v>
      </c>
      <c r="N175" s="30">
        <v>0.9</v>
      </c>
      <c r="O175" s="33">
        <f t="shared" si="2"/>
        <v>25989.999999999993</v>
      </c>
      <c r="P175" s="28" t="s">
        <v>0</v>
      </c>
    </row>
    <row r="176" spans="1:16" x14ac:dyDescent="0.3">
      <c r="A176" s="32" t="s">
        <v>3213</v>
      </c>
      <c r="B176" s="40">
        <v>46093</v>
      </c>
      <c r="C176" s="40">
        <v>46098</v>
      </c>
      <c r="D176" s="32">
        <v>3319</v>
      </c>
      <c r="E176" s="32">
        <v>327</v>
      </c>
      <c r="F176" s="32">
        <v>2</v>
      </c>
      <c r="G176" s="31">
        <v>1</v>
      </c>
      <c r="H176" s="31">
        <v>81433</v>
      </c>
      <c r="I176" s="31" t="s">
        <v>17</v>
      </c>
      <c r="J176" s="31">
        <v>80040237</v>
      </c>
      <c r="K176" s="80" t="s">
        <v>1457</v>
      </c>
      <c r="L176" s="18" t="s">
        <v>1462</v>
      </c>
      <c r="M176" s="41">
        <v>259900</v>
      </c>
      <c r="N176" s="30">
        <v>0.9</v>
      </c>
      <c r="O176" s="33">
        <f t="shared" si="2"/>
        <v>25989.999999999993</v>
      </c>
      <c r="P176" s="28" t="s">
        <v>0</v>
      </c>
    </row>
    <row r="177" spans="1:16" x14ac:dyDescent="0.3">
      <c r="A177" s="32" t="s">
        <v>3213</v>
      </c>
      <c r="B177" s="40">
        <v>46093</v>
      </c>
      <c r="C177" s="40">
        <v>46098</v>
      </c>
      <c r="D177" s="32">
        <v>3319</v>
      </c>
      <c r="E177" s="32">
        <v>327</v>
      </c>
      <c r="F177" s="32">
        <v>2</v>
      </c>
      <c r="G177" s="31">
        <v>1</v>
      </c>
      <c r="H177" s="31">
        <v>81433</v>
      </c>
      <c r="I177" s="31" t="s">
        <v>17</v>
      </c>
      <c r="J177" s="31">
        <v>80040246</v>
      </c>
      <c r="K177" s="80" t="s">
        <v>1457</v>
      </c>
      <c r="L177" s="18" t="s">
        <v>1463</v>
      </c>
      <c r="M177" s="41">
        <v>259900</v>
      </c>
      <c r="N177" s="30">
        <v>0.9</v>
      </c>
      <c r="O177" s="33">
        <f t="shared" si="2"/>
        <v>25989.999999999993</v>
      </c>
      <c r="P177" s="28" t="s">
        <v>0</v>
      </c>
    </row>
    <row r="178" spans="1:16" x14ac:dyDescent="0.3">
      <c r="A178" s="32" t="s">
        <v>3213</v>
      </c>
      <c r="B178" s="40">
        <v>46093</v>
      </c>
      <c r="C178" s="40">
        <v>46098</v>
      </c>
      <c r="D178" s="32">
        <v>3319</v>
      </c>
      <c r="E178" s="32">
        <v>327</v>
      </c>
      <c r="F178" s="32">
        <v>2</v>
      </c>
      <c r="G178" s="31">
        <v>1</v>
      </c>
      <c r="H178" s="31">
        <v>81433</v>
      </c>
      <c r="I178" s="31" t="s">
        <v>17</v>
      </c>
      <c r="J178" s="31">
        <v>80040255</v>
      </c>
      <c r="K178" s="80" t="s">
        <v>1457</v>
      </c>
      <c r="L178" s="18" t="s">
        <v>1464</v>
      </c>
      <c r="M178" s="41">
        <v>259900</v>
      </c>
      <c r="N178" s="30">
        <v>0.9</v>
      </c>
      <c r="O178" s="33">
        <f t="shared" si="2"/>
        <v>25989.999999999993</v>
      </c>
      <c r="P178" s="28" t="s">
        <v>0</v>
      </c>
    </row>
    <row r="179" spans="1:16" x14ac:dyDescent="0.3">
      <c r="A179" s="32" t="s">
        <v>3213</v>
      </c>
      <c r="B179" s="40">
        <v>46093</v>
      </c>
      <c r="C179" s="40">
        <v>46098</v>
      </c>
      <c r="D179" s="32">
        <v>3319</v>
      </c>
      <c r="E179" s="32">
        <v>327</v>
      </c>
      <c r="F179" s="32">
        <v>2</v>
      </c>
      <c r="G179" s="31">
        <v>1</v>
      </c>
      <c r="H179" s="31">
        <v>81433</v>
      </c>
      <c r="I179" s="31" t="s">
        <v>17</v>
      </c>
      <c r="J179" s="31">
        <v>80040264</v>
      </c>
      <c r="K179" s="80" t="s">
        <v>1457</v>
      </c>
      <c r="L179" s="18" t="s">
        <v>1465</v>
      </c>
      <c r="M179" s="41">
        <v>259900</v>
      </c>
      <c r="N179" s="30">
        <v>0.9</v>
      </c>
      <c r="O179" s="33">
        <f t="shared" si="2"/>
        <v>25989.999999999993</v>
      </c>
      <c r="P179" s="28" t="s">
        <v>0</v>
      </c>
    </row>
    <row r="180" spans="1:16" x14ac:dyDescent="0.3">
      <c r="A180" s="32" t="s">
        <v>3213</v>
      </c>
      <c r="B180" s="40">
        <v>46093</v>
      </c>
      <c r="C180" s="40">
        <v>46098</v>
      </c>
      <c r="D180" s="32">
        <v>3319</v>
      </c>
      <c r="E180" s="32">
        <v>327</v>
      </c>
      <c r="F180" s="32">
        <v>2</v>
      </c>
      <c r="G180" s="31">
        <v>1</v>
      </c>
      <c r="H180" s="31">
        <v>81433</v>
      </c>
      <c r="I180" s="31" t="s">
        <v>17</v>
      </c>
      <c r="J180" s="31">
        <v>80040273</v>
      </c>
      <c r="K180" s="80" t="s">
        <v>1457</v>
      </c>
      <c r="L180" s="18" t="s">
        <v>1466</v>
      </c>
      <c r="M180" s="41">
        <v>259900</v>
      </c>
      <c r="N180" s="30">
        <v>0.9</v>
      </c>
      <c r="O180" s="33">
        <f t="shared" si="2"/>
        <v>25989.999999999993</v>
      </c>
      <c r="P180" s="28" t="s">
        <v>0</v>
      </c>
    </row>
    <row r="181" spans="1:16" x14ac:dyDescent="0.3">
      <c r="A181" s="32" t="s">
        <v>3213</v>
      </c>
      <c r="B181" s="40">
        <v>46093</v>
      </c>
      <c r="C181" s="40">
        <v>46098</v>
      </c>
      <c r="D181" s="32">
        <v>3319</v>
      </c>
      <c r="E181" s="32">
        <v>327</v>
      </c>
      <c r="F181" s="32">
        <v>2</v>
      </c>
      <c r="G181" s="31">
        <v>1</v>
      </c>
      <c r="H181" s="31">
        <v>81433</v>
      </c>
      <c r="I181" s="31" t="s">
        <v>17</v>
      </c>
      <c r="J181" s="31">
        <v>80040282</v>
      </c>
      <c r="K181" s="80" t="s">
        <v>1457</v>
      </c>
      <c r="L181" s="18" t="s">
        <v>1467</v>
      </c>
      <c r="M181" s="41">
        <v>259900</v>
      </c>
      <c r="N181" s="30">
        <v>0.9</v>
      </c>
      <c r="O181" s="33">
        <f t="shared" si="2"/>
        <v>25989.999999999993</v>
      </c>
      <c r="P181" s="28" t="s">
        <v>0</v>
      </c>
    </row>
    <row r="182" spans="1:16" x14ac:dyDescent="0.3">
      <c r="A182" s="32" t="s">
        <v>3213</v>
      </c>
      <c r="B182" s="40">
        <v>46093</v>
      </c>
      <c r="C182" s="40">
        <v>46098</v>
      </c>
      <c r="D182" s="32">
        <v>3319</v>
      </c>
      <c r="E182" s="32">
        <v>327</v>
      </c>
      <c r="F182" s="32">
        <v>2</v>
      </c>
      <c r="G182" s="31">
        <v>1</v>
      </c>
      <c r="H182" s="31">
        <v>81433</v>
      </c>
      <c r="I182" s="31" t="s">
        <v>17</v>
      </c>
      <c r="J182" s="31">
        <v>27042728</v>
      </c>
      <c r="K182" s="80" t="s">
        <v>1468</v>
      </c>
      <c r="L182" s="18" t="s">
        <v>1469</v>
      </c>
      <c r="M182" s="41">
        <v>239900</v>
      </c>
      <c r="N182" s="30">
        <v>0.9</v>
      </c>
      <c r="O182" s="33">
        <f t="shared" si="2"/>
        <v>23989.999999999996</v>
      </c>
      <c r="P182" s="28" t="s">
        <v>0</v>
      </c>
    </row>
    <row r="183" spans="1:16" x14ac:dyDescent="0.3">
      <c r="A183" s="32" t="s">
        <v>3213</v>
      </c>
      <c r="B183" s="40">
        <v>46093</v>
      </c>
      <c r="C183" s="40">
        <v>46098</v>
      </c>
      <c r="D183" s="32">
        <v>3319</v>
      </c>
      <c r="E183" s="32">
        <v>327</v>
      </c>
      <c r="F183" s="32">
        <v>2</v>
      </c>
      <c r="G183" s="31">
        <v>1</v>
      </c>
      <c r="H183" s="31">
        <v>81433</v>
      </c>
      <c r="I183" s="31" t="s">
        <v>17</v>
      </c>
      <c r="J183" s="31">
        <v>27042700</v>
      </c>
      <c r="K183" s="80" t="s">
        <v>1468</v>
      </c>
      <c r="L183" s="18" t="s">
        <v>1470</v>
      </c>
      <c r="M183" s="41">
        <v>239900</v>
      </c>
      <c r="N183" s="30">
        <v>0.9</v>
      </c>
      <c r="O183" s="33">
        <f t="shared" si="2"/>
        <v>23989.999999999996</v>
      </c>
      <c r="P183" s="28" t="s">
        <v>0</v>
      </c>
    </row>
    <row r="184" spans="1:16" x14ac:dyDescent="0.3">
      <c r="A184" s="32" t="s">
        <v>3213</v>
      </c>
      <c r="B184" s="40">
        <v>46093</v>
      </c>
      <c r="C184" s="40">
        <v>46098</v>
      </c>
      <c r="D184" s="32">
        <v>3319</v>
      </c>
      <c r="E184" s="32">
        <v>327</v>
      </c>
      <c r="F184" s="32">
        <v>2</v>
      </c>
      <c r="G184" s="31">
        <v>1</v>
      </c>
      <c r="H184" s="31">
        <v>81433</v>
      </c>
      <c r="I184" s="31" t="s">
        <v>17</v>
      </c>
      <c r="J184" s="31">
        <v>27042737</v>
      </c>
      <c r="K184" s="80" t="s">
        <v>1468</v>
      </c>
      <c r="L184" s="18" t="s">
        <v>1471</v>
      </c>
      <c r="M184" s="41">
        <v>239900</v>
      </c>
      <c r="N184" s="30">
        <v>0.9</v>
      </c>
      <c r="O184" s="33">
        <f t="shared" si="2"/>
        <v>23989.999999999996</v>
      </c>
      <c r="P184" s="28" t="s">
        <v>0</v>
      </c>
    </row>
    <row r="185" spans="1:16" x14ac:dyDescent="0.3">
      <c r="A185" s="32" t="s">
        <v>3213</v>
      </c>
      <c r="B185" s="40">
        <v>46093</v>
      </c>
      <c r="C185" s="40">
        <v>46098</v>
      </c>
      <c r="D185" s="32">
        <v>3319</v>
      </c>
      <c r="E185" s="32">
        <v>327</v>
      </c>
      <c r="F185" s="32">
        <v>2</v>
      </c>
      <c r="G185" s="31">
        <v>1</v>
      </c>
      <c r="H185" s="31">
        <v>81433</v>
      </c>
      <c r="I185" s="31" t="s">
        <v>17</v>
      </c>
      <c r="J185" s="31">
        <v>27042693</v>
      </c>
      <c r="K185" s="80" t="s">
        <v>1468</v>
      </c>
      <c r="L185" s="18" t="s">
        <v>1472</v>
      </c>
      <c r="M185" s="41">
        <v>239900</v>
      </c>
      <c r="N185" s="30">
        <v>0.9</v>
      </c>
      <c r="O185" s="33">
        <f t="shared" si="2"/>
        <v>23989.999999999996</v>
      </c>
      <c r="P185" s="28" t="s">
        <v>0</v>
      </c>
    </row>
    <row r="186" spans="1:16" x14ac:dyDescent="0.3">
      <c r="A186" s="32" t="s">
        <v>3213</v>
      </c>
      <c r="B186" s="40">
        <v>46093</v>
      </c>
      <c r="C186" s="40">
        <v>46098</v>
      </c>
      <c r="D186" s="32">
        <v>3319</v>
      </c>
      <c r="E186" s="32">
        <v>327</v>
      </c>
      <c r="F186" s="32">
        <v>2</v>
      </c>
      <c r="G186" s="31">
        <v>1</v>
      </c>
      <c r="H186" s="31">
        <v>81433</v>
      </c>
      <c r="I186" s="31" t="s">
        <v>17</v>
      </c>
      <c r="J186" s="31">
        <v>27042719</v>
      </c>
      <c r="K186" s="80" t="s">
        <v>1468</v>
      </c>
      <c r="L186" s="18" t="s">
        <v>1473</v>
      </c>
      <c r="M186" s="41">
        <v>239900</v>
      </c>
      <c r="N186" s="30">
        <v>0.9</v>
      </c>
      <c r="O186" s="33">
        <f t="shared" si="2"/>
        <v>23989.999999999996</v>
      </c>
      <c r="P186" s="28" t="s">
        <v>0</v>
      </c>
    </row>
    <row r="187" spans="1:16" x14ac:dyDescent="0.3">
      <c r="A187" s="32" t="s">
        <v>3213</v>
      </c>
      <c r="B187" s="40">
        <v>46093</v>
      </c>
      <c r="C187" s="40">
        <v>46098</v>
      </c>
      <c r="D187" s="32">
        <v>3319</v>
      </c>
      <c r="E187" s="32">
        <v>327</v>
      </c>
      <c r="F187" s="32">
        <v>2</v>
      </c>
      <c r="G187" s="31">
        <v>1</v>
      </c>
      <c r="H187" s="31">
        <v>81433</v>
      </c>
      <c r="I187" s="31" t="s">
        <v>17</v>
      </c>
      <c r="J187" s="31">
        <v>80898633</v>
      </c>
      <c r="K187" s="80" t="s">
        <v>1474</v>
      </c>
      <c r="L187" s="18" t="s">
        <v>1475</v>
      </c>
      <c r="M187" s="41">
        <v>239900</v>
      </c>
      <c r="N187" s="30">
        <v>0.9</v>
      </c>
      <c r="O187" s="33">
        <f t="shared" si="2"/>
        <v>23989.999999999996</v>
      </c>
      <c r="P187" s="28" t="s">
        <v>0</v>
      </c>
    </row>
    <row r="188" spans="1:16" x14ac:dyDescent="0.3">
      <c r="A188" s="32" t="s">
        <v>3213</v>
      </c>
      <c r="B188" s="40">
        <v>46093</v>
      </c>
      <c r="C188" s="40">
        <v>46098</v>
      </c>
      <c r="D188" s="32">
        <v>3319</v>
      </c>
      <c r="E188" s="32">
        <v>327</v>
      </c>
      <c r="F188" s="32">
        <v>2</v>
      </c>
      <c r="G188" s="31">
        <v>1</v>
      </c>
      <c r="H188" s="31">
        <v>81433</v>
      </c>
      <c r="I188" s="31" t="s">
        <v>17</v>
      </c>
      <c r="J188" s="31">
        <v>80898642</v>
      </c>
      <c r="K188" s="80" t="s">
        <v>1474</v>
      </c>
      <c r="L188" s="18" t="s">
        <v>1476</v>
      </c>
      <c r="M188" s="41">
        <v>239900</v>
      </c>
      <c r="N188" s="30">
        <v>0.9</v>
      </c>
      <c r="O188" s="33">
        <f t="shared" si="2"/>
        <v>23989.999999999996</v>
      </c>
      <c r="P188" s="28" t="s">
        <v>0</v>
      </c>
    </row>
    <row r="189" spans="1:16" x14ac:dyDescent="0.3">
      <c r="A189" s="32" t="s">
        <v>3213</v>
      </c>
      <c r="B189" s="40">
        <v>46093</v>
      </c>
      <c r="C189" s="40">
        <v>46098</v>
      </c>
      <c r="D189" s="32">
        <v>3319</v>
      </c>
      <c r="E189" s="32">
        <v>327</v>
      </c>
      <c r="F189" s="32">
        <v>2</v>
      </c>
      <c r="G189" s="31">
        <v>1</v>
      </c>
      <c r="H189" s="31">
        <v>81433</v>
      </c>
      <c r="I189" s="31" t="s">
        <v>17</v>
      </c>
      <c r="J189" s="31">
        <v>80898651</v>
      </c>
      <c r="K189" s="80" t="s">
        <v>1474</v>
      </c>
      <c r="L189" s="18" t="s">
        <v>1477</v>
      </c>
      <c r="M189" s="41">
        <v>239900</v>
      </c>
      <c r="N189" s="30">
        <v>0.9</v>
      </c>
      <c r="O189" s="33">
        <f t="shared" si="2"/>
        <v>23989.999999999996</v>
      </c>
      <c r="P189" s="28" t="s">
        <v>0</v>
      </c>
    </row>
    <row r="190" spans="1:16" x14ac:dyDescent="0.3">
      <c r="A190" s="32" t="s">
        <v>3213</v>
      </c>
      <c r="B190" s="40">
        <v>46093</v>
      </c>
      <c r="C190" s="40">
        <v>46098</v>
      </c>
      <c r="D190" s="32">
        <v>3319</v>
      </c>
      <c r="E190" s="32">
        <v>327</v>
      </c>
      <c r="F190" s="32">
        <v>2</v>
      </c>
      <c r="G190" s="31">
        <v>1</v>
      </c>
      <c r="H190" s="31">
        <v>81433</v>
      </c>
      <c r="I190" s="31" t="s">
        <v>17</v>
      </c>
      <c r="J190" s="31">
        <v>80898660</v>
      </c>
      <c r="K190" s="80" t="s">
        <v>1474</v>
      </c>
      <c r="L190" s="18" t="s">
        <v>1478</v>
      </c>
      <c r="M190" s="41">
        <v>239900</v>
      </c>
      <c r="N190" s="30">
        <v>0.9</v>
      </c>
      <c r="O190" s="33">
        <f t="shared" si="2"/>
        <v>23989.999999999996</v>
      </c>
      <c r="P190" s="28" t="s">
        <v>0</v>
      </c>
    </row>
    <row r="191" spans="1:16" x14ac:dyDescent="0.3">
      <c r="A191" s="32" t="s">
        <v>3213</v>
      </c>
      <c r="B191" s="40">
        <v>46093</v>
      </c>
      <c r="C191" s="40">
        <v>46098</v>
      </c>
      <c r="D191" s="32">
        <v>3319</v>
      </c>
      <c r="E191" s="32">
        <v>327</v>
      </c>
      <c r="F191" s="32">
        <v>2</v>
      </c>
      <c r="G191" s="31">
        <v>1</v>
      </c>
      <c r="H191" s="31">
        <v>81433</v>
      </c>
      <c r="I191" s="31" t="s">
        <v>17</v>
      </c>
      <c r="J191" s="31">
        <v>80898679</v>
      </c>
      <c r="K191" s="80" t="s">
        <v>1474</v>
      </c>
      <c r="L191" s="18" t="s">
        <v>1479</v>
      </c>
      <c r="M191" s="41">
        <v>239900</v>
      </c>
      <c r="N191" s="30">
        <v>0.9</v>
      </c>
      <c r="O191" s="33">
        <f t="shared" si="2"/>
        <v>23989.999999999996</v>
      </c>
      <c r="P191" s="28" t="s">
        <v>0</v>
      </c>
    </row>
    <row r="192" spans="1:16" x14ac:dyDescent="0.3">
      <c r="A192" s="32" t="s">
        <v>3213</v>
      </c>
      <c r="B192" s="40">
        <v>46093</v>
      </c>
      <c r="C192" s="40">
        <v>46098</v>
      </c>
      <c r="D192" s="32">
        <v>3319</v>
      </c>
      <c r="E192" s="32">
        <v>327</v>
      </c>
      <c r="F192" s="32">
        <v>2</v>
      </c>
      <c r="G192" s="31">
        <v>1</v>
      </c>
      <c r="H192" s="31">
        <v>81433</v>
      </c>
      <c r="I192" s="31" t="s">
        <v>17</v>
      </c>
      <c r="J192" s="31">
        <v>80898688</v>
      </c>
      <c r="K192" s="80" t="s">
        <v>1474</v>
      </c>
      <c r="L192" s="18" t="s">
        <v>1480</v>
      </c>
      <c r="M192" s="41">
        <v>239900</v>
      </c>
      <c r="N192" s="30">
        <v>0.9</v>
      </c>
      <c r="O192" s="33">
        <f t="shared" si="2"/>
        <v>23989.999999999996</v>
      </c>
      <c r="P192" s="28" t="s">
        <v>0</v>
      </c>
    </row>
    <row r="193" spans="1:16" x14ac:dyDescent="0.3">
      <c r="A193" s="32" t="s">
        <v>3213</v>
      </c>
      <c r="B193" s="40">
        <v>46093</v>
      </c>
      <c r="C193" s="40">
        <v>46098</v>
      </c>
      <c r="D193" s="32">
        <v>3319</v>
      </c>
      <c r="E193" s="32">
        <v>327</v>
      </c>
      <c r="F193" s="32">
        <v>2</v>
      </c>
      <c r="G193" s="31">
        <v>1</v>
      </c>
      <c r="H193" s="31">
        <v>81433</v>
      </c>
      <c r="I193" s="31" t="s">
        <v>17</v>
      </c>
      <c r="J193" s="31">
        <v>80898697</v>
      </c>
      <c r="K193" s="80" t="s">
        <v>1474</v>
      </c>
      <c r="L193" s="18" t="s">
        <v>1481</v>
      </c>
      <c r="M193" s="41">
        <v>239900</v>
      </c>
      <c r="N193" s="30">
        <v>0.9</v>
      </c>
      <c r="O193" s="33">
        <f t="shared" si="2"/>
        <v>23989.999999999996</v>
      </c>
      <c r="P193" s="28" t="s">
        <v>0</v>
      </c>
    </row>
    <row r="194" spans="1:16" x14ac:dyDescent="0.3">
      <c r="A194" s="32" t="s">
        <v>3213</v>
      </c>
      <c r="B194" s="40">
        <v>46093</v>
      </c>
      <c r="C194" s="40">
        <v>46098</v>
      </c>
      <c r="D194" s="32">
        <v>3319</v>
      </c>
      <c r="E194" s="32">
        <v>327</v>
      </c>
      <c r="F194" s="32">
        <v>2</v>
      </c>
      <c r="G194" s="31">
        <v>1</v>
      </c>
      <c r="H194" s="31">
        <v>81433</v>
      </c>
      <c r="I194" s="31" t="s">
        <v>17</v>
      </c>
      <c r="J194" s="31">
        <v>80898704</v>
      </c>
      <c r="K194" s="80" t="s">
        <v>1474</v>
      </c>
      <c r="L194" s="18" t="s">
        <v>1482</v>
      </c>
      <c r="M194" s="41">
        <v>239900</v>
      </c>
      <c r="N194" s="30">
        <v>0.9</v>
      </c>
      <c r="O194" s="33">
        <f t="shared" ref="O194:O257" si="3">M194*(1-N194)</f>
        <v>23989.999999999996</v>
      </c>
      <c r="P194" s="28" t="s">
        <v>0</v>
      </c>
    </row>
    <row r="195" spans="1:16" x14ac:dyDescent="0.3">
      <c r="A195" s="32" t="s">
        <v>3213</v>
      </c>
      <c r="B195" s="40">
        <v>46093</v>
      </c>
      <c r="C195" s="40">
        <v>46098</v>
      </c>
      <c r="D195" s="32">
        <v>3319</v>
      </c>
      <c r="E195" s="32">
        <v>327</v>
      </c>
      <c r="F195" s="32">
        <v>2</v>
      </c>
      <c r="G195" s="31">
        <v>1</v>
      </c>
      <c r="H195" s="31">
        <v>81433</v>
      </c>
      <c r="I195" s="31" t="s">
        <v>17</v>
      </c>
      <c r="J195" s="31">
        <v>80898713</v>
      </c>
      <c r="K195" s="80" t="s">
        <v>1474</v>
      </c>
      <c r="L195" s="18" t="s">
        <v>1483</v>
      </c>
      <c r="M195" s="41">
        <v>239900</v>
      </c>
      <c r="N195" s="30">
        <v>0.9</v>
      </c>
      <c r="O195" s="33">
        <f t="shared" si="3"/>
        <v>23989.999999999996</v>
      </c>
      <c r="P195" s="28" t="s">
        <v>0</v>
      </c>
    </row>
    <row r="196" spans="1:16" x14ac:dyDescent="0.3">
      <c r="A196" s="32" t="s">
        <v>3213</v>
      </c>
      <c r="B196" s="40">
        <v>46093</v>
      </c>
      <c r="C196" s="40">
        <v>46098</v>
      </c>
      <c r="D196" s="32">
        <v>3319</v>
      </c>
      <c r="E196" s="32">
        <v>327</v>
      </c>
      <c r="F196" s="32">
        <v>2</v>
      </c>
      <c r="G196" s="31">
        <v>1</v>
      </c>
      <c r="H196" s="31">
        <v>81433</v>
      </c>
      <c r="I196" s="31" t="s">
        <v>17</v>
      </c>
      <c r="J196" s="31">
        <v>80898722</v>
      </c>
      <c r="K196" s="80" t="s">
        <v>1474</v>
      </c>
      <c r="L196" s="18" t="s">
        <v>1484</v>
      </c>
      <c r="M196" s="41">
        <v>239900</v>
      </c>
      <c r="N196" s="30">
        <v>0.9</v>
      </c>
      <c r="O196" s="33">
        <f t="shared" si="3"/>
        <v>23989.999999999996</v>
      </c>
      <c r="P196" s="28" t="s">
        <v>0</v>
      </c>
    </row>
    <row r="197" spans="1:16" x14ac:dyDescent="0.3">
      <c r="A197" s="32" t="s">
        <v>3213</v>
      </c>
      <c r="B197" s="40">
        <v>46093</v>
      </c>
      <c r="C197" s="40">
        <v>46098</v>
      </c>
      <c r="D197" s="32">
        <v>3319</v>
      </c>
      <c r="E197" s="32">
        <v>327</v>
      </c>
      <c r="F197" s="32">
        <v>2</v>
      </c>
      <c r="G197" s="31">
        <v>1</v>
      </c>
      <c r="H197" s="31">
        <v>81778</v>
      </c>
      <c r="I197" s="31" t="s">
        <v>17</v>
      </c>
      <c r="J197" s="31">
        <v>78771096</v>
      </c>
      <c r="K197" s="80" t="s">
        <v>1485</v>
      </c>
      <c r="L197" s="18" t="s">
        <v>1486</v>
      </c>
      <c r="M197" s="41">
        <v>239900</v>
      </c>
      <c r="N197" s="30">
        <v>0.9</v>
      </c>
      <c r="O197" s="33">
        <f t="shared" si="3"/>
        <v>23989.999999999996</v>
      </c>
      <c r="P197" s="28" t="s">
        <v>0</v>
      </c>
    </row>
    <row r="198" spans="1:16" x14ac:dyDescent="0.3">
      <c r="A198" s="32" t="s">
        <v>3213</v>
      </c>
      <c r="B198" s="40">
        <v>46093</v>
      </c>
      <c r="C198" s="40">
        <v>46098</v>
      </c>
      <c r="D198" s="32">
        <v>3319</v>
      </c>
      <c r="E198" s="32">
        <v>327</v>
      </c>
      <c r="F198" s="32">
        <v>2</v>
      </c>
      <c r="G198" s="31">
        <v>1</v>
      </c>
      <c r="H198" s="31">
        <v>81778</v>
      </c>
      <c r="I198" s="31" t="s">
        <v>17</v>
      </c>
      <c r="J198" s="31">
        <v>78771103</v>
      </c>
      <c r="K198" s="80" t="s">
        <v>1485</v>
      </c>
      <c r="L198" s="18" t="s">
        <v>1487</v>
      </c>
      <c r="M198" s="41">
        <v>239900</v>
      </c>
      <c r="N198" s="30">
        <v>0.9</v>
      </c>
      <c r="O198" s="33">
        <f t="shared" si="3"/>
        <v>23989.999999999996</v>
      </c>
      <c r="P198" s="28" t="s">
        <v>0</v>
      </c>
    </row>
    <row r="199" spans="1:16" x14ac:dyDescent="0.3">
      <c r="A199" s="32" t="s">
        <v>3213</v>
      </c>
      <c r="B199" s="40">
        <v>46093</v>
      </c>
      <c r="C199" s="40">
        <v>46098</v>
      </c>
      <c r="D199" s="32">
        <v>3319</v>
      </c>
      <c r="E199" s="32">
        <v>327</v>
      </c>
      <c r="F199" s="32">
        <v>2</v>
      </c>
      <c r="G199" s="31">
        <v>1</v>
      </c>
      <c r="H199" s="31">
        <v>81778</v>
      </c>
      <c r="I199" s="31" t="s">
        <v>17</v>
      </c>
      <c r="J199" s="31">
        <v>78771112</v>
      </c>
      <c r="K199" s="80" t="s">
        <v>1485</v>
      </c>
      <c r="L199" s="18" t="s">
        <v>1488</v>
      </c>
      <c r="M199" s="41">
        <v>239900</v>
      </c>
      <c r="N199" s="30">
        <v>0.9</v>
      </c>
      <c r="O199" s="33">
        <f t="shared" si="3"/>
        <v>23989.999999999996</v>
      </c>
      <c r="P199" s="28" t="s">
        <v>0</v>
      </c>
    </row>
    <row r="200" spans="1:16" x14ac:dyDescent="0.3">
      <c r="A200" s="32" t="s">
        <v>3213</v>
      </c>
      <c r="B200" s="40">
        <v>46093</v>
      </c>
      <c r="C200" s="40">
        <v>46098</v>
      </c>
      <c r="D200" s="32">
        <v>3319</v>
      </c>
      <c r="E200" s="32">
        <v>327</v>
      </c>
      <c r="F200" s="32">
        <v>2</v>
      </c>
      <c r="G200" s="31">
        <v>1</v>
      </c>
      <c r="H200" s="31">
        <v>81778</v>
      </c>
      <c r="I200" s="31" t="s">
        <v>17</v>
      </c>
      <c r="J200" s="31">
        <v>78771121</v>
      </c>
      <c r="K200" s="80" t="s">
        <v>1485</v>
      </c>
      <c r="L200" s="18" t="s">
        <v>1489</v>
      </c>
      <c r="M200" s="41">
        <v>239900</v>
      </c>
      <c r="N200" s="30">
        <v>0.9</v>
      </c>
      <c r="O200" s="33">
        <f t="shared" si="3"/>
        <v>23989.999999999996</v>
      </c>
      <c r="P200" s="28" t="s">
        <v>0</v>
      </c>
    </row>
    <row r="201" spans="1:16" x14ac:dyDescent="0.3">
      <c r="A201" s="32" t="s">
        <v>3213</v>
      </c>
      <c r="B201" s="40">
        <v>46093</v>
      </c>
      <c r="C201" s="40">
        <v>46098</v>
      </c>
      <c r="D201" s="32">
        <v>3319</v>
      </c>
      <c r="E201" s="32">
        <v>327</v>
      </c>
      <c r="F201" s="32">
        <v>2</v>
      </c>
      <c r="G201" s="31">
        <v>1</v>
      </c>
      <c r="H201" s="31">
        <v>81778</v>
      </c>
      <c r="I201" s="31" t="s">
        <v>17</v>
      </c>
      <c r="J201" s="31">
        <v>78771130</v>
      </c>
      <c r="K201" s="80" t="s">
        <v>1485</v>
      </c>
      <c r="L201" s="18" t="s">
        <v>1490</v>
      </c>
      <c r="M201" s="41">
        <v>239900</v>
      </c>
      <c r="N201" s="30">
        <v>0.9</v>
      </c>
      <c r="O201" s="33">
        <f t="shared" si="3"/>
        <v>23989.999999999996</v>
      </c>
      <c r="P201" s="28" t="s">
        <v>0</v>
      </c>
    </row>
    <row r="202" spans="1:16" x14ac:dyDescent="0.3">
      <c r="A202" s="32" t="s">
        <v>3213</v>
      </c>
      <c r="B202" s="40">
        <v>46093</v>
      </c>
      <c r="C202" s="40">
        <v>46098</v>
      </c>
      <c r="D202" s="32">
        <v>3319</v>
      </c>
      <c r="E202" s="32">
        <v>327</v>
      </c>
      <c r="F202" s="32">
        <v>2</v>
      </c>
      <c r="G202" s="31">
        <v>1</v>
      </c>
      <c r="H202" s="31">
        <v>81778</v>
      </c>
      <c r="I202" s="31" t="s">
        <v>17</v>
      </c>
      <c r="J202" s="31">
        <v>78771149</v>
      </c>
      <c r="K202" s="80" t="s">
        <v>1485</v>
      </c>
      <c r="L202" s="18" t="s">
        <v>1491</v>
      </c>
      <c r="M202" s="41">
        <v>239900</v>
      </c>
      <c r="N202" s="30">
        <v>0.9</v>
      </c>
      <c r="O202" s="33">
        <f t="shared" si="3"/>
        <v>23989.999999999996</v>
      </c>
      <c r="P202" s="28" t="s">
        <v>0</v>
      </c>
    </row>
    <row r="203" spans="1:16" x14ac:dyDescent="0.3">
      <c r="A203" s="32" t="s">
        <v>3213</v>
      </c>
      <c r="B203" s="40">
        <v>46093</v>
      </c>
      <c r="C203" s="40">
        <v>46098</v>
      </c>
      <c r="D203" s="32">
        <v>3319</v>
      </c>
      <c r="E203" s="32">
        <v>327</v>
      </c>
      <c r="F203" s="32">
        <v>2</v>
      </c>
      <c r="G203" s="31">
        <v>1</v>
      </c>
      <c r="H203" s="31">
        <v>81778</v>
      </c>
      <c r="I203" s="31" t="s">
        <v>17</v>
      </c>
      <c r="J203" s="31">
        <v>78771158</v>
      </c>
      <c r="K203" s="80" t="s">
        <v>1485</v>
      </c>
      <c r="L203" s="18" t="s">
        <v>1492</v>
      </c>
      <c r="M203" s="41">
        <v>239900</v>
      </c>
      <c r="N203" s="30">
        <v>0.9</v>
      </c>
      <c r="O203" s="33">
        <f t="shared" si="3"/>
        <v>23989.999999999996</v>
      </c>
      <c r="P203" s="28" t="s">
        <v>0</v>
      </c>
    </row>
    <row r="204" spans="1:16" x14ac:dyDescent="0.3">
      <c r="A204" s="32" t="s">
        <v>3213</v>
      </c>
      <c r="B204" s="40">
        <v>46093</v>
      </c>
      <c r="C204" s="40">
        <v>46098</v>
      </c>
      <c r="D204" s="32">
        <v>3319</v>
      </c>
      <c r="E204" s="32">
        <v>327</v>
      </c>
      <c r="F204" s="32">
        <v>2</v>
      </c>
      <c r="G204" s="31">
        <v>1</v>
      </c>
      <c r="H204" s="31">
        <v>81778</v>
      </c>
      <c r="I204" s="31" t="s">
        <v>17</v>
      </c>
      <c r="J204" s="31">
        <v>78771167</v>
      </c>
      <c r="K204" s="80" t="s">
        <v>1485</v>
      </c>
      <c r="L204" s="18" t="s">
        <v>1493</v>
      </c>
      <c r="M204" s="41">
        <v>239900</v>
      </c>
      <c r="N204" s="30">
        <v>0.9</v>
      </c>
      <c r="O204" s="33">
        <f t="shared" si="3"/>
        <v>23989.999999999996</v>
      </c>
      <c r="P204" s="28" t="s">
        <v>0</v>
      </c>
    </row>
    <row r="205" spans="1:16" x14ac:dyDescent="0.3">
      <c r="A205" s="32" t="s">
        <v>3213</v>
      </c>
      <c r="B205" s="40">
        <v>46093</v>
      </c>
      <c r="C205" s="40">
        <v>46098</v>
      </c>
      <c r="D205" s="32">
        <v>3319</v>
      </c>
      <c r="E205" s="32">
        <v>327</v>
      </c>
      <c r="F205" s="32">
        <v>2</v>
      </c>
      <c r="G205" s="31">
        <v>1</v>
      </c>
      <c r="H205" s="31">
        <v>81778</v>
      </c>
      <c r="I205" s="31" t="s">
        <v>17</v>
      </c>
      <c r="J205" s="31">
        <v>78771176</v>
      </c>
      <c r="K205" s="80" t="s">
        <v>1485</v>
      </c>
      <c r="L205" s="18" t="s">
        <v>1494</v>
      </c>
      <c r="M205" s="41">
        <v>239900</v>
      </c>
      <c r="N205" s="30">
        <v>0.9</v>
      </c>
      <c r="O205" s="33">
        <f t="shared" si="3"/>
        <v>23989.999999999996</v>
      </c>
      <c r="P205" s="28" t="s">
        <v>0</v>
      </c>
    </row>
    <row r="206" spans="1:16" x14ac:dyDescent="0.3">
      <c r="A206" s="32" t="s">
        <v>3213</v>
      </c>
      <c r="B206" s="40">
        <v>46093</v>
      </c>
      <c r="C206" s="40">
        <v>46098</v>
      </c>
      <c r="D206" s="32">
        <v>3319</v>
      </c>
      <c r="E206" s="32">
        <v>327</v>
      </c>
      <c r="F206" s="32">
        <v>2</v>
      </c>
      <c r="G206" s="31">
        <v>1</v>
      </c>
      <c r="H206" s="31">
        <v>81778</v>
      </c>
      <c r="I206" s="31" t="s">
        <v>17</v>
      </c>
      <c r="J206" s="31">
        <v>78771185</v>
      </c>
      <c r="K206" s="80" t="s">
        <v>1485</v>
      </c>
      <c r="L206" s="18" t="s">
        <v>1495</v>
      </c>
      <c r="M206" s="41">
        <v>239900</v>
      </c>
      <c r="N206" s="30">
        <v>0.9</v>
      </c>
      <c r="O206" s="33">
        <f t="shared" si="3"/>
        <v>23989.999999999996</v>
      </c>
      <c r="P206" s="28" t="s">
        <v>0</v>
      </c>
    </row>
    <row r="207" spans="1:16" x14ac:dyDescent="0.3">
      <c r="A207" s="32" t="s">
        <v>3213</v>
      </c>
      <c r="B207" s="40">
        <v>46093</v>
      </c>
      <c r="C207" s="40">
        <v>46098</v>
      </c>
      <c r="D207" s="32">
        <v>3319</v>
      </c>
      <c r="E207" s="32">
        <v>327</v>
      </c>
      <c r="F207" s="32">
        <v>2</v>
      </c>
      <c r="G207" s="31">
        <v>1</v>
      </c>
      <c r="H207" s="31">
        <v>81778</v>
      </c>
      <c r="I207" s="31" t="s">
        <v>17</v>
      </c>
      <c r="J207" s="31">
        <v>80071212</v>
      </c>
      <c r="K207" s="80" t="s">
        <v>1496</v>
      </c>
      <c r="L207" s="18" t="s">
        <v>1497</v>
      </c>
      <c r="M207" s="41">
        <v>239900</v>
      </c>
      <c r="N207" s="30">
        <v>0.9</v>
      </c>
      <c r="O207" s="33">
        <f t="shared" si="3"/>
        <v>23989.999999999996</v>
      </c>
      <c r="P207" s="28" t="s">
        <v>0</v>
      </c>
    </row>
    <row r="208" spans="1:16" x14ac:dyDescent="0.3">
      <c r="A208" s="32" t="s">
        <v>3213</v>
      </c>
      <c r="B208" s="40">
        <v>46093</v>
      </c>
      <c r="C208" s="40">
        <v>46098</v>
      </c>
      <c r="D208" s="32">
        <v>3319</v>
      </c>
      <c r="E208" s="32">
        <v>327</v>
      </c>
      <c r="F208" s="32">
        <v>2</v>
      </c>
      <c r="G208" s="31">
        <v>1</v>
      </c>
      <c r="H208" s="31">
        <v>81778</v>
      </c>
      <c r="I208" s="31" t="s">
        <v>17</v>
      </c>
      <c r="J208" s="31">
        <v>80071221</v>
      </c>
      <c r="K208" s="80" t="s">
        <v>1496</v>
      </c>
      <c r="L208" s="18" t="s">
        <v>1498</v>
      </c>
      <c r="M208" s="41">
        <v>239900</v>
      </c>
      <c r="N208" s="30">
        <v>0.9</v>
      </c>
      <c r="O208" s="33">
        <f t="shared" si="3"/>
        <v>23989.999999999996</v>
      </c>
      <c r="P208" s="28" t="s">
        <v>0</v>
      </c>
    </row>
    <row r="209" spans="1:16" x14ac:dyDescent="0.3">
      <c r="A209" s="32" t="s">
        <v>3213</v>
      </c>
      <c r="B209" s="40">
        <v>46093</v>
      </c>
      <c r="C209" s="40">
        <v>46098</v>
      </c>
      <c r="D209" s="32">
        <v>3319</v>
      </c>
      <c r="E209" s="32">
        <v>327</v>
      </c>
      <c r="F209" s="32">
        <v>2</v>
      </c>
      <c r="G209" s="31">
        <v>1</v>
      </c>
      <c r="H209" s="31">
        <v>81778</v>
      </c>
      <c r="I209" s="31" t="s">
        <v>17</v>
      </c>
      <c r="J209" s="31">
        <v>80071230</v>
      </c>
      <c r="K209" s="80" t="s">
        <v>1496</v>
      </c>
      <c r="L209" s="18" t="s">
        <v>1499</v>
      </c>
      <c r="M209" s="41">
        <v>239900</v>
      </c>
      <c r="N209" s="30">
        <v>0.9</v>
      </c>
      <c r="O209" s="33">
        <f t="shared" si="3"/>
        <v>23989.999999999996</v>
      </c>
      <c r="P209" s="28" t="s">
        <v>0</v>
      </c>
    </row>
    <row r="210" spans="1:16" x14ac:dyDescent="0.3">
      <c r="A210" s="32" t="s">
        <v>3213</v>
      </c>
      <c r="B210" s="40">
        <v>46093</v>
      </c>
      <c r="C210" s="40">
        <v>46098</v>
      </c>
      <c r="D210" s="32">
        <v>3319</v>
      </c>
      <c r="E210" s="32">
        <v>327</v>
      </c>
      <c r="F210" s="32">
        <v>2</v>
      </c>
      <c r="G210" s="31">
        <v>1</v>
      </c>
      <c r="H210" s="31">
        <v>81778</v>
      </c>
      <c r="I210" s="31" t="s">
        <v>17</v>
      </c>
      <c r="J210" s="31">
        <v>80071249</v>
      </c>
      <c r="K210" s="80" t="s">
        <v>1496</v>
      </c>
      <c r="L210" s="18" t="s">
        <v>1500</v>
      </c>
      <c r="M210" s="41">
        <v>239900</v>
      </c>
      <c r="N210" s="30">
        <v>0.9</v>
      </c>
      <c r="O210" s="33">
        <f t="shared" si="3"/>
        <v>23989.999999999996</v>
      </c>
      <c r="P210" s="28" t="s">
        <v>0</v>
      </c>
    </row>
    <row r="211" spans="1:16" x14ac:dyDescent="0.3">
      <c r="A211" s="32" t="s">
        <v>3213</v>
      </c>
      <c r="B211" s="40">
        <v>46093</v>
      </c>
      <c r="C211" s="40">
        <v>46098</v>
      </c>
      <c r="D211" s="32">
        <v>3319</v>
      </c>
      <c r="E211" s="32">
        <v>327</v>
      </c>
      <c r="F211" s="32">
        <v>2</v>
      </c>
      <c r="G211" s="31">
        <v>1</v>
      </c>
      <c r="H211" s="31">
        <v>81778</v>
      </c>
      <c r="I211" s="31" t="s">
        <v>17</v>
      </c>
      <c r="J211" s="31">
        <v>80071258</v>
      </c>
      <c r="K211" s="80" t="s">
        <v>1496</v>
      </c>
      <c r="L211" s="18" t="s">
        <v>1501</v>
      </c>
      <c r="M211" s="41">
        <v>239900</v>
      </c>
      <c r="N211" s="30">
        <v>0.9</v>
      </c>
      <c r="O211" s="33">
        <f t="shared" si="3"/>
        <v>23989.999999999996</v>
      </c>
      <c r="P211" s="28" t="s">
        <v>0</v>
      </c>
    </row>
    <row r="212" spans="1:16" x14ac:dyDescent="0.3">
      <c r="A212" s="32" t="s">
        <v>3213</v>
      </c>
      <c r="B212" s="40">
        <v>46093</v>
      </c>
      <c r="C212" s="40">
        <v>46098</v>
      </c>
      <c r="D212" s="32">
        <v>3319</v>
      </c>
      <c r="E212" s="32">
        <v>327</v>
      </c>
      <c r="F212" s="32">
        <v>2</v>
      </c>
      <c r="G212" s="31">
        <v>1</v>
      </c>
      <c r="H212" s="31">
        <v>81778</v>
      </c>
      <c r="I212" s="31" t="s">
        <v>17</v>
      </c>
      <c r="J212" s="31">
        <v>80071267</v>
      </c>
      <c r="K212" s="80" t="s">
        <v>1496</v>
      </c>
      <c r="L212" s="18" t="s">
        <v>1502</v>
      </c>
      <c r="M212" s="41">
        <v>239900</v>
      </c>
      <c r="N212" s="30">
        <v>0.9</v>
      </c>
      <c r="O212" s="33">
        <f t="shared" si="3"/>
        <v>23989.999999999996</v>
      </c>
      <c r="P212" s="28" t="s">
        <v>0</v>
      </c>
    </row>
    <row r="213" spans="1:16" x14ac:dyDescent="0.3">
      <c r="A213" s="32" t="s">
        <v>3213</v>
      </c>
      <c r="B213" s="40">
        <v>46093</v>
      </c>
      <c r="C213" s="40">
        <v>46098</v>
      </c>
      <c r="D213" s="32">
        <v>3319</v>
      </c>
      <c r="E213" s="32">
        <v>327</v>
      </c>
      <c r="F213" s="32">
        <v>2</v>
      </c>
      <c r="G213" s="31">
        <v>1</v>
      </c>
      <c r="H213" s="31">
        <v>81778</v>
      </c>
      <c r="I213" s="31" t="s">
        <v>17</v>
      </c>
      <c r="J213" s="31">
        <v>80071276</v>
      </c>
      <c r="K213" s="80" t="s">
        <v>1496</v>
      </c>
      <c r="L213" s="18" t="s">
        <v>1503</v>
      </c>
      <c r="M213" s="41">
        <v>239900</v>
      </c>
      <c r="N213" s="30">
        <v>0.9</v>
      </c>
      <c r="O213" s="33">
        <f t="shared" si="3"/>
        <v>23989.999999999996</v>
      </c>
      <c r="P213" s="28" t="s">
        <v>0</v>
      </c>
    </row>
    <row r="214" spans="1:16" x14ac:dyDescent="0.3">
      <c r="A214" s="32" t="s">
        <v>3213</v>
      </c>
      <c r="B214" s="40">
        <v>46093</v>
      </c>
      <c r="C214" s="40">
        <v>46098</v>
      </c>
      <c r="D214" s="32">
        <v>3319</v>
      </c>
      <c r="E214" s="32">
        <v>327</v>
      </c>
      <c r="F214" s="32">
        <v>2</v>
      </c>
      <c r="G214" s="31">
        <v>1</v>
      </c>
      <c r="H214" s="31">
        <v>81778</v>
      </c>
      <c r="I214" s="31" t="s">
        <v>17</v>
      </c>
      <c r="J214" s="31">
        <v>80071285</v>
      </c>
      <c r="K214" s="80" t="s">
        <v>1496</v>
      </c>
      <c r="L214" s="18" t="s">
        <v>1504</v>
      </c>
      <c r="M214" s="41">
        <v>239900</v>
      </c>
      <c r="N214" s="30">
        <v>0.9</v>
      </c>
      <c r="O214" s="33">
        <f t="shared" si="3"/>
        <v>23989.999999999996</v>
      </c>
      <c r="P214" s="28" t="s">
        <v>0</v>
      </c>
    </row>
    <row r="215" spans="1:16" x14ac:dyDescent="0.3">
      <c r="A215" s="32" t="s">
        <v>3213</v>
      </c>
      <c r="B215" s="40">
        <v>46093</v>
      </c>
      <c r="C215" s="40">
        <v>46098</v>
      </c>
      <c r="D215" s="32">
        <v>3319</v>
      </c>
      <c r="E215" s="32">
        <v>327</v>
      </c>
      <c r="F215" s="32">
        <v>2</v>
      </c>
      <c r="G215" s="31">
        <v>1</v>
      </c>
      <c r="H215" s="31">
        <v>81778</v>
      </c>
      <c r="I215" s="31" t="s">
        <v>17</v>
      </c>
      <c r="J215" s="31">
        <v>80071294</v>
      </c>
      <c r="K215" s="80" t="s">
        <v>1496</v>
      </c>
      <c r="L215" s="18" t="s">
        <v>1505</v>
      </c>
      <c r="M215" s="41">
        <v>239900</v>
      </c>
      <c r="N215" s="30">
        <v>0.9</v>
      </c>
      <c r="O215" s="33">
        <f t="shared" si="3"/>
        <v>23989.999999999996</v>
      </c>
      <c r="P215" s="28" t="s">
        <v>0</v>
      </c>
    </row>
    <row r="216" spans="1:16" x14ac:dyDescent="0.3">
      <c r="A216" s="32" t="s">
        <v>3213</v>
      </c>
      <c r="B216" s="40">
        <v>46093</v>
      </c>
      <c r="C216" s="40">
        <v>46098</v>
      </c>
      <c r="D216" s="32">
        <v>3319</v>
      </c>
      <c r="E216" s="32">
        <v>327</v>
      </c>
      <c r="F216" s="32">
        <v>2</v>
      </c>
      <c r="G216" s="31">
        <v>1</v>
      </c>
      <c r="H216" s="31">
        <v>81778</v>
      </c>
      <c r="I216" s="31" t="s">
        <v>17</v>
      </c>
      <c r="J216" s="31">
        <v>80071301</v>
      </c>
      <c r="K216" s="80" t="s">
        <v>1496</v>
      </c>
      <c r="L216" s="18" t="s">
        <v>1506</v>
      </c>
      <c r="M216" s="41">
        <v>239900</v>
      </c>
      <c r="N216" s="30">
        <v>0.9</v>
      </c>
      <c r="O216" s="33">
        <f t="shared" si="3"/>
        <v>23989.999999999996</v>
      </c>
      <c r="P216" s="28" t="s">
        <v>0</v>
      </c>
    </row>
    <row r="217" spans="1:16" x14ac:dyDescent="0.3">
      <c r="A217" s="32" t="s">
        <v>3213</v>
      </c>
      <c r="B217" s="40">
        <v>46093</v>
      </c>
      <c r="C217" s="40">
        <v>46098</v>
      </c>
      <c r="D217" s="32">
        <v>3319</v>
      </c>
      <c r="E217" s="32">
        <v>327</v>
      </c>
      <c r="F217" s="32">
        <v>2</v>
      </c>
      <c r="G217" s="31">
        <v>1</v>
      </c>
      <c r="H217" s="31">
        <v>81778</v>
      </c>
      <c r="I217" s="31" t="s">
        <v>17</v>
      </c>
      <c r="J217" s="31">
        <v>80071310</v>
      </c>
      <c r="K217" s="80" t="s">
        <v>1507</v>
      </c>
      <c r="L217" s="18" t="s">
        <v>1508</v>
      </c>
      <c r="M217" s="41">
        <v>239900</v>
      </c>
      <c r="N217" s="30">
        <v>0.9</v>
      </c>
      <c r="O217" s="33">
        <f t="shared" si="3"/>
        <v>23989.999999999996</v>
      </c>
      <c r="P217" s="28" t="s">
        <v>0</v>
      </c>
    </row>
    <row r="218" spans="1:16" x14ac:dyDescent="0.3">
      <c r="A218" s="32" t="s">
        <v>3213</v>
      </c>
      <c r="B218" s="40">
        <v>46093</v>
      </c>
      <c r="C218" s="40">
        <v>46098</v>
      </c>
      <c r="D218" s="32">
        <v>3319</v>
      </c>
      <c r="E218" s="32">
        <v>327</v>
      </c>
      <c r="F218" s="32">
        <v>2</v>
      </c>
      <c r="G218" s="31">
        <v>1</v>
      </c>
      <c r="H218" s="31">
        <v>81778</v>
      </c>
      <c r="I218" s="31" t="s">
        <v>17</v>
      </c>
      <c r="J218" s="31">
        <v>80071329</v>
      </c>
      <c r="K218" s="80" t="s">
        <v>1507</v>
      </c>
      <c r="L218" s="18" t="s">
        <v>1509</v>
      </c>
      <c r="M218" s="41">
        <v>239900</v>
      </c>
      <c r="N218" s="30">
        <v>0.9</v>
      </c>
      <c r="O218" s="33">
        <f t="shared" si="3"/>
        <v>23989.999999999996</v>
      </c>
      <c r="P218" s="28" t="s">
        <v>0</v>
      </c>
    </row>
    <row r="219" spans="1:16" x14ac:dyDescent="0.3">
      <c r="A219" s="32" t="s">
        <v>3213</v>
      </c>
      <c r="B219" s="40">
        <v>46093</v>
      </c>
      <c r="C219" s="40">
        <v>46098</v>
      </c>
      <c r="D219" s="32">
        <v>3319</v>
      </c>
      <c r="E219" s="32">
        <v>327</v>
      </c>
      <c r="F219" s="32">
        <v>2</v>
      </c>
      <c r="G219" s="31">
        <v>1</v>
      </c>
      <c r="H219" s="31">
        <v>81778</v>
      </c>
      <c r="I219" s="31" t="s">
        <v>17</v>
      </c>
      <c r="J219" s="31">
        <v>80071338</v>
      </c>
      <c r="K219" s="80" t="s">
        <v>1507</v>
      </c>
      <c r="L219" s="18" t="s">
        <v>1510</v>
      </c>
      <c r="M219" s="41">
        <v>239900</v>
      </c>
      <c r="N219" s="30">
        <v>0.9</v>
      </c>
      <c r="O219" s="33">
        <f t="shared" si="3"/>
        <v>23989.999999999996</v>
      </c>
      <c r="P219" s="28" t="s">
        <v>0</v>
      </c>
    </row>
    <row r="220" spans="1:16" x14ac:dyDescent="0.3">
      <c r="A220" s="32" t="s">
        <v>3213</v>
      </c>
      <c r="B220" s="40">
        <v>46093</v>
      </c>
      <c r="C220" s="40">
        <v>46098</v>
      </c>
      <c r="D220" s="32">
        <v>3319</v>
      </c>
      <c r="E220" s="32">
        <v>327</v>
      </c>
      <c r="F220" s="32">
        <v>2</v>
      </c>
      <c r="G220" s="31">
        <v>1</v>
      </c>
      <c r="H220" s="31">
        <v>81778</v>
      </c>
      <c r="I220" s="31" t="s">
        <v>17</v>
      </c>
      <c r="J220" s="31">
        <v>80071347</v>
      </c>
      <c r="K220" s="80" t="s">
        <v>1507</v>
      </c>
      <c r="L220" s="18" t="s">
        <v>1511</v>
      </c>
      <c r="M220" s="41">
        <v>239900</v>
      </c>
      <c r="N220" s="30">
        <v>0.9</v>
      </c>
      <c r="O220" s="33">
        <f t="shared" si="3"/>
        <v>23989.999999999996</v>
      </c>
      <c r="P220" s="28" t="s">
        <v>0</v>
      </c>
    </row>
    <row r="221" spans="1:16" x14ac:dyDescent="0.3">
      <c r="A221" s="32" t="s">
        <v>3213</v>
      </c>
      <c r="B221" s="40">
        <v>46093</v>
      </c>
      <c r="C221" s="40">
        <v>46098</v>
      </c>
      <c r="D221" s="32">
        <v>3319</v>
      </c>
      <c r="E221" s="32">
        <v>327</v>
      </c>
      <c r="F221" s="32">
        <v>2</v>
      </c>
      <c r="G221" s="31">
        <v>1</v>
      </c>
      <c r="H221" s="31">
        <v>81778</v>
      </c>
      <c r="I221" s="31" t="s">
        <v>17</v>
      </c>
      <c r="J221" s="31">
        <v>80071356</v>
      </c>
      <c r="K221" s="80" t="s">
        <v>1507</v>
      </c>
      <c r="L221" s="18" t="s">
        <v>1512</v>
      </c>
      <c r="M221" s="41">
        <v>239900</v>
      </c>
      <c r="N221" s="30">
        <v>0.9</v>
      </c>
      <c r="O221" s="33">
        <f t="shared" si="3"/>
        <v>23989.999999999996</v>
      </c>
      <c r="P221" s="28" t="s">
        <v>0</v>
      </c>
    </row>
    <row r="222" spans="1:16" x14ac:dyDescent="0.3">
      <c r="A222" s="32" t="s">
        <v>3213</v>
      </c>
      <c r="B222" s="40">
        <v>46093</v>
      </c>
      <c r="C222" s="40">
        <v>46098</v>
      </c>
      <c r="D222" s="32">
        <v>3319</v>
      </c>
      <c r="E222" s="32">
        <v>327</v>
      </c>
      <c r="F222" s="32">
        <v>2</v>
      </c>
      <c r="G222" s="31">
        <v>1</v>
      </c>
      <c r="H222" s="31">
        <v>81778</v>
      </c>
      <c r="I222" s="31" t="s">
        <v>17</v>
      </c>
      <c r="J222" s="31">
        <v>80071365</v>
      </c>
      <c r="K222" s="80" t="s">
        <v>1507</v>
      </c>
      <c r="L222" s="18" t="s">
        <v>1513</v>
      </c>
      <c r="M222" s="41">
        <v>239900</v>
      </c>
      <c r="N222" s="30">
        <v>0.9</v>
      </c>
      <c r="O222" s="33">
        <f t="shared" si="3"/>
        <v>23989.999999999996</v>
      </c>
      <c r="P222" s="28" t="s">
        <v>0</v>
      </c>
    </row>
    <row r="223" spans="1:16" x14ac:dyDescent="0.3">
      <c r="A223" s="32" t="s">
        <v>3213</v>
      </c>
      <c r="B223" s="40">
        <v>46093</v>
      </c>
      <c r="C223" s="40">
        <v>46098</v>
      </c>
      <c r="D223" s="32">
        <v>3319</v>
      </c>
      <c r="E223" s="32">
        <v>327</v>
      </c>
      <c r="F223" s="32">
        <v>2</v>
      </c>
      <c r="G223" s="31">
        <v>1</v>
      </c>
      <c r="H223" s="31">
        <v>81778</v>
      </c>
      <c r="I223" s="31" t="s">
        <v>17</v>
      </c>
      <c r="J223" s="31">
        <v>80071374</v>
      </c>
      <c r="K223" s="80" t="s">
        <v>1507</v>
      </c>
      <c r="L223" s="18" t="s">
        <v>1514</v>
      </c>
      <c r="M223" s="41">
        <v>239900</v>
      </c>
      <c r="N223" s="30">
        <v>0.9</v>
      </c>
      <c r="O223" s="33">
        <f t="shared" si="3"/>
        <v>23989.999999999996</v>
      </c>
      <c r="P223" s="28" t="s">
        <v>0</v>
      </c>
    </row>
    <row r="224" spans="1:16" x14ac:dyDescent="0.3">
      <c r="A224" s="32" t="s">
        <v>3213</v>
      </c>
      <c r="B224" s="40">
        <v>46093</v>
      </c>
      <c r="C224" s="40">
        <v>46098</v>
      </c>
      <c r="D224" s="32">
        <v>3319</v>
      </c>
      <c r="E224" s="32">
        <v>327</v>
      </c>
      <c r="F224" s="32">
        <v>2</v>
      </c>
      <c r="G224" s="31">
        <v>1</v>
      </c>
      <c r="H224" s="31">
        <v>81778</v>
      </c>
      <c r="I224" s="31" t="s">
        <v>17</v>
      </c>
      <c r="J224" s="31">
        <v>80071383</v>
      </c>
      <c r="K224" s="80" t="s">
        <v>1507</v>
      </c>
      <c r="L224" s="18" t="s">
        <v>1515</v>
      </c>
      <c r="M224" s="41">
        <v>239900</v>
      </c>
      <c r="N224" s="30">
        <v>0.9</v>
      </c>
      <c r="O224" s="33">
        <f t="shared" si="3"/>
        <v>23989.999999999996</v>
      </c>
      <c r="P224" s="28" t="s">
        <v>0</v>
      </c>
    </row>
    <row r="225" spans="1:16" x14ac:dyDescent="0.3">
      <c r="A225" s="32" t="s">
        <v>3213</v>
      </c>
      <c r="B225" s="40">
        <v>46093</v>
      </c>
      <c r="C225" s="40">
        <v>46098</v>
      </c>
      <c r="D225" s="32">
        <v>3319</v>
      </c>
      <c r="E225" s="32">
        <v>327</v>
      </c>
      <c r="F225" s="32">
        <v>2</v>
      </c>
      <c r="G225" s="31">
        <v>1</v>
      </c>
      <c r="H225" s="31">
        <v>81778</v>
      </c>
      <c r="I225" s="31" t="s">
        <v>17</v>
      </c>
      <c r="J225" s="31">
        <v>80071392</v>
      </c>
      <c r="K225" s="80" t="s">
        <v>1507</v>
      </c>
      <c r="L225" s="18" t="s">
        <v>1516</v>
      </c>
      <c r="M225" s="41">
        <v>239900</v>
      </c>
      <c r="N225" s="30">
        <v>0.9</v>
      </c>
      <c r="O225" s="33">
        <f t="shared" si="3"/>
        <v>23989.999999999996</v>
      </c>
      <c r="P225" s="28" t="s">
        <v>0</v>
      </c>
    </row>
    <row r="226" spans="1:16" x14ac:dyDescent="0.3">
      <c r="A226" s="32" t="s">
        <v>3213</v>
      </c>
      <c r="B226" s="40">
        <v>46093</v>
      </c>
      <c r="C226" s="40">
        <v>46098</v>
      </c>
      <c r="D226" s="32">
        <v>3319</v>
      </c>
      <c r="E226" s="32">
        <v>327</v>
      </c>
      <c r="F226" s="32">
        <v>2</v>
      </c>
      <c r="G226" s="31">
        <v>1</v>
      </c>
      <c r="H226" s="31">
        <v>81778</v>
      </c>
      <c r="I226" s="31" t="s">
        <v>17</v>
      </c>
      <c r="J226" s="31">
        <v>80071409</v>
      </c>
      <c r="K226" s="80" t="s">
        <v>1507</v>
      </c>
      <c r="L226" s="18" t="s">
        <v>1517</v>
      </c>
      <c r="M226" s="41">
        <v>239900</v>
      </c>
      <c r="N226" s="30">
        <v>0.9</v>
      </c>
      <c r="O226" s="33">
        <f t="shared" si="3"/>
        <v>23989.999999999996</v>
      </c>
      <c r="P226" s="28" t="s">
        <v>0</v>
      </c>
    </row>
    <row r="227" spans="1:16" x14ac:dyDescent="0.3">
      <c r="A227" s="32" t="s">
        <v>3213</v>
      </c>
      <c r="B227" s="40">
        <v>46093</v>
      </c>
      <c r="C227" s="40">
        <v>46098</v>
      </c>
      <c r="D227" s="32">
        <v>3319</v>
      </c>
      <c r="E227" s="32">
        <v>327</v>
      </c>
      <c r="F227" s="32">
        <v>2</v>
      </c>
      <c r="G227" s="31">
        <v>1</v>
      </c>
      <c r="H227" s="31">
        <v>81433</v>
      </c>
      <c r="I227" s="31" t="s">
        <v>17</v>
      </c>
      <c r="J227" s="31">
        <v>81119553</v>
      </c>
      <c r="K227" s="80" t="s">
        <v>1518</v>
      </c>
      <c r="L227" s="18" t="s">
        <v>1519</v>
      </c>
      <c r="M227" s="41">
        <v>239900</v>
      </c>
      <c r="N227" s="30">
        <v>0.9</v>
      </c>
      <c r="O227" s="33">
        <f t="shared" si="3"/>
        <v>23989.999999999996</v>
      </c>
      <c r="P227" s="28" t="s">
        <v>0</v>
      </c>
    </row>
    <row r="228" spans="1:16" x14ac:dyDescent="0.3">
      <c r="A228" s="32" t="s">
        <v>3213</v>
      </c>
      <c r="B228" s="40">
        <v>46093</v>
      </c>
      <c r="C228" s="40">
        <v>46098</v>
      </c>
      <c r="D228" s="32">
        <v>3319</v>
      </c>
      <c r="E228" s="32">
        <v>327</v>
      </c>
      <c r="F228" s="32">
        <v>2</v>
      </c>
      <c r="G228" s="31">
        <v>1</v>
      </c>
      <c r="H228" s="31">
        <v>81433</v>
      </c>
      <c r="I228" s="31" t="s">
        <v>17</v>
      </c>
      <c r="J228" s="31">
        <v>81119562</v>
      </c>
      <c r="K228" s="80" t="s">
        <v>1518</v>
      </c>
      <c r="L228" s="18" t="s">
        <v>1520</v>
      </c>
      <c r="M228" s="41">
        <v>239900</v>
      </c>
      <c r="N228" s="30">
        <v>0.9</v>
      </c>
      <c r="O228" s="33">
        <f t="shared" si="3"/>
        <v>23989.999999999996</v>
      </c>
      <c r="P228" s="28" t="s">
        <v>0</v>
      </c>
    </row>
    <row r="229" spans="1:16" x14ac:dyDescent="0.3">
      <c r="A229" s="32" t="s">
        <v>3213</v>
      </c>
      <c r="B229" s="40">
        <v>46093</v>
      </c>
      <c r="C229" s="40">
        <v>46098</v>
      </c>
      <c r="D229" s="32">
        <v>3319</v>
      </c>
      <c r="E229" s="32">
        <v>327</v>
      </c>
      <c r="F229" s="32">
        <v>2</v>
      </c>
      <c r="G229" s="31">
        <v>1</v>
      </c>
      <c r="H229" s="31">
        <v>81433</v>
      </c>
      <c r="I229" s="31" t="s">
        <v>17</v>
      </c>
      <c r="J229" s="31">
        <v>81119571</v>
      </c>
      <c r="K229" s="80" t="s">
        <v>1518</v>
      </c>
      <c r="L229" s="18" t="s">
        <v>1521</v>
      </c>
      <c r="M229" s="41">
        <v>239900</v>
      </c>
      <c r="N229" s="30">
        <v>0.9</v>
      </c>
      <c r="O229" s="33">
        <f t="shared" si="3"/>
        <v>23989.999999999996</v>
      </c>
      <c r="P229" s="28" t="s">
        <v>0</v>
      </c>
    </row>
    <row r="230" spans="1:16" x14ac:dyDescent="0.3">
      <c r="A230" s="32" t="s">
        <v>3213</v>
      </c>
      <c r="B230" s="40">
        <v>46093</v>
      </c>
      <c r="C230" s="40">
        <v>46098</v>
      </c>
      <c r="D230" s="32">
        <v>3319</v>
      </c>
      <c r="E230" s="32">
        <v>327</v>
      </c>
      <c r="F230" s="32">
        <v>2</v>
      </c>
      <c r="G230" s="31">
        <v>1</v>
      </c>
      <c r="H230" s="31">
        <v>81433</v>
      </c>
      <c r="I230" s="31" t="s">
        <v>17</v>
      </c>
      <c r="J230" s="31">
        <v>81119580</v>
      </c>
      <c r="K230" s="80" t="s">
        <v>1518</v>
      </c>
      <c r="L230" s="18" t="s">
        <v>1522</v>
      </c>
      <c r="M230" s="41">
        <v>239900</v>
      </c>
      <c r="N230" s="30">
        <v>0.9</v>
      </c>
      <c r="O230" s="33">
        <f t="shared" si="3"/>
        <v>23989.999999999996</v>
      </c>
      <c r="P230" s="28" t="s">
        <v>0</v>
      </c>
    </row>
    <row r="231" spans="1:16" x14ac:dyDescent="0.3">
      <c r="A231" s="32" t="s">
        <v>3213</v>
      </c>
      <c r="B231" s="40">
        <v>46093</v>
      </c>
      <c r="C231" s="40">
        <v>46098</v>
      </c>
      <c r="D231" s="32">
        <v>3319</v>
      </c>
      <c r="E231" s="32">
        <v>327</v>
      </c>
      <c r="F231" s="32">
        <v>2</v>
      </c>
      <c r="G231" s="31">
        <v>1</v>
      </c>
      <c r="H231" s="31">
        <v>81433</v>
      </c>
      <c r="I231" s="31" t="s">
        <v>17</v>
      </c>
      <c r="J231" s="31">
        <v>81119599</v>
      </c>
      <c r="K231" s="80" t="s">
        <v>1518</v>
      </c>
      <c r="L231" s="18" t="s">
        <v>1523</v>
      </c>
      <c r="M231" s="41">
        <v>239900</v>
      </c>
      <c r="N231" s="30">
        <v>0.9</v>
      </c>
      <c r="O231" s="33">
        <f t="shared" si="3"/>
        <v>23989.999999999996</v>
      </c>
      <c r="P231" s="28" t="s">
        <v>0</v>
      </c>
    </row>
    <row r="232" spans="1:16" x14ac:dyDescent="0.3">
      <c r="A232" s="32" t="s">
        <v>3213</v>
      </c>
      <c r="B232" s="40">
        <v>46093</v>
      </c>
      <c r="C232" s="40">
        <v>46098</v>
      </c>
      <c r="D232" s="32">
        <v>3319</v>
      </c>
      <c r="E232" s="32">
        <v>327</v>
      </c>
      <c r="F232" s="32">
        <v>2</v>
      </c>
      <c r="G232" s="31">
        <v>1</v>
      </c>
      <c r="H232" s="31">
        <v>81433</v>
      </c>
      <c r="I232" s="31" t="s">
        <v>17</v>
      </c>
      <c r="J232" s="31">
        <v>81119606</v>
      </c>
      <c r="K232" s="80" t="s">
        <v>1518</v>
      </c>
      <c r="L232" s="18" t="s">
        <v>1524</v>
      </c>
      <c r="M232" s="41">
        <v>239900</v>
      </c>
      <c r="N232" s="30">
        <v>0.9</v>
      </c>
      <c r="O232" s="33">
        <f t="shared" si="3"/>
        <v>23989.999999999996</v>
      </c>
      <c r="P232" s="28" t="s">
        <v>0</v>
      </c>
    </row>
    <row r="233" spans="1:16" x14ac:dyDescent="0.3">
      <c r="A233" s="32" t="s">
        <v>3213</v>
      </c>
      <c r="B233" s="40">
        <v>46093</v>
      </c>
      <c r="C233" s="40">
        <v>46098</v>
      </c>
      <c r="D233" s="32">
        <v>3319</v>
      </c>
      <c r="E233" s="32">
        <v>327</v>
      </c>
      <c r="F233" s="32">
        <v>2</v>
      </c>
      <c r="G233" s="31">
        <v>1</v>
      </c>
      <c r="H233" s="31">
        <v>81433</v>
      </c>
      <c r="I233" s="31" t="s">
        <v>17</v>
      </c>
      <c r="J233" s="31">
        <v>81119615</v>
      </c>
      <c r="K233" s="80" t="s">
        <v>1518</v>
      </c>
      <c r="L233" s="18" t="s">
        <v>1525</v>
      </c>
      <c r="M233" s="41">
        <v>239900</v>
      </c>
      <c r="N233" s="30">
        <v>0.9</v>
      </c>
      <c r="O233" s="33">
        <f t="shared" si="3"/>
        <v>23989.999999999996</v>
      </c>
      <c r="P233" s="28" t="s">
        <v>0</v>
      </c>
    </row>
    <row r="234" spans="1:16" x14ac:dyDescent="0.3">
      <c r="A234" s="32" t="s">
        <v>3213</v>
      </c>
      <c r="B234" s="40">
        <v>46093</v>
      </c>
      <c r="C234" s="40">
        <v>46098</v>
      </c>
      <c r="D234" s="32">
        <v>3319</v>
      </c>
      <c r="E234" s="32">
        <v>327</v>
      </c>
      <c r="F234" s="32">
        <v>2</v>
      </c>
      <c r="G234" s="31">
        <v>1</v>
      </c>
      <c r="H234" s="31">
        <v>81433</v>
      </c>
      <c r="I234" s="31" t="s">
        <v>17</v>
      </c>
      <c r="J234" s="31">
        <v>81119624</v>
      </c>
      <c r="K234" s="80" t="s">
        <v>1518</v>
      </c>
      <c r="L234" s="18" t="s">
        <v>1526</v>
      </c>
      <c r="M234" s="41">
        <v>239900</v>
      </c>
      <c r="N234" s="30">
        <v>0.9</v>
      </c>
      <c r="O234" s="33">
        <f t="shared" si="3"/>
        <v>23989.999999999996</v>
      </c>
      <c r="P234" s="28" t="s">
        <v>0</v>
      </c>
    </row>
    <row r="235" spans="1:16" x14ac:dyDescent="0.3">
      <c r="A235" s="32" t="s">
        <v>3213</v>
      </c>
      <c r="B235" s="40">
        <v>46093</v>
      </c>
      <c r="C235" s="40">
        <v>46098</v>
      </c>
      <c r="D235" s="32">
        <v>3319</v>
      </c>
      <c r="E235" s="32">
        <v>327</v>
      </c>
      <c r="F235" s="32">
        <v>2</v>
      </c>
      <c r="G235" s="31">
        <v>1</v>
      </c>
      <c r="H235" s="31">
        <v>81433</v>
      </c>
      <c r="I235" s="31" t="s">
        <v>17</v>
      </c>
      <c r="J235" s="31">
        <v>81119633</v>
      </c>
      <c r="K235" s="80" t="s">
        <v>1518</v>
      </c>
      <c r="L235" s="18" t="s">
        <v>1527</v>
      </c>
      <c r="M235" s="41">
        <v>239900</v>
      </c>
      <c r="N235" s="30">
        <v>0.9</v>
      </c>
      <c r="O235" s="33">
        <f t="shared" si="3"/>
        <v>23989.999999999996</v>
      </c>
      <c r="P235" s="28" t="s">
        <v>0</v>
      </c>
    </row>
    <row r="236" spans="1:16" x14ac:dyDescent="0.3">
      <c r="A236" s="32" t="s">
        <v>3213</v>
      </c>
      <c r="B236" s="40">
        <v>46093</v>
      </c>
      <c r="C236" s="40">
        <v>46098</v>
      </c>
      <c r="D236" s="32">
        <v>3319</v>
      </c>
      <c r="E236" s="32">
        <v>327</v>
      </c>
      <c r="F236" s="32">
        <v>2</v>
      </c>
      <c r="G236" s="31">
        <v>1</v>
      </c>
      <c r="H236" s="31">
        <v>81433</v>
      </c>
      <c r="I236" s="31" t="s">
        <v>17</v>
      </c>
      <c r="J236" s="31">
        <v>81119642</v>
      </c>
      <c r="K236" s="80" t="s">
        <v>1518</v>
      </c>
      <c r="L236" s="18" t="s">
        <v>1528</v>
      </c>
      <c r="M236" s="41">
        <v>239900</v>
      </c>
      <c r="N236" s="30">
        <v>0.9</v>
      </c>
      <c r="O236" s="33">
        <f t="shared" si="3"/>
        <v>23989.999999999996</v>
      </c>
      <c r="P236" s="28" t="s">
        <v>0</v>
      </c>
    </row>
    <row r="237" spans="1:16" x14ac:dyDescent="0.3">
      <c r="A237" s="32" t="s">
        <v>3213</v>
      </c>
      <c r="B237" s="40">
        <v>46093</v>
      </c>
      <c r="C237" s="40">
        <v>46098</v>
      </c>
      <c r="D237" s="32">
        <v>3319</v>
      </c>
      <c r="E237" s="32">
        <v>327</v>
      </c>
      <c r="F237" s="32">
        <v>2</v>
      </c>
      <c r="G237" s="31">
        <v>2</v>
      </c>
      <c r="H237" s="31">
        <v>81778</v>
      </c>
      <c r="I237" s="31" t="s">
        <v>17</v>
      </c>
      <c r="J237" s="31">
        <v>78770542</v>
      </c>
      <c r="K237" s="80" t="s">
        <v>1541</v>
      </c>
      <c r="L237" s="18" t="s">
        <v>1542</v>
      </c>
      <c r="M237" s="41">
        <v>399900</v>
      </c>
      <c r="N237" s="30">
        <v>0.9</v>
      </c>
      <c r="O237" s="33">
        <f t="shared" si="3"/>
        <v>39989.999999999993</v>
      </c>
      <c r="P237" s="28" t="s">
        <v>0</v>
      </c>
    </row>
    <row r="238" spans="1:16" x14ac:dyDescent="0.3">
      <c r="A238" s="32" t="s">
        <v>3213</v>
      </c>
      <c r="B238" s="40">
        <v>46093</v>
      </c>
      <c r="C238" s="40">
        <v>46098</v>
      </c>
      <c r="D238" s="32">
        <v>3319</v>
      </c>
      <c r="E238" s="32">
        <v>327</v>
      </c>
      <c r="F238" s="32">
        <v>2</v>
      </c>
      <c r="G238" s="31">
        <v>2</v>
      </c>
      <c r="H238" s="31">
        <v>81778</v>
      </c>
      <c r="I238" s="31" t="s">
        <v>17</v>
      </c>
      <c r="J238" s="31">
        <v>78770551</v>
      </c>
      <c r="K238" s="80" t="s">
        <v>1541</v>
      </c>
      <c r="L238" s="18" t="s">
        <v>1543</v>
      </c>
      <c r="M238" s="41">
        <v>399900</v>
      </c>
      <c r="N238" s="30">
        <v>0.9</v>
      </c>
      <c r="O238" s="33">
        <f t="shared" si="3"/>
        <v>39989.999999999993</v>
      </c>
      <c r="P238" s="28" t="s">
        <v>0</v>
      </c>
    </row>
    <row r="239" spans="1:16" x14ac:dyDescent="0.3">
      <c r="A239" s="32" t="s">
        <v>3213</v>
      </c>
      <c r="B239" s="40">
        <v>46093</v>
      </c>
      <c r="C239" s="40">
        <v>46098</v>
      </c>
      <c r="D239" s="32">
        <v>3319</v>
      </c>
      <c r="E239" s="32">
        <v>327</v>
      </c>
      <c r="F239" s="32">
        <v>2</v>
      </c>
      <c r="G239" s="31">
        <v>2</v>
      </c>
      <c r="H239" s="31">
        <v>81778</v>
      </c>
      <c r="I239" s="31" t="s">
        <v>17</v>
      </c>
      <c r="J239" s="31">
        <v>78770560</v>
      </c>
      <c r="K239" s="80" t="s">
        <v>1541</v>
      </c>
      <c r="L239" s="18" t="s">
        <v>1544</v>
      </c>
      <c r="M239" s="41">
        <v>399900</v>
      </c>
      <c r="N239" s="30">
        <v>0.9</v>
      </c>
      <c r="O239" s="33">
        <f t="shared" si="3"/>
        <v>39989.999999999993</v>
      </c>
      <c r="P239" s="28" t="s">
        <v>0</v>
      </c>
    </row>
    <row r="240" spans="1:16" x14ac:dyDescent="0.3">
      <c r="A240" s="32" t="s">
        <v>3213</v>
      </c>
      <c r="B240" s="40">
        <v>46093</v>
      </c>
      <c r="C240" s="40">
        <v>46098</v>
      </c>
      <c r="D240" s="32">
        <v>3319</v>
      </c>
      <c r="E240" s="32">
        <v>327</v>
      </c>
      <c r="F240" s="32">
        <v>2</v>
      </c>
      <c r="G240" s="31">
        <v>2</v>
      </c>
      <c r="H240" s="31">
        <v>81778</v>
      </c>
      <c r="I240" s="31" t="s">
        <v>17</v>
      </c>
      <c r="J240" s="31">
        <v>78770579</v>
      </c>
      <c r="K240" s="80" t="s">
        <v>1541</v>
      </c>
      <c r="L240" s="18" t="s">
        <v>1545</v>
      </c>
      <c r="M240" s="41">
        <v>399900</v>
      </c>
      <c r="N240" s="30">
        <v>0.9</v>
      </c>
      <c r="O240" s="33">
        <f t="shared" si="3"/>
        <v>39989.999999999993</v>
      </c>
      <c r="P240" s="28" t="s">
        <v>0</v>
      </c>
    </row>
    <row r="241" spans="1:16" x14ac:dyDescent="0.3">
      <c r="A241" s="32" t="s">
        <v>3213</v>
      </c>
      <c r="B241" s="40">
        <v>46093</v>
      </c>
      <c r="C241" s="40">
        <v>46098</v>
      </c>
      <c r="D241" s="32">
        <v>3319</v>
      </c>
      <c r="E241" s="32">
        <v>327</v>
      </c>
      <c r="F241" s="32">
        <v>2</v>
      </c>
      <c r="G241" s="31">
        <v>2</v>
      </c>
      <c r="H241" s="31">
        <v>81778</v>
      </c>
      <c r="I241" s="31" t="s">
        <v>17</v>
      </c>
      <c r="J241" s="31">
        <v>78770588</v>
      </c>
      <c r="K241" s="80" t="s">
        <v>1541</v>
      </c>
      <c r="L241" s="18" t="s">
        <v>1546</v>
      </c>
      <c r="M241" s="41">
        <v>399900</v>
      </c>
      <c r="N241" s="30">
        <v>0.9</v>
      </c>
      <c r="O241" s="33">
        <f t="shared" si="3"/>
        <v>39989.999999999993</v>
      </c>
      <c r="P241" s="28" t="s">
        <v>0</v>
      </c>
    </row>
    <row r="242" spans="1:16" x14ac:dyDescent="0.3">
      <c r="A242" s="32" t="s">
        <v>3213</v>
      </c>
      <c r="B242" s="40">
        <v>46093</v>
      </c>
      <c r="C242" s="40">
        <v>46098</v>
      </c>
      <c r="D242" s="32">
        <v>3319</v>
      </c>
      <c r="E242" s="32">
        <v>327</v>
      </c>
      <c r="F242" s="32">
        <v>2</v>
      </c>
      <c r="G242" s="31">
        <v>2</v>
      </c>
      <c r="H242" s="31">
        <v>81778</v>
      </c>
      <c r="I242" s="31" t="s">
        <v>17</v>
      </c>
      <c r="J242" s="31">
        <v>78770891</v>
      </c>
      <c r="K242" s="80" t="s">
        <v>1547</v>
      </c>
      <c r="L242" s="18" t="s">
        <v>1548</v>
      </c>
      <c r="M242" s="41">
        <v>319900</v>
      </c>
      <c r="N242" s="30">
        <v>0.9</v>
      </c>
      <c r="O242" s="33">
        <f t="shared" si="3"/>
        <v>31989.999999999993</v>
      </c>
      <c r="P242" s="28" t="s">
        <v>0</v>
      </c>
    </row>
    <row r="243" spans="1:16" x14ac:dyDescent="0.3">
      <c r="A243" s="32" t="s">
        <v>3213</v>
      </c>
      <c r="B243" s="40">
        <v>46093</v>
      </c>
      <c r="C243" s="40">
        <v>46098</v>
      </c>
      <c r="D243" s="32">
        <v>3319</v>
      </c>
      <c r="E243" s="32">
        <v>327</v>
      </c>
      <c r="F243" s="32">
        <v>2</v>
      </c>
      <c r="G243" s="31">
        <v>2</v>
      </c>
      <c r="H243" s="31">
        <v>81778</v>
      </c>
      <c r="I243" s="31" t="s">
        <v>17</v>
      </c>
      <c r="J243" s="31">
        <v>78770908</v>
      </c>
      <c r="K243" s="80" t="s">
        <v>1547</v>
      </c>
      <c r="L243" s="18" t="s">
        <v>1549</v>
      </c>
      <c r="M243" s="41">
        <v>319900</v>
      </c>
      <c r="N243" s="30">
        <v>0.9</v>
      </c>
      <c r="O243" s="33">
        <f t="shared" si="3"/>
        <v>31989.999999999993</v>
      </c>
      <c r="P243" s="28" t="s">
        <v>0</v>
      </c>
    </row>
    <row r="244" spans="1:16" x14ac:dyDescent="0.3">
      <c r="A244" s="32" t="s">
        <v>3213</v>
      </c>
      <c r="B244" s="40">
        <v>46093</v>
      </c>
      <c r="C244" s="40">
        <v>46098</v>
      </c>
      <c r="D244" s="32">
        <v>3319</v>
      </c>
      <c r="E244" s="32">
        <v>327</v>
      </c>
      <c r="F244" s="32">
        <v>2</v>
      </c>
      <c r="G244" s="31">
        <v>2</v>
      </c>
      <c r="H244" s="31">
        <v>81778</v>
      </c>
      <c r="I244" s="31" t="s">
        <v>17</v>
      </c>
      <c r="J244" s="31">
        <v>78770917</v>
      </c>
      <c r="K244" s="80" t="s">
        <v>1547</v>
      </c>
      <c r="L244" s="18" t="s">
        <v>1550</v>
      </c>
      <c r="M244" s="41">
        <v>319900</v>
      </c>
      <c r="N244" s="30">
        <v>0.9</v>
      </c>
      <c r="O244" s="33">
        <f t="shared" si="3"/>
        <v>31989.999999999993</v>
      </c>
      <c r="P244" s="28" t="s">
        <v>0</v>
      </c>
    </row>
    <row r="245" spans="1:16" x14ac:dyDescent="0.3">
      <c r="A245" s="32" t="s">
        <v>3213</v>
      </c>
      <c r="B245" s="40">
        <v>46093</v>
      </c>
      <c r="C245" s="40">
        <v>46098</v>
      </c>
      <c r="D245" s="32">
        <v>3319</v>
      </c>
      <c r="E245" s="32">
        <v>327</v>
      </c>
      <c r="F245" s="32">
        <v>2</v>
      </c>
      <c r="G245" s="31">
        <v>2</v>
      </c>
      <c r="H245" s="31">
        <v>81778</v>
      </c>
      <c r="I245" s="31" t="s">
        <v>17</v>
      </c>
      <c r="J245" s="31">
        <v>78770926</v>
      </c>
      <c r="K245" s="80" t="s">
        <v>1547</v>
      </c>
      <c r="L245" s="18" t="s">
        <v>1551</v>
      </c>
      <c r="M245" s="41">
        <v>319900</v>
      </c>
      <c r="N245" s="30">
        <v>0.9</v>
      </c>
      <c r="O245" s="33">
        <f t="shared" si="3"/>
        <v>31989.999999999993</v>
      </c>
      <c r="P245" s="28" t="s">
        <v>0</v>
      </c>
    </row>
    <row r="246" spans="1:16" x14ac:dyDescent="0.3">
      <c r="A246" s="32" t="s">
        <v>3213</v>
      </c>
      <c r="B246" s="40">
        <v>46093</v>
      </c>
      <c r="C246" s="40">
        <v>46098</v>
      </c>
      <c r="D246" s="32">
        <v>3319</v>
      </c>
      <c r="E246" s="32">
        <v>327</v>
      </c>
      <c r="F246" s="32">
        <v>2</v>
      </c>
      <c r="G246" s="31">
        <v>2</v>
      </c>
      <c r="H246" s="31">
        <v>81778</v>
      </c>
      <c r="I246" s="31" t="s">
        <v>17</v>
      </c>
      <c r="J246" s="31">
        <v>78770935</v>
      </c>
      <c r="K246" s="80" t="s">
        <v>1547</v>
      </c>
      <c r="L246" s="18" t="s">
        <v>1552</v>
      </c>
      <c r="M246" s="41">
        <v>319900</v>
      </c>
      <c r="N246" s="30">
        <v>0.9</v>
      </c>
      <c r="O246" s="33">
        <f t="shared" si="3"/>
        <v>31989.999999999993</v>
      </c>
      <c r="P246" s="28" t="s">
        <v>0</v>
      </c>
    </row>
    <row r="247" spans="1:16" x14ac:dyDescent="0.3">
      <c r="A247" s="32" t="s">
        <v>3213</v>
      </c>
      <c r="B247" s="40">
        <v>46093</v>
      </c>
      <c r="C247" s="40">
        <v>46098</v>
      </c>
      <c r="D247" s="32">
        <v>3319</v>
      </c>
      <c r="E247" s="32">
        <v>327</v>
      </c>
      <c r="F247" s="32">
        <v>2</v>
      </c>
      <c r="G247" s="31">
        <v>2</v>
      </c>
      <c r="H247" s="31">
        <v>81778</v>
      </c>
      <c r="I247" s="31" t="s">
        <v>17</v>
      </c>
      <c r="J247" s="31">
        <v>78770944</v>
      </c>
      <c r="K247" s="80" t="s">
        <v>1547</v>
      </c>
      <c r="L247" s="18" t="s">
        <v>1553</v>
      </c>
      <c r="M247" s="41">
        <v>319900</v>
      </c>
      <c r="N247" s="30">
        <v>0.9</v>
      </c>
      <c r="O247" s="33">
        <f t="shared" si="3"/>
        <v>31989.999999999993</v>
      </c>
      <c r="P247" s="28" t="s">
        <v>0</v>
      </c>
    </row>
    <row r="248" spans="1:16" x14ac:dyDescent="0.3">
      <c r="A248" s="32" t="s">
        <v>3213</v>
      </c>
      <c r="B248" s="40">
        <v>46093</v>
      </c>
      <c r="C248" s="40">
        <v>46098</v>
      </c>
      <c r="D248" s="32">
        <v>3319</v>
      </c>
      <c r="E248" s="32">
        <v>327</v>
      </c>
      <c r="F248" s="32">
        <v>2</v>
      </c>
      <c r="G248" s="31">
        <v>2</v>
      </c>
      <c r="H248" s="31">
        <v>81778</v>
      </c>
      <c r="I248" s="31" t="s">
        <v>17</v>
      </c>
      <c r="J248" s="31">
        <v>78770953</v>
      </c>
      <c r="K248" s="80" t="s">
        <v>1547</v>
      </c>
      <c r="L248" s="18" t="s">
        <v>1554</v>
      </c>
      <c r="M248" s="41">
        <v>319900</v>
      </c>
      <c r="N248" s="30">
        <v>0.9</v>
      </c>
      <c r="O248" s="33">
        <f t="shared" si="3"/>
        <v>31989.999999999993</v>
      </c>
      <c r="P248" s="28" t="s">
        <v>0</v>
      </c>
    </row>
    <row r="249" spans="1:16" x14ac:dyDescent="0.3">
      <c r="A249" s="32" t="s">
        <v>3213</v>
      </c>
      <c r="B249" s="40">
        <v>46093</v>
      </c>
      <c r="C249" s="40">
        <v>46098</v>
      </c>
      <c r="D249" s="32">
        <v>3319</v>
      </c>
      <c r="E249" s="32">
        <v>327</v>
      </c>
      <c r="F249" s="32">
        <v>2</v>
      </c>
      <c r="G249" s="31">
        <v>2</v>
      </c>
      <c r="H249" s="31">
        <v>81778</v>
      </c>
      <c r="I249" s="31" t="s">
        <v>17</v>
      </c>
      <c r="J249" s="31">
        <v>78770962</v>
      </c>
      <c r="K249" s="80" t="s">
        <v>1547</v>
      </c>
      <c r="L249" s="18" t="s">
        <v>1555</v>
      </c>
      <c r="M249" s="41">
        <v>319900</v>
      </c>
      <c r="N249" s="30">
        <v>0.9</v>
      </c>
      <c r="O249" s="33">
        <f t="shared" si="3"/>
        <v>31989.999999999993</v>
      </c>
      <c r="P249" s="28" t="s">
        <v>0</v>
      </c>
    </row>
    <row r="250" spans="1:16" x14ac:dyDescent="0.3">
      <c r="A250" s="32" t="s">
        <v>3213</v>
      </c>
      <c r="B250" s="40">
        <v>46093</v>
      </c>
      <c r="C250" s="40">
        <v>46098</v>
      </c>
      <c r="D250" s="32">
        <v>3319</v>
      </c>
      <c r="E250" s="32">
        <v>327</v>
      </c>
      <c r="F250" s="32">
        <v>2</v>
      </c>
      <c r="G250" s="31">
        <v>2</v>
      </c>
      <c r="H250" s="31">
        <v>81778</v>
      </c>
      <c r="I250" s="31" t="s">
        <v>17</v>
      </c>
      <c r="J250" s="31">
        <v>78770971</v>
      </c>
      <c r="K250" s="80" t="s">
        <v>1547</v>
      </c>
      <c r="L250" s="18" t="s">
        <v>1556</v>
      </c>
      <c r="M250" s="41">
        <v>319900</v>
      </c>
      <c r="N250" s="30">
        <v>0.9</v>
      </c>
      <c r="O250" s="33">
        <f t="shared" si="3"/>
        <v>31989.999999999993</v>
      </c>
      <c r="P250" s="28" t="s">
        <v>0</v>
      </c>
    </row>
    <row r="251" spans="1:16" x14ac:dyDescent="0.3">
      <c r="A251" s="32" t="s">
        <v>3213</v>
      </c>
      <c r="B251" s="40">
        <v>46093</v>
      </c>
      <c r="C251" s="40">
        <v>46098</v>
      </c>
      <c r="D251" s="32">
        <v>3319</v>
      </c>
      <c r="E251" s="32">
        <v>327</v>
      </c>
      <c r="F251" s="32">
        <v>2</v>
      </c>
      <c r="G251" s="31">
        <v>2</v>
      </c>
      <c r="H251" s="31">
        <v>81778</v>
      </c>
      <c r="I251" s="31" t="s">
        <v>17</v>
      </c>
      <c r="J251" s="31">
        <v>78770980</v>
      </c>
      <c r="K251" s="80" t="s">
        <v>1547</v>
      </c>
      <c r="L251" s="18" t="s">
        <v>1557</v>
      </c>
      <c r="M251" s="41">
        <v>319900</v>
      </c>
      <c r="N251" s="30">
        <v>0.9</v>
      </c>
      <c r="O251" s="33">
        <f t="shared" si="3"/>
        <v>31989.999999999993</v>
      </c>
      <c r="P251" s="28" t="s">
        <v>0</v>
      </c>
    </row>
    <row r="252" spans="1:16" x14ac:dyDescent="0.3">
      <c r="A252" s="32" t="s">
        <v>3213</v>
      </c>
      <c r="B252" s="40">
        <v>46093</v>
      </c>
      <c r="C252" s="40">
        <v>46098</v>
      </c>
      <c r="D252" s="32">
        <v>3319</v>
      </c>
      <c r="E252" s="32">
        <v>327</v>
      </c>
      <c r="F252" s="32">
        <v>2</v>
      </c>
      <c r="G252" s="31">
        <v>1</v>
      </c>
      <c r="H252" s="31">
        <v>80700</v>
      </c>
      <c r="I252" s="31" t="s">
        <v>17</v>
      </c>
      <c r="J252" s="31">
        <v>41136654</v>
      </c>
      <c r="K252" s="80" t="s">
        <v>1609</v>
      </c>
      <c r="L252" s="18" t="s">
        <v>1610</v>
      </c>
      <c r="M252" s="41">
        <v>159900</v>
      </c>
      <c r="N252" s="30">
        <v>0.9</v>
      </c>
      <c r="O252" s="33">
        <f t="shared" si="3"/>
        <v>15989.999999999996</v>
      </c>
      <c r="P252" s="16" t="s">
        <v>0</v>
      </c>
    </row>
    <row r="253" spans="1:16" x14ac:dyDescent="0.3">
      <c r="A253" s="32" t="s">
        <v>3213</v>
      </c>
      <c r="B253" s="40">
        <v>46093</v>
      </c>
      <c r="C253" s="40">
        <v>46098</v>
      </c>
      <c r="D253" s="32">
        <v>3319</v>
      </c>
      <c r="E253" s="32">
        <v>327</v>
      </c>
      <c r="F253" s="32">
        <v>2</v>
      </c>
      <c r="G253" s="31">
        <v>1</v>
      </c>
      <c r="H253" s="31">
        <v>80700</v>
      </c>
      <c r="I253" s="31" t="s">
        <v>17</v>
      </c>
      <c r="J253" s="31">
        <v>41136645</v>
      </c>
      <c r="K253" s="80" t="s">
        <v>1609</v>
      </c>
      <c r="L253" s="18" t="s">
        <v>1611</v>
      </c>
      <c r="M253" s="41">
        <v>159900</v>
      </c>
      <c r="N253" s="30">
        <v>0.9</v>
      </c>
      <c r="O253" s="33">
        <f t="shared" si="3"/>
        <v>15989.999999999996</v>
      </c>
      <c r="P253" s="16" t="s">
        <v>0</v>
      </c>
    </row>
    <row r="254" spans="1:16" x14ac:dyDescent="0.3">
      <c r="A254" s="32" t="s">
        <v>3213</v>
      </c>
      <c r="B254" s="40">
        <v>46093</v>
      </c>
      <c r="C254" s="40">
        <v>46098</v>
      </c>
      <c r="D254" s="32">
        <v>3319</v>
      </c>
      <c r="E254" s="32">
        <v>327</v>
      </c>
      <c r="F254" s="32">
        <v>2</v>
      </c>
      <c r="G254" s="31">
        <v>1</v>
      </c>
      <c r="H254" s="31">
        <v>80700</v>
      </c>
      <c r="I254" s="31" t="s">
        <v>17</v>
      </c>
      <c r="J254" s="31">
        <v>41136663</v>
      </c>
      <c r="K254" s="80" t="s">
        <v>1609</v>
      </c>
      <c r="L254" s="18" t="s">
        <v>1612</v>
      </c>
      <c r="M254" s="41">
        <v>159900</v>
      </c>
      <c r="N254" s="30">
        <v>0.9</v>
      </c>
      <c r="O254" s="33">
        <f t="shared" si="3"/>
        <v>15989.999999999996</v>
      </c>
      <c r="P254" s="16" t="s">
        <v>0</v>
      </c>
    </row>
    <row r="255" spans="1:16" x14ac:dyDescent="0.3">
      <c r="A255" s="32" t="s">
        <v>3213</v>
      </c>
      <c r="B255" s="40">
        <v>46093</v>
      </c>
      <c r="C255" s="40">
        <v>46098</v>
      </c>
      <c r="D255" s="32">
        <v>3319</v>
      </c>
      <c r="E255" s="32">
        <v>327</v>
      </c>
      <c r="F255" s="32">
        <v>2</v>
      </c>
      <c r="G255" s="31">
        <v>1</v>
      </c>
      <c r="H255" s="31">
        <v>80700</v>
      </c>
      <c r="I255" s="31" t="s">
        <v>17</v>
      </c>
      <c r="J255" s="31">
        <v>41136672</v>
      </c>
      <c r="K255" s="80" t="s">
        <v>1609</v>
      </c>
      <c r="L255" s="18" t="s">
        <v>1613</v>
      </c>
      <c r="M255" s="41">
        <v>159900</v>
      </c>
      <c r="N255" s="30">
        <v>0.9</v>
      </c>
      <c r="O255" s="33">
        <f t="shared" si="3"/>
        <v>15989.999999999996</v>
      </c>
      <c r="P255" s="16" t="s">
        <v>0</v>
      </c>
    </row>
    <row r="256" spans="1:16" x14ac:dyDescent="0.3">
      <c r="A256" s="32" t="s">
        <v>3213</v>
      </c>
      <c r="B256" s="40">
        <v>46093</v>
      </c>
      <c r="C256" s="40">
        <v>46098</v>
      </c>
      <c r="D256" s="27">
        <v>3319</v>
      </c>
      <c r="E256" s="32">
        <v>327</v>
      </c>
      <c r="F256" s="27">
        <v>2</v>
      </c>
      <c r="G256" s="28">
        <v>2</v>
      </c>
      <c r="H256" s="28">
        <v>81778</v>
      </c>
      <c r="I256" s="28" t="s">
        <v>17</v>
      </c>
      <c r="J256" s="28">
        <v>12072689</v>
      </c>
      <c r="K256" s="38" t="s">
        <v>1998</v>
      </c>
      <c r="L256" t="s">
        <v>1999</v>
      </c>
      <c r="M256" s="39">
        <v>259900</v>
      </c>
      <c r="N256" s="30">
        <v>0.9</v>
      </c>
      <c r="O256" s="33">
        <f t="shared" si="3"/>
        <v>25989.999999999993</v>
      </c>
      <c r="P256" s="28" t="s">
        <v>0</v>
      </c>
    </row>
    <row r="257" spans="1:16" x14ac:dyDescent="0.3">
      <c r="A257" s="32" t="s">
        <v>3213</v>
      </c>
      <c r="B257" s="40">
        <v>46093</v>
      </c>
      <c r="C257" s="40">
        <v>46098</v>
      </c>
      <c r="D257" s="27">
        <v>3319</v>
      </c>
      <c r="E257" s="32">
        <v>327</v>
      </c>
      <c r="F257" s="27">
        <v>2</v>
      </c>
      <c r="G257" s="28">
        <v>2</v>
      </c>
      <c r="H257" s="28">
        <v>81778</v>
      </c>
      <c r="I257" s="28" t="s">
        <v>17</v>
      </c>
      <c r="J257" s="28">
        <v>12072732</v>
      </c>
      <c r="K257" s="38" t="s">
        <v>1998</v>
      </c>
      <c r="L257" t="s">
        <v>2000</v>
      </c>
      <c r="M257" s="39">
        <v>259900</v>
      </c>
      <c r="N257" s="30">
        <v>0.9</v>
      </c>
      <c r="O257" s="33">
        <f t="shared" si="3"/>
        <v>25989.999999999993</v>
      </c>
      <c r="P257" s="28" t="s">
        <v>0</v>
      </c>
    </row>
    <row r="258" spans="1:16" x14ac:dyDescent="0.3">
      <c r="A258" s="32" t="s">
        <v>3213</v>
      </c>
      <c r="B258" s="40">
        <v>46093</v>
      </c>
      <c r="C258" s="40">
        <v>46098</v>
      </c>
      <c r="D258" s="27">
        <v>3319</v>
      </c>
      <c r="E258" s="32">
        <v>327</v>
      </c>
      <c r="F258" s="27">
        <v>2</v>
      </c>
      <c r="G258" s="28">
        <v>2</v>
      </c>
      <c r="H258" s="28">
        <v>81778</v>
      </c>
      <c r="I258" s="28" t="s">
        <v>17</v>
      </c>
      <c r="J258" s="28">
        <v>12072741</v>
      </c>
      <c r="K258" s="38" t="s">
        <v>1998</v>
      </c>
      <c r="L258" t="s">
        <v>2001</v>
      </c>
      <c r="M258" s="39">
        <v>259900</v>
      </c>
      <c r="N258" s="30">
        <v>0.9</v>
      </c>
      <c r="O258" s="33">
        <f t="shared" ref="O258:O275" si="4">M258*(1-N258)</f>
        <v>25989.999999999993</v>
      </c>
      <c r="P258" s="28" t="s">
        <v>0</v>
      </c>
    </row>
    <row r="259" spans="1:16" x14ac:dyDescent="0.3">
      <c r="A259" s="32" t="s">
        <v>3213</v>
      </c>
      <c r="B259" s="40">
        <v>46093</v>
      </c>
      <c r="C259" s="40">
        <v>46098</v>
      </c>
      <c r="D259" s="27">
        <v>3319</v>
      </c>
      <c r="E259" s="32">
        <v>327</v>
      </c>
      <c r="F259" s="27">
        <v>2</v>
      </c>
      <c r="G259" s="28">
        <v>2</v>
      </c>
      <c r="H259" s="28">
        <v>81778</v>
      </c>
      <c r="I259" s="28" t="s">
        <v>17</v>
      </c>
      <c r="J259" s="28">
        <v>12072750</v>
      </c>
      <c r="K259" s="38" t="s">
        <v>1998</v>
      </c>
      <c r="L259" t="s">
        <v>2002</v>
      </c>
      <c r="M259" s="39">
        <v>259900</v>
      </c>
      <c r="N259" s="30">
        <v>0.9</v>
      </c>
      <c r="O259" s="33">
        <f t="shared" si="4"/>
        <v>25989.999999999993</v>
      </c>
      <c r="P259" s="28" t="s">
        <v>0</v>
      </c>
    </row>
    <row r="260" spans="1:16" x14ac:dyDescent="0.3">
      <c r="A260" s="32" t="s">
        <v>3213</v>
      </c>
      <c r="B260" s="40">
        <v>46093</v>
      </c>
      <c r="C260" s="40">
        <v>46098</v>
      </c>
      <c r="D260" s="27">
        <v>3319</v>
      </c>
      <c r="E260" s="32">
        <v>327</v>
      </c>
      <c r="F260" s="27">
        <v>2</v>
      </c>
      <c r="G260" s="28">
        <v>2</v>
      </c>
      <c r="H260" s="28">
        <v>81778</v>
      </c>
      <c r="I260" s="28" t="s">
        <v>17</v>
      </c>
      <c r="J260" s="28">
        <v>12072769</v>
      </c>
      <c r="K260" s="38" t="s">
        <v>1998</v>
      </c>
      <c r="L260" t="s">
        <v>2003</v>
      </c>
      <c r="M260" s="39">
        <v>259900</v>
      </c>
      <c r="N260" s="30">
        <v>0.9</v>
      </c>
      <c r="O260" s="33">
        <f t="shared" si="4"/>
        <v>25989.999999999993</v>
      </c>
      <c r="P260" s="28" t="s">
        <v>0</v>
      </c>
    </row>
    <row r="261" spans="1:16" x14ac:dyDescent="0.3">
      <c r="A261" s="32" t="s">
        <v>3213</v>
      </c>
      <c r="B261" s="40">
        <v>46093</v>
      </c>
      <c r="C261" s="40">
        <v>46098</v>
      </c>
      <c r="D261" s="27">
        <v>3319</v>
      </c>
      <c r="E261" s="32">
        <v>327</v>
      </c>
      <c r="F261" s="27">
        <v>2</v>
      </c>
      <c r="G261" s="28">
        <v>2</v>
      </c>
      <c r="H261" s="28">
        <v>81778</v>
      </c>
      <c r="I261" s="28" t="s">
        <v>17</v>
      </c>
      <c r="J261" s="28">
        <v>12072778</v>
      </c>
      <c r="K261" s="38" t="s">
        <v>1998</v>
      </c>
      <c r="L261" t="s">
        <v>2004</v>
      </c>
      <c r="M261" s="39">
        <v>259900</v>
      </c>
      <c r="N261" s="30">
        <v>0.9</v>
      </c>
      <c r="O261" s="33">
        <f t="shared" si="4"/>
        <v>25989.999999999993</v>
      </c>
      <c r="P261" s="28" t="s">
        <v>0</v>
      </c>
    </row>
    <row r="262" spans="1:16" x14ac:dyDescent="0.3">
      <c r="A262" s="32" t="s">
        <v>3213</v>
      </c>
      <c r="B262" s="40">
        <v>46093</v>
      </c>
      <c r="C262" s="40">
        <v>46098</v>
      </c>
      <c r="D262" s="27">
        <v>3319</v>
      </c>
      <c r="E262" s="32">
        <v>327</v>
      </c>
      <c r="F262" s="27">
        <v>2</v>
      </c>
      <c r="G262" s="28">
        <v>2</v>
      </c>
      <c r="H262" s="28">
        <v>81778</v>
      </c>
      <c r="I262" s="28" t="s">
        <v>17</v>
      </c>
      <c r="J262" s="28">
        <v>12072698</v>
      </c>
      <c r="K262" s="38" t="s">
        <v>1998</v>
      </c>
      <c r="L262" t="s">
        <v>2005</v>
      </c>
      <c r="M262" s="39">
        <v>259900</v>
      </c>
      <c r="N262" s="30">
        <v>0.9</v>
      </c>
      <c r="O262" s="33">
        <f t="shared" si="4"/>
        <v>25989.999999999993</v>
      </c>
      <c r="P262" s="28" t="s">
        <v>0</v>
      </c>
    </row>
    <row r="263" spans="1:16" x14ac:dyDescent="0.3">
      <c r="A263" s="32" t="s">
        <v>3213</v>
      </c>
      <c r="B263" s="40">
        <v>46093</v>
      </c>
      <c r="C263" s="40">
        <v>46098</v>
      </c>
      <c r="D263" s="27">
        <v>3319</v>
      </c>
      <c r="E263" s="32">
        <v>327</v>
      </c>
      <c r="F263" s="27">
        <v>2</v>
      </c>
      <c r="G263" s="28">
        <v>2</v>
      </c>
      <c r="H263" s="28">
        <v>81778</v>
      </c>
      <c r="I263" s="28" t="s">
        <v>17</v>
      </c>
      <c r="J263" s="28">
        <v>12072705</v>
      </c>
      <c r="K263" s="38" t="s">
        <v>1998</v>
      </c>
      <c r="L263" t="s">
        <v>2006</v>
      </c>
      <c r="M263" s="39">
        <v>259900</v>
      </c>
      <c r="N263" s="30">
        <v>0.9</v>
      </c>
      <c r="O263" s="33">
        <f t="shared" si="4"/>
        <v>25989.999999999993</v>
      </c>
      <c r="P263" s="28" t="s">
        <v>0</v>
      </c>
    </row>
    <row r="264" spans="1:16" x14ac:dyDescent="0.3">
      <c r="A264" s="32" t="s">
        <v>3213</v>
      </c>
      <c r="B264" s="40">
        <v>46093</v>
      </c>
      <c r="C264" s="40">
        <v>46098</v>
      </c>
      <c r="D264" s="27">
        <v>3319</v>
      </c>
      <c r="E264" s="32">
        <v>327</v>
      </c>
      <c r="F264" s="27">
        <v>2</v>
      </c>
      <c r="G264" s="28">
        <v>2</v>
      </c>
      <c r="H264" s="28">
        <v>81778</v>
      </c>
      <c r="I264" s="28" t="s">
        <v>17</v>
      </c>
      <c r="J264" s="28">
        <v>12072714</v>
      </c>
      <c r="K264" s="38" t="s">
        <v>1998</v>
      </c>
      <c r="L264" t="s">
        <v>2007</v>
      </c>
      <c r="M264" s="39">
        <v>259900</v>
      </c>
      <c r="N264" s="30">
        <v>0.9</v>
      </c>
      <c r="O264" s="33">
        <f t="shared" si="4"/>
        <v>25989.999999999993</v>
      </c>
      <c r="P264" s="28" t="s">
        <v>0</v>
      </c>
    </row>
    <row r="265" spans="1:16" x14ac:dyDescent="0.3">
      <c r="A265" s="32" t="s">
        <v>3213</v>
      </c>
      <c r="B265" s="40">
        <v>46093</v>
      </c>
      <c r="C265" s="40">
        <v>46098</v>
      </c>
      <c r="D265" s="27">
        <v>3319</v>
      </c>
      <c r="E265" s="32">
        <v>327</v>
      </c>
      <c r="F265" s="27">
        <v>2</v>
      </c>
      <c r="G265" s="28">
        <v>2</v>
      </c>
      <c r="H265" s="28">
        <v>81778</v>
      </c>
      <c r="I265" s="28" t="s">
        <v>17</v>
      </c>
      <c r="J265" s="28">
        <v>12072723</v>
      </c>
      <c r="K265" s="38" t="s">
        <v>1998</v>
      </c>
      <c r="L265" t="s">
        <v>2008</v>
      </c>
      <c r="M265" s="39">
        <v>259900</v>
      </c>
      <c r="N265" s="30">
        <v>0.9</v>
      </c>
      <c r="O265" s="33">
        <f t="shared" si="4"/>
        <v>25989.999999999993</v>
      </c>
      <c r="P265" s="28" t="s">
        <v>0</v>
      </c>
    </row>
    <row r="266" spans="1:16" x14ac:dyDescent="0.3">
      <c r="A266" s="32" t="s">
        <v>3213</v>
      </c>
      <c r="B266" s="40">
        <v>46093</v>
      </c>
      <c r="C266" s="40">
        <v>46098</v>
      </c>
      <c r="D266" s="27">
        <v>3319</v>
      </c>
      <c r="E266" s="32">
        <v>327</v>
      </c>
      <c r="F266" s="27">
        <v>2</v>
      </c>
      <c r="G266" s="28">
        <v>1</v>
      </c>
      <c r="H266" s="28">
        <v>81433</v>
      </c>
      <c r="I266" s="28" t="s">
        <v>17</v>
      </c>
      <c r="J266" s="28">
        <v>15909850</v>
      </c>
      <c r="K266" s="38" t="s">
        <v>1954</v>
      </c>
      <c r="L266" t="s">
        <v>1955</v>
      </c>
      <c r="M266" s="39">
        <v>259900</v>
      </c>
      <c r="N266" s="30">
        <v>0.9</v>
      </c>
      <c r="O266" s="33">
        <f t="shared" si="4"/>
        <v>25989.999999999993</v>
      </c>
      <c r="P266" s="28" t="s">
        <v>0</v>
      </c>
    </row>
    <row r="267" spans="1:16" x14ac:dyDescent="0.3">
      <c r="A267" s="32" t="s">
        <v>3213</v>
      </c>
      <c r="B267" s="40">
        <v>46093</v>
      </c>
      <c r="C267" s="40">
        <v>46098</v>
      </c>
      <c r="D267" s="27">
        <v>3319</v>
      </c>
      <c r="E267" s="32">
        <v>327</v>
      </c>
      <c r="F267" s="27">
        <v>2</v>
      </c>
      <c r="G267" s="28">
        <v>1</v>
      </c>
      <c r="H267" s="28">
        <v>81433</v>
      </c>
      <c r="I267" s="28" t="s">
        <v>17</v>
      </c>
      <c r="J267" s="28">
        <v>15909869</v>
      </c>
      <c r="K267" s="38" t="s">
        <v>1954</v>
      </c>
      <c r="L267" t="s">
        <v>1956</v>
      </c>
      <c r="M267" s="39">
        <v>259900</v>
      </c>
      <c r="N267" s="30">
        <v>0.9</v>
      </c>
      <c r="O267" s="33">
        <f t="shared" si="4"/>
        <v>25989.999999999993</v>
      </c>
      <c r="P267" s="28" t="s">
        <v>0</v>
      </c>
    </row>
    <row r="268" spans="1:16" x14ac:dyDescent="0.3">
      <c r="A268" s="32" t="s">
        <v>3213</v>
      </c>
      <c r="B268" s="40">
        <v>46093</v>
      </c>
      <c r="C268" s="40">
        <v>46098</v>
      </c>
      <c r="D268" s="27">
        <v>3319</v>
      </c>
      <c r="E268" s="32">
        <v>327</v>
      </c>
      <c r="F268" s="27">
        <v>2</v>
      </c>
      <c r="G268" s="28">
        <v>1</v>
      </c>
      <c r="H268" s="28">
        <v>81433</v>
      </c>
      <c r="I268" s="28" t="s">
        <v>17</v>
      </c>
      <c r="J268" s="28">
        <v>15909878</v>
      </c>
      <c r="K268" s="38" t="s">
        <v>1954</v>
      </c>
      <c r="L268" t="s">
        <v>1957</v>
      </c>
      <c r="M268" s="39">
        <v>259900</v>
      </c>
      <c r="N268" s="30">
        <v>0.9</v>
      </c>
      <c r="O268" s="33">
        <f t="shared" si="4"/>
        <v>25989.999999999993</v>
      </c>
      <c r="P268" s="28" t="s">
        <v>0</v>
      </c>
    </row>
    <row r="269" spans="1:16" x14ac:dyDescent="0.3">
      <c r="A269" s="32" t="s">
        <v>3213</v>
      </c>
      <c r="B269" s="40">
        <v>46093</v>
      </c>
      <c r="C269" s="40">
        <v>46098</v>
      </c>
      <c r="D269" s="27">
        <v>3319</v>
      </c>
      <c r="E269" s="32">
        <v>327</v>
      </c>
      <c r="F269" s="27">
        <v>2</v>
      </c>
      <c r="G269" s="28">
        <v>1</v>
      </c>
      <c r="H269" s="28">
        <v>81433</v>
      </c>
      <c r="I269" s="28" t="s">
        <v>17</v>
      </c>
      <c r="J269" s="28">
        <v>15909887</v>
      </c>
      <c r="K269" s="38" t="s">
        <v>1954</v>
      </c>
      <c r="L269" t="s">
        <v>1958</v>
      </c>
      <c r="M269" s="39">
        <v>259900</v>
      </c>
      <c r="N269" s="30">
        <v>0.9</v>
      </c>
      <c r="O269" s="33">
        <f t="shared" si="4"/>
        <v>25989.999999999993</v>
      </c>
      <c r="P269" s="28" t="s">
        <v>0</v>
      </c>
    </row>
    <row r="270" spans="1:16" x14ac:dyDescent="0.3">
      <c r="A270" s="32" t="s">
        <v>3213</v>
      </c>
      <c r="B270" s="40">
        <v>46093</v>
      </c>
      <c r="C270" s="40">
        <v>46098</v>
      </c>
      <c r="D270" s="27">
        <v>3319</v>
      </c>
      <c r="E270" s="32">
        <v>327</v>
      </c>
      <c r="F270" s="27">
        <v>2</v>
      </c>
      <c r="G270" s="28">
        <v>1</v>
      </c>
      <c r="H270" s="28">
        <v>81433</v>
      </c>
      <c r="I270" s="28" t="s">
        <v>17</v>
      </c>
      <c r="J270" s="28">
        <v>15909896</v>
      </c>
      <c r="K270" s="38" t="s">
        <v>1954</v>
      </c>
      <c r="L270" t="s">
        <v>1959</v>
      </c>
      <c r="M270" s="39">
        <v>259900</v>
      </c>
      <c r="N270" s="30">
        <v>0.9</v>
      </c>
      <c r="O270" s="33">
        <f t="shared" si="4"/>
        <v>25989.999999999993</v>
      </c>
      <c r="P270" s="28" t="s">
        <v>0</v>
      </c>
    </row>
    <row r="271" spans="1:16" x14ac:dyDescent="0.3">
      <c r="A271" s="32" t="s">
        <v>3213</v>
      </c>
      <c r="B271" s="40">
        <v>46093</v>
      </c>
      <c r="C271" s="40">
        <v>46098</v>
      </c>
      <c r="D271" s="27">
        <v>3319</v>
      </c>
      <c r="E271" s="32">
        <v>327</v>
      </c>
      <c r="F271" s="27">
        <v>2</v>
      </c>
      <c r="G271" s="28">
        <v>1</v>
      </c>
      <c r="H271" s="28">
        <v>81433</v>
      </c>
      <c r="I271" s="28" t="s">
        <v>17</v>
      </c>
      <c r="J271" s="28">
        <v>15909903</v>
      </c>
      <c r="K271" s="38" t="s">
        <v>1954</v>
      </c>
      <c r="L271" t="s">
        <v>1960</v>
      </c>
      <c r="M271" s="39">
        <v>259900</v>
      </c>
      <c r="N271" s="30">
        <v>0.9</v>
      </c>
      <c r="O271" s="33">
        <f t="shared" si="4"/>
        <v>25989.999999999993</v>
      </c>
      <c r="P271" s="28" t="s">
        <v>0</v>
      </c>
    </row>
    <row r="272" spans="1:16" x14ac:dyDescent="0.3">
      <c r="A272" s="32" t="s">
        <v>3213</v>
      </c>
      <c r="B272" s="40">
        <v>46093</v>
      </c>
      <c r="C272" s="40">
        <v>46098</v>
      </c>
      <c r="D272" s="27">
        <v>3319</v>
      </c>
      <c r="E272" s="32">
        <v>327</v>
      </c>
      <c r="F272" s="27">
        <v>2</v>
      </c>
      <c r="G272" s="28">
        <v>1</v>
      </c>
      <c r="H272" s="28">
        <v>81433</v>
      </c>
      <c r="I272" s="28" t="s">
        <v>17</v>
      </c>
      <c r="J272" s="28">
        <v>15909912</v>
      </c>
      <c r="K272" s="38" t="s">
        <v>1954</v>
      </c>
      <c r="L272" t="s">
        <v>1961</v>
      </c>
      <c r="M272" s="39">
        <v>259900</v>
      </c>
      <c r="N272" s="30">
        <v>0.9</v>
      </c>
      <c r="O272" s="33">
        <f t="shared" si="4"/>
        <v>25989.999999999993</v>
      </c>
      <c r="P272" s="28" t="s">
        <v>0</v>
      </c>
    </row>
    <row r="273" spans="1:16" x14ac:dyDescent="0.3">
      <c r="A273" s="32" t="s">
        <v>3213</v>
      </c>
      <c r="B273" s="40">
        <v>46093</v>
      </c>
      <c r="C273" s="40">
        <v>46098</v>
      </c>
      <c r="D273" s="27">
        <v>3319</v>
      </c>
      <c r="E273" s="32">
        <v>327</v>
      </c>
      <c r="F273" s="27">
        <v>2</v>
      </c>
      <c r="G273" s="28">
        <v>1</v>
      </c>
      <c r="H273" s="28">
        <v>81433</v>
      </c>
      <c r="I273" s="28" t="s">
        <v>17</v>
      </c>
      <c r="J273" s="28">
        <v>15909921</v>
      </c>
      <c r="K273" s="38" t="s">
        <v>1954</v>
      </c>
      <c r="L273" t="s">
        <v>1962</v>
      </c>
      <c r="M273" s="39">
        <v>259900</v>
      </c>
      <c r="N273" s="30">
        <v>0.9</v>
      </c>
      <c r="O273" s="33">
        <f t="shared" si="4"/>
        <v>25989.999999999993</v>
      </c>
      <c r="P273" s="28" t="s">
        <v>0</v>
      </c>
    </row>
    <row r="274" spans="1:16" x14ac:dyDescent="0.3">
      <c r="A274" s="32" t="s">
        <v>3213</v>
      </c>
      <c r="B274" s="40">
        <v>46093</v>
      </c>
      <c r="C274" s="40">
        <v>46098</v>
      </c>
      <c r="D274" s="27">
        <v>3319</v>
      </c>
      <c r="E274" s="32">
        <v>327</v>
      </c>
      <c r="F274" s="27">
        <v>2</v>
      </c>
      <c r="G274" s="28">
        <v>1</v>
      </c>
      <c r="H274" s="28">
        <v>81433</v>
      </c>
      <c r="I274" s="28" t="s">
        <v>17</v>
      </c>
      <c r="J274" s="28">
        <v>15909930</v>
      </c>
      <c r="K274" s="38" t="s">
        <v>1954</v>
      </c>
      <c r="L274" t="s">
        <v>1963</v>
      </c>
      <c r="M274" s="39">
        <v>259900</v>
      </c>
      <c r="N274" s="30">
        <v>0.9</v>
      </c>
      <c r="O274" s="33">
        <f t="shared" si="4"/>
        <v>25989.999999999993</v>
      </c>
      <c r="P274" s="28" t="s">
        <v>0</v>
      </c>
    </row>
    <row r="275" spans="1:16" x14ac:dyDescent="0.3">
      <c r="A275" s="32" t="s">
        <v>3213</v>
      </c>
      <c r="B275" s="40">
        <v>46093</v>
      </c>
      <c r="C275" s="40">
        <v>46098</v>
      </c>
      <c r="D275" s="27">
        <v>3319</v>
      </c>
      <c r="E275" s="32">
        <v>327</v>
      </c>
      <c r="F275" s="27">
        <v>2</v>
      </c>
      <c r="G275" s="28">
        <v>1</v>
      </c>
      <c r="H275" s="28">
        <v>81433</v>
      </c>
      <c r="I275" s="28" t="s">
        <v>17</v>
      </c>
      <c r="J275" s="28">
        <v>15909949</v>
      </c>
      <c r="K275" s="38" t="s">
        <v>1954</v>
      </c>
      <c r="L275" t="s">
        <v>1964</v>
      </c>
      <c r="M275" s="39">
        <v>259900</v>
      </c>
      <c r="N275" s="30">
        <v>0.9</v>
      </c>
      <c r="O275" s="33">
        <f t="shared" si="4"/>
        <v>25989.999999999993</v>
      </c>
      <c r="P275" s="28" t="s">
        <v>0</v>
      </c>
    </row>
    <row r="276" spans="1:16" customFormat="1" x14ac:dyDescent="0.3">
      <c r="A276" s="32" t="s">
        <v>3213</v>
      </c>
      <c r="B276" s="26">
        <v>46093</v>
      </c>
      <c r="C276" s="26">
        <v>46098</v>
      </c>
      <c r="D276" s="27">
        <v>3319</v>
      </c>
      <c r="E276" s="25">
        <v>327</v>
      </c>
      <c r="F276" s="25">
        <v>2</v>
      </c>
      <c r="G276" s="28">
        <v>1</v>
      </c>
      <c r="H276" s="28">
        <v>80700</v>
      </c>
      <c r="I276" s="28" t="s">
        <v>17</v>
      </c>
      <c r="J276" s="28">
        <v>82228488</v>
      </c>
      <c r="K276" s="38" t="s">
        <v>2220</v>
      </c>
      <c r="L276" t="s">
        <v>2221</v>
      </c>
      <c r="M276" s="39">
        <v>199900</v>
      </c>
      <c r="N276" s="30">
        <v>0.9</v>
      </c>
      <c r="O276" s="33">
        <f t="shared" ref="O276:O339" si="5">M276*(1-N276)</f>
        <v>19989.999999999996</v>
      </c>
      <c r="P276" s="28" t="s">
        <v>0</v>
      </c>
    </row>
    <row r="277" spans="1:16" customFormat="1" x14ac:dyDescent="0.3">
      <c r="A277" s="32" t="s">
        <v>3213</v>
      </c>
      <c r="B277" s="26">
        <v>46093</v>
      </c>
      <c r="C277" s="26">
        <v>46098</v>
      </c>
      <c r="D277" s="27">
        <v>3319</v>
      </c>
      <c r="E277" s="25">
        <v>327</v>
      </c>
      <c r="F277" s="25">
        <v>2</v>
      </c>
      <c r="G277" s="28">
        <v>1</v>
      </c>
      <c r="H277" s="28">
        <v>80700</v>
      </c>
      <c r="I277" s="28" t="s">
        <v>17</v>
      </c>
      <c r="J277" s="28">
        <v>82228497</v>
      </c>
      <c r="K277" s="38" t="s">
        <v>2220</v>
      </c>
      <c r="L277" t="s">
        <v>2222</v>
      </c>
      <c r="M277" s="39">
        <v>199900</v>
      </c>
      <c r="N277" s="30">
        <v>0.9</v>
      </c>
      <c r="O277" s="33">
        <f t="shared" si="5"/>
        <v>19989.999999999996</v>
      </c>
      <c r="P277" s="28" t="s">
        <v>0</v>
      </c>
    </row>
    <row r="278" spans="1:16" customFormat="1" x14ac:dyDescent="0.3">
      <c r="A278" s="32" t="s">
        <v>3213</v>
      </c>
      <c r="B278" s="26">
        <v>46093</v>
      </c>
      <c r="C278" s="26">
        <v>46098</v>
      </c>
      <c r="D278" s="27">
        <v>3319</v>
      </c>
      <c r="E278" s="25">
        <v>327</v>
      </c>
      <c r="F278" s="25">
        <v>2</v>
      </c>
      <c r="G278" s="28">
        <v>1</v>
      </c>
      <c r="H278" s="28">
        <v>80700</v>
      </c>
      <c r="I278" s="28" t="s">
        <v>17</v>
      </c>
      <c r="J278" s="28">
        <v>82228504</v>
      </c>
      <c r="K278" s="38" t="s">
        <v>2220</v>
      </c>
      <c r="L278" t="s">
        <v>2223</v>
      </c>
      <c r="M278" s="39">
        <v>199900</v>
      </c>
      <c r="N278" s="30">
        <v>0.9</v>
      </c>
      <c r="O278" s="33">
        <f t="shared" si="5"/>
        <v>19989.999999999996</v>
      </c>
      <c r="P278" s="28" t="s">
        <v>0</v>
      </c>
    </row>
    <row r="279" spans="1:16" customFormat="1" x14ac:dyDescent="0.3">
      <c r="A279" s="32" t="s">
        <v>3213</v>
      </c>
      <c r="B279" s="26">
        <v>46093</v>
      </c>
      <c r="C279" s="26">
        <v>46098</v>
      </c>
      <c r="D279" s="27">
        <v>3319</v>
      </c>
      <c r="E279" s="25">
        <v>327</v>
      </c>
      <c r="F279" s="25">
        <v>2</v>
      </c>
      <c r="G279" s="28">
        <v>1</v>
      </c>
      <c r="H279" s="28">
        <v>80700</v>
      </c>
      <c r="I279" s="28" t="s">
        <v>17</v>
      </c>
      <c r="J279" s="28">
        <v>82228513</v>
      </c>
      <c r="K279" s="38" t="s">
        <v>2220</v>
      </c>
      <c r="L279" t="s">
        <v>2224</v>
      </c>
      <c r="M279" s="39">
        <v>199900</v>
      </c>
      <c r="N279" s="30">
        <v>0.9</v>
      </c>
      <c r="O279" s="33">
        <f t="shared" si="5"/>
        <v>19989.999999999996</v>
      </c>
      <c r="P279" s="28" t="s">
        <v>0</v>
      </c>
    </row>
    <row r="280" spans="1:16" customFormat="1" x14ac:dyDescent="0.3">
      <c r="A280" s="32" t="s">
        <v>3213</v>
      </c>
      <c r="B280" s="26">
        <v>46093</v>
      </c>
      <c r="C280" s="26">
        <v>46098</v>
      </c>
      <c r="D280" s="27">
        <v>3319</v>
      </c>
      <c r="E280" s="25">
        <v>327</v>
      </c>
      <c r="F280" s="25">
        <v>2</v>
      </c>
      <c r="G280" s="28">
        <v>1</v>
      </c>
      <c r="H280" s="28">
        <v>80700</v>
      </c>
      <c r="I280" s="28" t="s">
        <v>17</v>
      </c>
      <c r="J280" s="28">
        <v>82228522</v>
      </c>
      <c r="K280" s="38" t="s">
        <v>2220</v>
      </c>
      <c r="L280" t="s">
        <v>2225</v>
      </c>
      <c r="M280" s="39">
        <v>199900</v>
      </c>
      <c r="N280" s="30">
        <v>0.9</v>
      </c>
      <c r="O280" s="33">
        <f t="shared" si="5"/>
        <v>19989.999999999996</v>
      </c>
      <c r="P280" s="28" t="s">
        <v>0</v>
      </c>
    </row>
    <row r="281" spans="1:16" customFormat="1" x14ac:dyDescent="0.3">
      <c r="A281" s="32" t="s">
        <v>3213</v>
      </c>
      <c r="B281" s="26">
        <v>46093</v>
      </c>
      <c r="C281" s="26">
        <v>46098</v>
      </c>
      <c r="D281" s="27">
        <v>3319</v>
      </c>
      <c r="E281" s="25">
        <v>327</v>
      </c>
      <c r="F281" s="25">
        <v>2</v>
      </c>
      <c r="G281" s="28">
        <v>1</v>
      </c>
      <c r="H281" s="28">
        <v>80700</v>
      </c>
      <c r="I281" s="28" t="s">
        <v>17</v>
      </c>
      <c r="J281" s="28">
        <v>82228531</v>
      </c>
      <c r="K281" s="38" t="s">
        <v>2220</v>
      </c>
      <c r="L281" t="s">
        <v>2226</v>
      </c>
      <c r="M281" s="39">
        <v>199900</v>
      </c>
      <c r="N281" s="30">
        <v>0.9</v>
      </c>
      <c r="O281" s="33">
        <f t="shared" si="5"/>
        <v>19989.999999999996</v>
      </c>
      <c r="P281" s="28" t="s">
        <v>0</v>
      </c>
    </row>
    <row r="282" spans="1:16" customFormat="1" x14ac:dyDescent="0.3">
      <c r="A282" s="32" t="s">
        <v>3213</v>
      </c>
      <c r="B282" s="26">
        <v>46093</v>
      </c>
      <c r="C282" s="26">
        <v>46098</v>
      </c>
      <c r="D282" s="27">
        <v>3319</v>
      </c>
      <c r="E282" s="25">
        <v>327</v>
      </c>
      <c r="F282" s="25">
        <v>2</v>
      </c>
      <c r="G282" s="28">
        <v>1</v>
      </c>
      <c r="H282" s="28">
        <v>80700</v>
      </c>
      <c r="I282" s="28" t="s">
        <v>17</v>
      </c>
      <c r="J282" s="28">
        <v>82228540</v>
      </c>
      <c r="K282" s="38" t="s">
        <v>2220</v>
      </c>
      <c r="L282" t="s">
        <v>2227</v>
      </c>
      <c r="M282" s="39">
        <v>199900</v>
      </c>
      <c r="N282" s="30">
        <v>0.9</v>
      </c>
      <c r="O282" s="33">
        <f t="shared" si="5"/>
        <v>19989.999999999996</v>
      </c>
      <c r="P282" s="28" t="s">
        <v>0</v>
      </c>
    </row>
    <row r="283" spans="1:16" customFormat="1" x14ac:dyDescent="0.3">
      <c r="A283" s="32" t="s">
        <v>3213</v>
      </c>
      <c r="B283" s="26">
        <v>46093</v>
      </c>
      <c r="C283" s="26">
        <v>46098</v>
      </c>
      <c r="D283" s="27">
        <v>3319</v>
      </c>
      <c r="E283" s="25">
        <v>327</v>
      </c>
      <c r="F283" s="25">
        <v>2</v>
      </c>
      <c r="G283" s="28">
        <v>1</v>
      </c>
      <c r="H283" s="28">
        <v>80700</v>
      </c>
      <c r="I283" s="28" t="s">
        <v>17</v>
      </c>
      <c r="J283" s="28">
        <v>82228559</v>
      </c>
      <c r="K283" s="38" t="s">
        <v>2220</v>
      </c>
      <c r="L283" t="s">
        <v>2228</v>
      </c>
      <c r="M283" s="39">
        <v>199900</v>
      </c>
      <c r="N283" s="30">
        <v>0.9</v>
      </c>
      <c r="O283" s="33">
        <f t="shared" si="5"/>
        <v>19989.999999999996</v>
      </c>
      <c r="P283" s="28" t="s">
        <v>0</v>
      </c>
    </row>
    <row r="284" spans="1:16" customFormat="1" x14ac:dyDescent="0.3">
      <c r="A284" s="32" t="s">
        <v>3213</v>
      </c>
      <c r="B284" s="26">
        <v>46093</v>
      </c>
      <c r="C284" s="26">
        <v>46098</v>
      </c>
      <c r="D284" s="27">
        <v>3319</v>
      </c>
      <c r="E284" s="25">
        <v>327</v>
      </c>
      <c r="F284" s="25">
        <v>2</v>
      </c>
      <c r="G284" s="28">
        <v>1</v>
      </c>
      <c r="H284" s="28">
        <v>80700</v>
      </c>
      <c r="I284" s="28" t="s">
        <v>17</v>
      </c>
      <c r="J284" s="28">
        <v>82228568</v>
      </c>
      <c r="K284" s="38" t="s">
        <v>2220</v>
      </c>
      <c r="L284" t="s">
        <v>2229</v>
      </c>
      <c r="M284" s="39">
        <v>199900</v>
      </c>
      <c r="N284" s="30">
        <v>0.9</v>
      </c>
      <c r="O284" s="33">
        <f t="shared" si="5"/>
        <v>19989.999999999996</v>
      </c>
      <c r="P284" s="28" t="s">
        <v>0</v>
      </c>
    </row>
    <row r="285" spans="1:16" customFormat="1" x14ac:dyDescent="0.3">
      <c r="A285" s="32" t="s">
        <v>3213</v>
      </c>
      <c r="B285" s="26">
        <v>46093</v>
      </c>
      <c r="C285" s="26">
        <v>46098</v>
      </c>
      <c r="D285" s="27">
        <v>3319</v>
      </c>
      <c r="E285" s="25">
        <v>327</v>
      </c>
      <c r="F285" s="25">
        <v>2</v>
      </c>
      <c r="G285" s="28">
        <v>1</v>
      </c>
      <c r="H285" s="28">
        <v>80700</v>
      </c>
      <c r="I285" s="28" t="s">
        <v>17</v>
      </c>
      <c r="J285" s="28">
        <v>82228577</v>
      </c>
      <c r="K285" s="38" t="s">
        <v>2220</v>
      </c>
      <c r="L285" t="s">
        <v>2230</v>
      </c>
      <c r="M285" s="39">
        <v>199900</v>
      </c>
      <c r="N285" s="30">
        <v>0.9</v>
      </c>
      <c r="O285" s="33">
        <f t="shared" si="5"/>
        <v>19989.999999999996</v>
      </c>
      <c r="P285" s="28" t="s">
        <v>0</v>
      </c>
    </row>
    <row r="286" spans="1:16" x14ac:dyDescent="0.3">
      <c r="A286" s="32" t="s">
        <v>3213</v>
      </c>
      <c r="B286" s="40">
        <v>46093</v>
      </c>
      <c r="C286" s="40">
        <v>46098</v>
      </c>
      <c r="D286" s="27">
        <v>3319</v>
      </c>
      <c r="E286" s="32">
        <v>327</v>
      </c>
      <c r="F286" s="27">
        <v>2</v>
      </c>
      <c r="G286" s="28">
        <v>1</v>
      </c>
      <c r="H286" s="28">
        <v>81778</v>
      </c>
      <c r="I286" s="28" t="s">
        <v>17</v>
      </c>
      <c r="J286" s="28">
        <v>14187212</v>
      </c>
      <c r="K286" s="38" t="s">
        <v>1868</v>
      </c>
      <c r="L286" t="s">
        <v>1869</v>
      </c>
      <c r="M286" s="37">
        <v>159900</v>
      </c>
      <c r="N286" s="30">
        <v>0.9</v>
      </c>
      <c r="O286" s="33">
        <f t="shared" si="5"/>
        <v>15989.999999999996</v>
      </c>
      <c r="P286" s="28" t="s">
        <v>0</v>
      </c>
    </row>
    <row r="287" spans="1:16" x14ac:dyDescent="0.3">
      <c r="A287" s="32" t="s">
        <v>3213</v>
      </c>
      <c r="B287" s="40">
        <v>46093</v>
      </c>
      <c r="C287" s="40">
        <v>46098</v>
      </c>
      <c r="D287" s="27">
        <v>3319</v>
      </c>
      <c r="E287" s="32">
        <v>327</v>
      </c>
      <c r="F287" s="27">
        <v>2</v>
      </c>
      <c r="G287" s="28">
        <v>1</v>
      </c>
      <c r="H287" s="28">
        <v>81778</v>
      </c>
      <c r="I287" s="28" t="s">
        <v>17</v>
      </c>
      <c r="J287" s="28">
        <v>14187221</v>
      </c>
      <c r="K287" s="38" t="s">
        <v>1868</v>
      </c>
      <c r="L287" t="s">
        <v>1870</v>
      </c>
      <c r="M287" s="37">
        <v>159900</v>
      </c>
      <c r="N287" s="30">
        <v>0.9</v>
      </c>
      <c r="O287" s="33">
        <f t="shared" si="5"/>
        <v>15989.999999999996</v>
      </c>
      <c r="P287" s="28" t="s">
        <v>0</v>
      </c>
    </row>
    <row r="288" spans="1:16" x14ac:dyDescent="0.3">
      <c r="A288" s="32" t="s">
        <v>3213</v>
      </c>
      <c r="B288" s="40">
        <v>46093</v>
      </c>
      <c r="C288" s="40">
        <v>46098</v>
      </c>
      <c r="D288" s="27">
        <v>3319</v>
      </c>
      <c r="E288" s="32">
        <v>327</v>
      </c>
      <c r="F288" s="27">
        <v>2</v>
      </c>
      <c r="G288" s="28">
        <v>1</v>
      </c>
      <c r="H288" s="28">
        <v>81778</v>
      </c>
      <c r="I288" s="28" t="s">
        <v>17</v>
      </c>
      <c r="J288" s="28">
        <v>14187230</v>
      </c>
      <c r="K288" s="38" t="s">
        <v>1868</v>
      </c>
      <c r="L288" t="s">
        <v>1871</v>
      </c>
      <c r="M288" s="37">
        <v>159900</v>
      </c>
      <c r="N288" s="30">
        <v>0.9</v>
      </c>
      <c r="O288" s="33">
        <f t="shared" si="5"/>
        <v>15989.999999999996</v>
      </c>
      <c r="P288" s="28" t="s">
        <v>0</v>
      </c>
    </row>
    <row r="289" spans="1:16" x14ac:dyDescent="0.3">
      <c r="A289" s="32" t="s">
        <v>3213</v>
      </c>
      <c r="B289" s="40">
        <v>46093</v>
      </c>
      <c r="C289" s="40">
        <v>46098</v>
      </c>
      <c r="D289" s="27">
        <v>3319</v>
      </c>
      <c r="E289" s="32">
        <v>327</v>
      </c>
      <c r="F289" s="27">
        <v>2</v>
      </c>
      <c r="G289" s="28">
        <v>1</v>
      </c>
      <c r="H289" s="28">
        <v>81778</v>
      </c>
      <c r="I289" s="28" t="s">
        <v>17</v>
      </c>
      <c r="J289" s="28">
        <v>14187249</v>
      </c>
      <c r="K289" s="38" t="s">
        <v>1868</v>
      </c>
      <c r="L289" t="s">
        <v>1872</v>
      </c>
      <c r="M289" s="37">
        <v>159900</v>
      </c>
      <c r="N289" s="30">
        <v>0.9</v>
      </c>
      <c r="O289" s="33">
        <f t="shared" si="5"/>
        <v>15989.999999999996</v>
      </c>
      <c r="P289" s="28" t="s">
        <v>0</v>
      </c>
    </row>
    <row r="290" spans="1:16" x14ac:dyDescent="0.3">
      <c r="A290" s="32" t="s">
        <v>3213</v>
      </c>
      <c r="B290" s="40">
        <v>46093</v>
      </c>
      <c r="C290" s="40">
        <v>46098</v>
      </c>
      <c r="D290" s="27">
        <v>3319</v>
      </c>
      <c r="E290" s="32">
        <v>327</v>
      </c>
      <c r="F290" s="27">
        <v>2</v>
      </c>
      <c r="G290" s="28">
        <v>1</v>
      </c>
      <c r="H290" s="28">
        <v>81778</v>
      </c>
      <c r="I290" s="28" t="s">
        <v>17</v>
      </c>
      <c r="J290" s="28">
        <v>14187258</v>
      </c>
      <c r="K290" s="38" t="s">
        <v>1868</v>
      </c>
      <c r="L290" t="s">
        <v>1873</v>
      </c>
      <c r="M290" s="37">
        <v>159900</v>
      </c>
      <c r="N290" s="30">
        <v>0.9</v>
      </c>
      <c r="O290" s="33">
        <f t="shared" si="5"/>
        <v>15989.999999999996</v>
      </c>
      <c r="P290" s="28" t="s">
        <v>0</v>
      </c>
    </row>
    <row r="291" spans="1:16" x14ac:dyDescent="0.3">
      <c r="A291" s="32" t="s">
        <v>3213</v>
      </c>
      <c r="B291" s="40">
        <v>46093</v>
      </c>
      <c r="C291" s="40">
        <v>46098</v>
      </c>
      <c r="D291" s="27">
        <v>3319</v>
      </c>
      <c r="E291" s="32">
        <v>327</v>
      </c>
      <c r="F291" s="27">
        <v>2</v>
      </c>
      <c r="G291" s="28">
        <v>1</v>
      </c>
      <c r="H291" s="28">
        <v>81778</v>
      </c>
      <c r="I291" s="28" t="s">
        <v>17</v>
      </c>
      <c r="J291" s="28">
        <v>14187267</v>
      </c>
      <c r="K291" s="38" t="s">
        <v>1868</v>
      </c>
      <c r="L291" t="s">
        <v>1874</v>
      </c>
      <c r="M291" s="37">
        <v>159900</v>
      </c>
      <c r="N291" s="30">
        <v>0.9</v>
      </c>
      <c r="O291" s="33">
        <f t="shared" si="5"/>
        <v>15989.999999999996</v>
      </c>
      <c r="P291" s="28" t="s">
        <v>0</v>
      </c>
    </row>
    <row r="292" spans="1:16" x14ac:dyDescent="0.3">
      <c r="A292" s="32" t="s">
        <v>3213</v>
      </c>
      <c r="B292" s="40">
        <v>46093</v>
      </c>
      <c r="C292" s="40">
        <v>46098</v>
      </c>
      <c r="D292" s="27">
        <v>3319</v>
      </c>
      <c r="E292" s="32">
        <v>327</v>
      </c>
      <c r="F292" s="27">
        <v>2</v>
      </c>
      <c r="G292" s="28">
        <v>1</v>
      </c>
      <c r="H292" s="28">
        <v>81778</v>
      </c>
      <c r="I292" s="28" t="s">
        <v>17</v>
      </c>
      <c r="J292" s="28">
        <v>14187276</v>
      </c>
      <c r="K292" s="38" t="s">
        <v>1868</v>
      </c>
      <c r="L292" t="s">
        <v>1875</v>
      </c>
      <c r="M292" s="37">
        <v>159900</v>
      </c>
      <c r="N292" s="30">
        <v>0.9</v>
      </c>
      <c r="O292" s="33">
        <f t="shared" si="5"/>
        <v>15989.999999999996</v>
      </c>
      <c r="P292" s="28" t="s">
        <v>0</v>
      </c>
    </row>
    <row r="293" spans="1:16" x14ac:dyDescent="0.3">
      <c r="A293" s="32" t="s">
        <v>3213</v>
      </c>
      <c r="B293" s="40">
        <v>46093</v>
      </c>
      <c r="C293" s="40">
        <v>46098</v>
      </c>
      <c r="D293" s="27">
        <v>3319</v>
      </c>
      <c r="E293" s="32">
        <v>327</v>
      </c>
      <c r="F293" s="27">
        <v>2</v>
      </c>
      <c r="G293" s="28">
        <v>1</v>
      </c>
      <c r="H293" s="28">
        <v>81778</v>
      </c>
      <c r="I293" s="28" t="s">
        <v>17</v>
      </c>
      <c r="J293" s="28">
        <v>14187285</v>
      </c>
      <c r="K293" s="38" t="s">
        <v>1868</v>
      </c>
      <c r="L293" t="s">
        <v>1876</v>
      </c>
      <c r="M293" s="37">
        <v>159900</v>
      </c>
      <c r="N293" s="30">
        <v>0.9</v>
      </c>
      <c r="O293" s="33">
        <f t="shared" si="5"/>
        <v>15989.999999999996</v>
      </c>
      <c r="P293" s="28" t="s">
        <v>0</v>
      </c>
    </row>
    <row r="294" spans="1:16" x14ac:dyDescent="0.3">
      <c r="A294" s="32" t="s">
        <v>3213</v>
      </c>
      <c r="B294" s="40">
        <v>46093</v>
      </c>
      <c r="C294" s="40">
        <v>46098</v>
      </c>
      <c r="D294" s="27">
        <v>3319</v>
      </c>
      <c r="E294" s="32">
        <v>327</v>
      </c>
      <c r="F294" s="27">
        <v>2</v>
      </c>
      <c r="G294" s="28">
        <v>1</v>
      </c>
      <c r="H294" s="28">
        <v>81778</v>
      </c>
      <c r="I294" s="28" t="s">
        <v>17</v>
      </c>
      <c r="J294" s="28">
        <v>14187294</v>
      </c>
      <c r="K294" s="38" t="s">
        <v>1868</v>
      </c>
      <c r="L294" t="s">
        <v>1877</v>
      </c>
      <c r="M294" s="37">
        <v>159900</v>
      </c>
      <c r="N294" s="30">
        <v>0.9</v>
      </c>
      <c r="O294" s="33">
        <f t="shared" si="5"/>
        <v>15989.999999999996</v>
      </c>
      <c r="P294" s="28" t="s">
        <v>0</v>
      </c>
    </row>
    <row r="295" spans="1:16" x14ac:dyDescent="0.3">
      <c r="A295" s="32" t="s">
        <v>3213</v>
      </c>
      <c r="B295" s="40">
        <v>46093</v>
      </c>
      <c r="C295" s="40">
        <v>46098</v>
      </c>
      <c r="D295" s="27">
        <v>3319</v>
      </c>
      <c r="E295" s="32">
        <v>327</v>
      </c>
      <c r="F295" s="27">
        <v>2</v>
      </c>
      <c r="G295" s="28">
        <v>1</v>
      </c>
      <c r="H295" s="28">
        <v>81778</v>
      </c>
      <c r="I295" s="28" t="s">
        <v>17</v>
      </c>
      <c r="J295" s="28">
        <v>14187301</v>
      </c>
      <c r="K295" s="38" t="s">
        <v>1868</v>
      </c>
      <c r="L295" t="s">
        <v>1878</v>
      </c>
      <c r="M295" s="37">
        <v>159900</v>
      </c>
      <c r="N295" s="30">
        <v>0.9</v>
      </c>
      <c r="O295" s="33">
        <f t="shared" si="5"/>
        <v>15989.999999999996</v>
      </c>
      <c r="P295" s="28" t="s">
        <v>0</v>
      </c>
    </row>
    <row r="296" spans="1:16" x14ac:dyDescent="0.3">
      <c r="A296" s="32" t="s">
        <v>3213</v>
      </c>
      <c r="B296" s="40">
        <v>46093</v>
      </c>
      <c r="C296" s="40">
        <v>46098</v>
      </c>
      <c r="D296" s="27">
        <v>3319</v>
      </c>
      <c r="E296" s="32">
        <v>327</v>
      </c>
      <c r="F296" s="27">
        <v>2</v>
      </c>
      <c r="G296" s="28">
        <v>1</v>
      </c>
      <c r="H296" s="28">
        <v>81778</v>
      </c>
      <c r="I296" s="28" t="s">
        <v>17</v>
      </c>
      <c r="J296" s="28">
        <v>13838985</v>
      </c>
      <c r="K296" s="38" t="s">
        <v>1965</v>
      </c>
      <c r="L296" t="s">
        <v>1966</v>
      </c>
      <c r="M296" s="37">
        <v>199900</v>
      </c>
      <c r="N296" s="30">
        <v>0.9</v>
      </c>
      <c r="O296" s="33">
        <f t="shared" si="5"/>
        <v>19989.999999999996</v>
      </c>
      <c r="P296" s="28" t="s">
        <v>0</v>
      </c>
    </row>
    <row r="297" spans="1:16" x14ac:dyDescent="0.3">
      <c r="A297" s="32" t="s">
        <v>3213</v>
      </c>
      <c r="B297" s="40">
        <v>46093</v>
      </c>
      <c r="C297" s="40">
        <v>46098</v>
      </c>
      <c r="D297" s="27">
        <v>3319</v>
      </c>
      <c r="E297" s="32">
        <v>327</v>
      </c>
      <c r="F297" s="27">
        <v>2</v>
      </c>
      <c r="G297" s="28">
        <v>1</v>
      </c>
      <c r="H297" s="28">
        <v>81778</v>
      </c>
      <c r="I297" s="28" t="s">
        <v>17</v>
      </c>
      <c r="J297" s="28">
        <v>13838994</v>
      </c>
      <c r="K297" s="38" t="s">
        <v>1965</v>
      </c>
      <c r="L297" t="s">
        <v>1967</v>
      </c>
      <c r="M297" s="37">
        <v>199900</v>
      </c>
      <c r="N297" s="30">
        <v>0.9</v>
      </c>
      <c r="O297" s="33">
        <f t="shared" si="5"/>
        <v>19989.999999999996</v>
      </c>
      <c r="P297" s="28" t="s">
        <v>0</v>
      </c>
    </row>
    <row r="298" spans="1:16" x14ac:dyDescent="0.3">
      <c r="A298" s="32" t="s">
        <v>3213</v>
      </c>
      <c r="B298" s="40">
        <v>46093</v>
      </c>
      <c r="C298" s="40">
        <v>46098</v>
      </c>
      <c r="D298" s="27">
        <v>3319</v>
      </c>
      <c r="E298" s="32">
        <v>327</v>
      </c>
      <c r="F298" s="27">
        <v>2</v>
      </c>
      <c r="G298" s="28">
        <v>1</v>
      </c>
      <c r="H298" s="28">
        <v>81778</v>
      </c>
      <c r="I298" s="28" t="s">
        <v>17</v>
      </c>
      <c r="J298" s="28">
        <v>13839000</v>
      </c>
      <c r="K298" s="38" t="s">
        <v>1965</v>
      </c>
      <c r="L298" t="s">
        <v>1968</v>
      </c>
      <c r="M298" s="37">
        <v>199900</v>
      </c>
      <c r="N298" s="30">
        <v>0.9</v>
      </c>
      <c r="O298" s="33">
        <f t="shared" si="5"/>
        <v>19989.999999999996</v>
      </c>
      <c r="P298" s="28" t="s">
        <v>0</v>
      </c>
    </row>
    <row r="299" spans="1:16" x14ac:dyDescent="0.3">
      <c r="A299" s="32" t="s">
        <v>3213</v>
      </c>
      <c r="B299" s="40">
        <v>46093</v>
      </c>
      <c r="C299" s="40">
        <v>46098</v>
      </c>
      <c r="D299" s="27">
        <v>3319</v>
      </c>
      <c r="E299" s="32">
        <v>327</v>
      </c>
      <c r="F299" s="27">
        <v>2</v>
      </c>
      <c r="G299" s="28">
        <v>1</v>
      </c>
      <c r="H299" s="28">
        <v>81778</v>
      </c>
      <c r="I299" s="28" t="s">
        <v>17</v>
      </c>
      <c r="J299" s="28">
        <v>13839019</v>
      </c>
      <c r="K299" s="38" t="s">
        <v>1965</v>
      </c>
      <c r="L299" t="s">
        <v>1969</v>
      </c>
      <c r="M299" s="37">
        <v>199900</v>
      </c>
      <c r="N299" s="30">
        <v>0.9</v>
      </c>
      <c r="O299" s="33">
        <f t="shared" si="5"/>
        <v>19989.999999999996</v>
      </c>
      <c r="P299" s="28" t="s">
        <v>0</v>
      </c>
    </row>
    <row r="300" spans="1:16" x14ac:dyDescent="0.3">
      <c r="A300" s="32" t="s">
        <v>3213</v>
      </c>
      <c r="B300" s="40">
        <v>46093</v>
      </c>
      <c r="C300" s="40">
        <v>46098</v>
      </c>
      <c r="D300" s="27">
        <v>3319</v>
      </c>
      <c r="E300" s="32">
        <v>327</v>
      </c>
      <c r="F300" s="27">
        <v>2</v>
      </c>
      <c r="G300" s="28">
        <v>1</v>
      </c>
      <c r="H300" s="28">
        <v>81778</v>
      </c>
      <c r="I300" s="28" t="s">
        <v>17</v>
      </c>
      <c r="J300" s="28">
        <v>13839028</v>
      </c>
      <c r="K300" s="38" t="s">
        <v>1965</v>
      </c>
      <c r="L300" t="s">
        <v>1970</v>
      </c>
      <c r="M300" s="37">
        <v>199900</v>
      </c>
      <c r="N300" s="30">
        <v>0.9</v>
      </c>
      <c r="O300" s="33">
        <f t="shared" si="5"/>
        <v>19989.999999999996</v>
      </c>
      <c r="P300" s="28" t="s">
        <v>0</v>
      </c>
    </row>
    <row r="301" spans="1:16" x14ac:dyDescent="0.3">
      <c r="A301" s="32" t="s">
        <v>3213</v>
      </c>
      <c r="B301" s="40">
        <v>46093</v>
      </c>
      <c r="C301" s="40">
        <v>46098</v>
      </c>
      <c r="D301" s="27">
        <v>3319</v>
      </c>
      <c r="E301" s="32">
        <v>327</v>
      </c>
      <c r="F301" s="27">
        <v>2</v>
      </c>
      <c r="G301" s="28">
        <v>1</v>
      </c>
      <c r="H301" s="28">
        <v>81778</v>
      </c>
      <c r="I301" s="28" t="s">
        <v>17</v>
      </c>
      <c r="J301" s="28">
        <v>13839037</v>
      </c>
      <c r="K301" s="38" t="s">
        <v>1965</v>
      </c>
      <c r="L301" t="s">
        <v>1971</v>
      </c>
      <c r="M301" s="37">
        <v>199900</v>
      </c>
      <c r="N301" s="30">
        <v>0.9</v>
      </c>
      <c r="O301" s="33">
        <f t="shared" si="5"/>
        <v>19989.999999999996</v>
      </c>
      <c r="P301" s="28" t="s">
        <v>0</v>
      </c>
    </row>
    <row r="302" spans="1:16" x14ac:dyDescent="0.3">
      <c r="A302" s="32" t="s">
        <v>3213</v>
      </c>
      <c r="B302" s="40">
        <v>46093</v>
      </c>
      <c r="C302" s="40">
        <v>46098</v>
      </c>
      <c r="D302" s="27">
        <v>3319</v>
      </c>
      <c r="E302" s="32">
        <v>327</v>
      </c>
      <c r="F302" s="27">
        <v>2</v>
      </c>
      <c r="G302" s="28">
        <v>1</v>
      </c>
      <c r="H302" s="28">
        <v>81778</v>
      </c>
      <c r="I302" s="28" t="s">
        <v>17</v>
      </c>
      <c r="J302" s="28">
        <v>13839046</v>
      </c>
      <c r="K302" s="38" t="s">
        <v>1965</v>
      </c>
      <c r="L302" t="s">
        <v>1972</v>
      </c>
      <c r="M302" s="37">
        <v>199900</v>
      </c>
      <c r="N302" s="30">
        <v>0.9</v>
      </c>
      <c r="O302" s="33">
        <f t="shared" si="5"/>
        <v>19989.999999999996</v>
      </c>
      <c r="P302" s="28" t="s">
        <v>0</v>
      </c>
    </row>
    <row r="303" spans="1:16" x14ac:dyDescent="0.3">
      <c r="A303" s="32" t="s">
        <v>3213</v>
      </c>
      <c r="B303" s="40">
        <v>46093</v>
      </c>
      <c r="C303" s="40">
        <v>46098</v>
      </c>
      <c r="D303" s="27">
        <v>3319</v>
      </c>
      <c r="E303" s="32">
        <v>327</v>
      </c>
      <c r="F303" s="27">
        <v>2</v>
      </c>
      <c r="G303" s="28">
        <v>1</v>
      </c>
      <c r="H303" s="28">
        <v>81778</v>
      </c>
      <c r="I303" s="28" t="s">
        <v>17</v>
      </c>
      <c r="J303" s="28">
        <v>13839055</v>
      </c>
      <c r="K303" s="38" t="s">
        <v>1965</v>
      </c>
      <c r="L303" t="s">
        <v>1973</v>
      </c>
      <c r="M303" s="37">
        <v>199900</v>
      </c>
      <c r="N303" s="30">
        <v>0.9</v>
      </c>
      <c r="O303" s="33">
        <f t="shared" si="5"/>
        <v>19989.999999999996</v>
      </c>
      <c r="P303" s="28" t="s">
        <v>0</v>
      </c>
    </row>
    <row r="304" spans="1:16" x14ac:dyDescent="0.3">
      <c r="A304" s="32" t="s">
        <v>3213</v>
      </c>
      <c r="B304" s="40">
        <v>46093</v>
      </c>
      <c r="C304" s="40">
        <v>46098</v>
      </c>
      <c r="D304" s="27">
        <v>3319</v>
      </c>
      <c r="E304" s="32">
        <v>327</v>
      </c>
      <c r="F304" s="27">
        <v>2</v>
      </c>
      <c r="G304" s="28">
        <v>1</v>
      </c>
      <c r="H304" s="28">
        <v>81778</v>
      </c>
      <c r="I304" s="28" t="s">
        <v>17</v>
      </c>
      <c r="J304" s="28">
        <v>13839064</v>
      </c>
      <c r="K304" s="38" t="s">
        <v>1965</v>
      </c>
      <c r="L304" t="s">
        <v>1974</v>
      </c>
      <c r="M304" s="37">
        <v>199900</v>
      </c>
      <c r="N304" s="30">
        <v>0.9</v>
      </c>
      <c r="O304" s="33">
        <f t="shared" si="5"/>
        <v>19989.999999999996</v>
      </c>
      <c r="P304" s="28" t="s">
        <v>0</v>
      </c>
    </row>
    <row r="305" spans="1:16" x14ac:dyDescent="0.3">
      <c r="A305" s="32" t="s">
        <v>3213</v>
      </c>
      <c r="B305" s="40">
        <v>46093</v>
      </c>
      <c r="C305" s="40">
        <v>46098</v>
      </c>
      <c r="D305" s="27">
        <v>3319</v>
      </c>
      <c r="E305" s="32">
        <v>327</v>
      </c>
      <c r="F305" s="27">
        <v>2</v>
      </c>
      <c r="G305" s="28">
        <v>1</v>
      </c>
      <c r="H305" s="28">
        <v>81778</v>
      </c>
      <c r="I305" s="28" t="s">
        <v>17</v>
      </c>
      <c r="J305" s="28">
        <v>13839073</v>
      </c>
      <c r="K305" s="38" t="s">
        <v>1965</v>
      </c>
      <c r="L305" t="s">
        <v>1975</v>
      </c>
      <c r="M305" s="37">
        <v>199900</v>
      </c>
      <c r="N305" s="30">
        <v>0.9</v>
      </c>
      <c r="O305" s="33">
        <f t="shared" si="5"/>
        <v>19989.999999999996</v>
      </c>
      <c r="P305" s="28" t="s">
        <v>0</v>
      </c>
    </row>
    <row r="306" spans="1:16" x14ac:dyDescent="0.3">
      <c r="A306" s="32" t="s">
        <v>3213</v>
      </c>
      <c r="B306" s="40">
        <v>46093</v>
      </c>
      <c r="C306" s="40">
        <v>46098</v>
      </c>
      <c r="D306" s="27">
        <v>3319</v>
      </c>
      <c r="E306" s="32">
        <v>327</v>
      </c>
      <c r="F306" s="27">
        <v>2</v>
      </c>
      <c r="G306" s="28">
        <v>2</v>
      </c>
      <c r="H306" s="28">
        <v>81778</v>
      </c>
      <c r="I306" s="28" t="s">
        <v>17</v>
      </c>
      <c r="J306" s="28">
        <v>12072429</v>
      </c>
      <c r="K306" s="38" t="s">
        <v>1987</v>
      </c>
      <c r="L306" t="s">
        <v>1988</v>
      </c>
      <c r="M306" s="37">
        <v>239900</v>
      </c>
      <c r="N306" s="30">
        <v>0.9</v>
      </c>
      <c r="O306" s="33">
        <f t="shared" si="5"/>
        <v>23989.999999999996</v>
      </c>
      <c r="P306" s="28" t="s">
        <v>0</v>
      </c>
    </row>
    <row r="307" spans="1:16" x14ac:dyDescent="0.3">
      <c r="A307" s="32" t="s">
        <v>3213</v>
      </c>
      <c r="B307" s="40">
        <v>46093</v>
      </c>
      <c r="C307" s="40">
        <v>46098</v>
      </c>
      <c r="D307" s="27">
        <v>3319</v>
      </c>
      <c r="E307" s="32">
        <v>327</v>
      </c>
      <c r="F307" s="27">
        <v>2</v>
      </c>
      <c r="G307" s="28">
        <v>2</v>
      </c>
      <c r="H307" s="28">
        <v>81778</v>
      </c>
      <c r="I307" s="28" t="s">
        <v>17</v>
      </c>
      <c r="J307" s="28">
        <v>12072438</v>
      </c>
      <c r="K307" s="38" t="s">
        <v>1987</v>
      </c>
      <c r="L307" t="s">
        <v>1989</v>
      </c>
      <c r="M307" s="37">
        <v>239900</v>
      </c>
      <c r="N307" s="30">
        <v>0.9</v>
      </c>
      <c r="O307" s="33">
        <f t="shared" si="5"/>
        <v>23989.999999999996</v>
      </c>
      <c r="P307" s="28" t="s">
        <v>0</v>
      </c>
    </row>
    <row r="308" spans="1:16" x14ac:dyDescent="0.3">
      <c r="A308" s="32" t="s">
        <v>3213</v>
      </c>
      <c r="B308" s="40">
        <v>46093</v>
      </c>
      <c r="C308" s="40">
        <v>46098</v>
      </c>
      <c r="D308" s="27">
        <v>3319</v>
      </c>
      <c r="E308" s="32">
        <v>327</v>
      </c>
      <c r="F308" s="27">
        <v>2</v>
      </c>
      <c r="G308" s="28">
        <v>2</v>
      </c>
      <c r="H308" s="28">
        <v>81778</v>
      </c>
      <c r="I308" s="28" t="s">
        <v>17</v>
      </c>
      <c r="J308" s="28">
        <v>12072447</v>
      </c>
      <c r="K308" s="38" t="s">
        <v>1987</v>
      </c>
      <c r="L308" t="s">
        <v>1990</v>
      </c>
      <c r="M308" s="37">
        <v>239900</v>
      </c>
      <c r="N308" s="30">
        <v>0.9</v>
      </c>
      <c r="O308" s="33">
        <f t="shared" si="5"/>
        <v>23989.999999999996</v>
      </c>
      <c r="P308" s="28" t="s">
        <v>0</v>
      </c>
    </row>
    <row r="309" spans="1:16" x14ac:dyDescent="0.3">
      <c r="A309" s="32" t="s">
        <v>3213</v>
      </c>
      <c r="B309" s="40">
        <v>46093</v>
      </c>
      <c r="C309" s="40">
        <v>46098</v>
      </c>
      <c r="D309" s="27">
        <v>3319</v>
      </c>
      <c r="E309" s="32">
        <v>327</v>
      </c>
      <c r="F309" s="27">
        <v>2</v>
      </c>
      <c r="G309" s="28">
        <v>2</v>
      </c>
      <c r="H309" s="28">
        <v>81778</v>
      </c>
      <c r="I309" s="28" t="s">
        <v>17</v>
      </c>
      <c r="J309" s="28">
        <v>12072456</v>
      </c>
      <c r="K309" s="38" t="s">
        <v>1987</v>
      </c>
      <c r="L309" t="s">
        <v>1991</v>
      </c>
      <c r="M309" s="37">
        <v>239900</v>
      </c>
      <c r="N309" s="30">
        <v>0.9</v>
      </c>
      <c r="O309" s="33">
        <f t="shared" si="5"/>
        <v>23989.999999999996</v>
      </c>
      <c r="P309" s="28" t="s">
        <v>0</v>
      </c>
    </row>
    <row r="310" spans="1:16" x14ac:dyDescent="0.3">
      <c r="A310" s="32" t="s">
        <v>3213</v>
      </c>
      <c r="B310" s="40">
        <v>46093</v>
      </c>
      <c r="C310" s="40">
        <v>46098</v>
      </c>
      <c r="D310" s="27">
        <v>3319</v>
      </c>
      <c r="E310" s="32">
        <v>327</v>
      </c>
      <c r="F310" s="27">
        <v>2</v>
      </c>
      <c r="G310" s="28">
        <v>2</v>
      </c>
      <c r="H310" s="28">
        <v>81778</v>
      </c>
      <c r="I310" s="28" t="s">
        <v>17</v>
      </c>
      <c r="J310" s="28">
        <v>12072465</v>
      </c>
      <c r="K310" s="38" t="s">
        <v>1987</v>
      </c>
      <c r="L310" t="s">
        <v>1992</v>
      </c>
      <c r="M310" s="37">
        <v>239900</v>
      </c>
      <c r="N310" s="30">
        <v>0.9</v>
      </c>
      <c r="O310" s="33">
        <f t="shared" si="5"/>
        <v>23989.999999999996</v>
      </c>
      <c r="P310" s="28" t="s">
        <v>0</v>
      </c>
    </row>
    <row r="311" spans="1:16" x14ac:dyDescent="0.3">
      <c r="A311" s="32" t="s">
        <v>3213</v>
      </c>
      <c r="B311" s="40">
        <v>46093</v>
      </c>
      <c r="C311" s="40">
        <v>46098</v>
      </c>
      <c r="D311" s="27">
        <v>3319</v>
      </c>
      <c r="E311" s="32">
        <v>327</v>
      </c>
      <c r="F311" s="27">
        <v>2</v>
      </c>
      <c r="G311" s="28">
        <v>2</v>
      </c>
      <c r="H311" s="28">
        <v>81778</v>
      </c>
      <c r="I311" s="28" t="s">
        <v>17</v>
      </c>
      <c r="J311" s="28">
        <v>12072474</v>
      </c>
      <c r="K311" s="38" t="s">
        <v>1987</v>
      </c>
      <c r="L311" t="s">
        <v>1993</v>
      </c>
      <c r="M311" s="37">
        <v>239900</v>
      </c>
      <c r="N311" s="30">
        <v>0.9</v>
      </c>
      <c r="O311" s="33">
        <f t="shared" si="5"/>
        <v>23989.999999999996</v>
      </c>
      <c r="P311" s="28" t="s">
        <v>0</v>
      </c>
    </row>
    <row r="312" spans="1:16" x14ac:dyDescent="0.3">
      <c r="A312" s="32" t="s">
        <v>3213</v>
      </c>
      <c r="B312" s="40">
        <v>46093</v>
      </c>
      <c r="C312" s="40">
        <v>46098</v>
      </c>
      <c r="D312" s="27">
        <v>3319</v>
      </c>
      <c r="E312" s="32">
        <v>327</v>
      </c>
      <c r="F312" s="27">
        <v>2</v>
      </c>
      <c r="G312" s="28">
        <v>2</v>
      </c>
      <c r="H312" s="28">
        <v>81778</v>
      </c>
      <c r="I312" s="28" t="s">
        <v>17</v>
      </c>
      <c r="J312" s="28">
        <v>12072410</v>
      </c>
      <c r="K312" s="38" t="s">
        <v>1987</v>
      </c>
      <c r="L312" t="s">
        <v>1994</v>
      </c>
      <c r="M312" s="37">
        <v>239900</v>
      </c>
      <c r="N312" s="30">
        <v>0.9</v>
      </c>
      <c r="O312" s="33">
        <f t="shared" si="5"/>
        <v>23989.999999999996</v>
      </c>
      <c r="P312" s="28" t="s">
        <v>0</v>
      </c>
    </row>
    <row r="313" spans="1:16" x14ac:dyDescent="0.3">
      <c r="A313" s="32" t="s">
        <v>3213</v>
      </c>
      <c r="B313" s="40">
        <v>46093</v>
      </c>
      <c r="C313" s="40">
        <v>46098</v>
      </c>
      <c r="D313" s="27">
        <v>3319</v>
      </c>
      <c r="E313" s="32">
        <v>327</v>
      </c>
      <c r="F313" s="27">
        <v>2</v>
      </c>
      <c r="G313" s="28">
        <v>2</v>
      </c>
      <c r="H313" s="28">
        <v>81778</v>
      </c>
      <c r="I313" s="28" t="s">
        <v>17</v>
      </c>
      <c r="J313" s="28">
        <v>12072401</v>
      </c>
      <c r="K313" s="38" t="s">
        <v>1987</v>
      </c>
      <c r="L313" t="s">
        <v>1995</v>
      </c>
      <c r="M313" s="37">
        <v>239900</v>
      </c>
      <c r="N313" s="30">
        <v>0.9</v>
      </c>
      <c r="O313" s="33">
        <f t="shared" si="5"/>
        <v>23989.999999999996</v>
      </c>
      <c r="P313" s="28" t="s">
        <v>0</v>
      </c>
    </row>
    <row r="314" spans="1:16" x14ac:dyDescent="0.3">
      <c r="A314" s="32" t="s">
        <v>3213</v>
      </c>
      <c r="B314" s="40">
        <v>46093</v>
      </c>
      <c r="C314" s="40">
        <v>46098</v>
      </c>
      <c r="D314" s="27">
        <v>3319</v>
      </c>
      <c r="E314" s="32">
        <v>327</v>
      </c>
      <c r="F314" s="27">
        <v>2</v>
      </c>
      <c r="G314" s="28">
        <v>2</v>
      </c>
      <c r="H314" s="28">
        <v>81778</v>
      </c>
      <c r="I314" s="28" t="s">
        <v>17</v>
      </c>
      <c r="J314" s="28">
        <v>12072394</v>
      </c>
      <c r="K314" s="38" t="s">
        <v>1987</v>
      </c>
      <c r="L314" t="s">
        <v>1996</v>
      </c>
      <c r="M314" s="37">
        <v>239900</v>
      </c>
      <c r="N314" s="30">
        <v>0.9</v>
      </c>
      <c r="O314" s="33">
        <f t="shared" si="5"/>
        <v>23989.999999999996</v>
      </c>
      <c r="P314" s="28" t="s">
        <v>0</v>
      </c>
    </row>
    <row r="315" spans="1:16" x14ac:dyDescent="0.3">
      <c r="A315" s="32" t="s">
        <v>3213</v>
      </c>
      <c r="B315" s="40">
        <v>46093</v>
      </c>
      <c r="C315" s="40">
        <v>46098</v>
      </c>
      <c r="D315" s="27">
        <v>3319</v>
      </c>
      <c r="E315" s="32">
        <v>327</v>
      </c>
      <c r="F315" s="27">
        <v>2</v>
      </c>
      <c r="G315" s="28">
        <v>2</v>
      </c>
      <c r="H315" s="28">
        <v>81778</v>
      </c>
      <c r="I315" s="28" t="s">
        <v>17</v>
      </c>
      <c r="J315" s="28">
        <v>12072385</v>
      </c>
      <c r="K315" s="38" t="s">
        <v>1987</v>
      </c>
      <c r="L315" t="s">
        <v>1997</v>
      </c>
      <c r="M315" s="37">
        <v>239900</v>
      </c>
      <c r="N315" s="30">
        <v>0.9</v>
      </c>
      <c r="O315" s="33">
        <f t="shared" si="5"/>
        <v>23989.999999999996</v>
      </c>
      <c r="P315" s="28" t="s">
        <v>0</v>
      </c>
    </row>
    <row r="316" spans="1:16" x14ac:dyDescent="0.3">
      <c r="A316" s="32" t="s">
        <v>3213</v>
      </c>
      <c r="B316" s="40">
        <v>46093</v>
      </c>
      <c r="C316" s="40">
        <v>46098</v>
      </c>
      <c r="D316" s="27">
        <v>3319</v>
      </c>
      <c r="E316" s="32">
        <v>327</v>
      </c>
      <c r="F316" s="27">
        <v>2</v>
      </c>
      <c r="G316" s="28">
        <v>2</v>
      </c>
      <c r="H316" s="28">
        <v>81778</v>
      </c>
      <c r="I316" s="28" t="s">
        <v>17</v>
      </c>
      <c r="J316" s="28">
        <v>12072483</v>
      </c>
      <c r="K316" s="38" t="s">
        <v>2015</v>
      </c>
      <c r="L316" t="s">
        <v>2016</v>
      </c>
      <c r="M316" s="37">
        <v>319900</v>
      </c>
      <c r="N316" s="30">
        <v>0.9</v>
      </c>
      <c r="O316" s="33">
        <f t="shared" si="5"/>
        <v>31989.999999999993</v>
      </c>
      <c r="P316" s="28" t="s">
        <v>0</v>
      </c>
    </row>
    <row r="317" spans="1:16" x14ac:dyDescent="0.3">
      <c r="A317" s="32" t="s">
        <v>3213</v>
      </c>
      <c r="B317" s="40">
        <v>46093</v>
      </c>
      <c r="C317" s="40">
        <v>46098</v>
      </c>
      <c r="D317" s="27">
        <v>3319</v>
      </c>
      <c r="E317" s="32">
        <v>327</v>
      </c>
      <c r="F317" s="27">
        <v>2</v>
      </c>
      <c r="G317" s="28">
        <v>2</v>
      </c>
      <c r="H317" s="28">
        <v>81778</v>
      </c>
      <c r="I317" s="28" t="s">
        <v>17</v>
      </c>
      <c r="J317" s="28">
        <v>12072492</v>
      </c>
      <c r="K317" s="38" t="s">
        <v>2015</v>
      </c>
      <c r="L317" t="s">
        <v>2017</v>
      </c>
      <c r="M317" s="37">
        <v>319900</v>
      </c>
      <c r="N317" s="30">
        <v>0.9</v>
      </c>
      <c r="O317" s="33">
        <f t="shared" si="5"/>
        <v>31989.999999999993</v>
      </c>
      <c r="P317" s="28" t="s">
        <v>0</v>
      </c>
    </row>
    <row r="318" spans="1:16" x14ac:dyDescent="0.3">
      <c r="A318" s="32" t="s">
        <v>3213</v>
      </c>
      <c r="B318" s="40">
        <v>46093</v>
      </c>
      <c r="C318" s="40">
        <v>46098</v>
      </c>
      <c r="D318" s="27">
        <v>3319</v>
      </c>
      <c r="E318" s="32">
        <v>327</v>
      </c>
      <c r="F318" s="27">
        <v>2</v>
      </c>
      <c r="G318" s="28">
        <v>2</v>
      </c>
      <c r="H318" s="28">
        <v>81778</v>
      </c>
      <c r="I318" s="28" t="s">
        <v>17</v>
      </c>
      <c r="J318" s="28">
        <v>12072509</v>
      </c>
      <c r="K318" s="38" t="s">
        <v>2015</v>
      </c>
      <c r="L318" t="s">
        <v>2018</v>
      </c>
      <c r="M318" s="37">
        <v>319900</v>
      </c>
      <c r="N318" s="30">
        <v>0.9</v>
      </c>
      <c r="O318" s="33">
        <f t="shared" si="5"/>
        <v>31989.999999999993</v>
      </c>
      <c r="P318" s="28" t="s">
        <v>0</v>
      </c>
    </row>
    <row r="319" spans="1:16" x14ac:dyDescent="0.3">
      <c r="A319" s="32" t="s">
        <v>3213</v>
      </c>
      <c r="B319" s="40">
        <v>46093</v>
      </c>
      <c r="C319" s="40">
        <v>46098</v>
      </c>
      <c r="D319" s="27">
        <v>3319</v>
      </c>
      <c r="E319" s="32">
        <v>327</v>
      </c>
      <c r="F319" s="27">
        <v>2</v>
      </c>
      <c r="G319" s="28">
        <v>2</v>
      </c>
      <c r="H319" s="28">
        <v>81778</v>
      </c>
      <c r="I319" s="28" t="s">
        <v>17</v>
      </c>
      <c r="J319" s="28">
        <v>12072518</v>
      </c>
      <c r="K319" s="38" t="s">
        <v>2015</v>
      </c>
      <c r="L319" t="s">
        <v>2019</v>
      </c>
      <c r="M319" s="37">
        <v>319900</v>
      </c>
      <c r="N319" s="30">
        <v>0.9</v>
      </c>
      <c r="O319" s="33">
        <f t="shared" si="5"/>
        <v>31989.999999999993</v>
      </c>
      <c r="P319" s="28" t="s">
        <v>0</v>
      </c>
    </row>
    <row r="320" spans="1:16" x14ac:dyDescent="0.3">
      <c r="A320" s="32" t="s">
        <v>3213</v>
      </c>
      <c r="B320" s="40">
        <v>46093</v>
      </c>
      <c r="C320" s="40">
        <v>46098</v>
      </c>
      <c r="D320" s="27">
        <v>3319</v>
      </c>
      <c r="E320" s="32">
        <v>327</v>
      </c>
      <c r="F320" s="27">
        <v>2</v>
      </c>
      <c r="G320" s="28">
        <v>2</v>
      </c>
      <c r="H320" s="28">
        <v>81778</v>
      </c>
      <c r="I320" s="28" t="s">
        <v>17</v>
      </c>
      <c r="J320" s="28">
        <v>12072527</v>
      </c>
      <c r="K320" s="38" t="s">
        <v>2015</v>
      </c>
      <c r="L320" t="s">
        <v>2020</v>
      </c>
      <c r="M320" s="37">
        <v>319900</v>
      </c>
      <c r="N320" s="30">
        <v>0.9</v>
      </c>
      <c r="O320" s="33">
        <f t="shared" si="5"/>
        <v>31989.999999999993</v>
      </c>
      <c r="P320" s="28" t="s">
        <v>0</v>
      </c>
    </row>
    <row r="321" spans="1:16" x14ac:dyDescent="0.3">
      <c r="A321" s="32" t="s">
        <v>3213</v>
      </c>
      <c r="B321" s="40">
        <v>46093</v>
      </c>
      <c r="C321" s="40">
        <v>46098</v>
      </c>
      <c r="D321" s="27">
        <v>3319</v>
      </c>
      <c r="E321" s="32">
        <v>327</v>
      </c>
      <c r="F321" s="27">
        <v>2</v>
      </c>
      <c r="G321" s="28">
        <v>2</v>
      </c>
      <c r="H321" s="28">
        <v>81778</v>
      </c>
      <c r="I321" s="28" t="s">
        <v>17</v>
      </c>
      <c r="J321" s="28">
        <v>12072536</v>
      </c>
      <c r="K321" s="38" t="s">
        <v>2015</v>
      </c>
      <c r="L321" t="s">
        <v>2021</v>
      </c>
      <c r="M321" s="37">
        <v>319900</v>
      </c>
      <c r="N321" s="30">
        <v>0.9</v>
      </c>
      <c r="O321" s="33">
        <f t="shared" si="5"/>
        <v>31989.999999999993</v>
      </c>
      <c r="P321" s="28" t="s">
        <v>0</v>
      </c>
    </row>
    <row r="322" spans="1:16" x14ac:dyDescent="0.3">
      <c r="A322" s="32" t="s">
        <v>3213</v>
      </c>
      <c r="B322" s="40">
        <v>46093</v>
      </c>
      <c r="C322" s="40">
        <v>46098</v>
      </c>
      <c r="D322" s="27">
        <v>3319</v>
      </c>
      <c r="E322" s="32">
        <v>327</v>
      </c>
      <c r="F322" s="27">
        <v>2</v>
      </c>
      <c r="G322" s="28">
        <v>2</v>
      </c>
      <c r="H322" s="28">
        <v>81778</v>
      </c>
      <c r="I322" s="28" t="s">
        <v>17</v>
      </c>
      <c r="J322" s="28">
        <v>12072545</v>
      </c>
      <c r="K322" s="38" t="s">
        <v>2015</v>
      </c>
      <c r="L322" t="s">
        <v>2022</v>
      </c>
      <c r="M322" s="37">
        <v>319900</v>
      </c>
      <c r="N322" s="30">
        <v>0.9</v>
      </c>
      <c r="O322" s="33">
        <f t="shared" si="5"/>
        <v>31989.999999999993</v>
      </c>
      <c r="P322" s="28" t="s">
        <v>0</v>
      </c>
    </row>
    <row r="323" spans="1:16" x14ac:dyDescent="0.3">
      <c r="A323" s="32" t="s">
        <v>3213</v>
      </c>
      <c r="B323" s="40">
        <v>46093</v>
      </c>
      <c r="C323" s="40">
        <v>46098</v>
      </c>
      <c r="D323" s="27">
        <v>3319</v>
      </c>
      <c r="E323" s="32">
        <v>327</v>
      </c>
      <c r="F323" s="27">
        <v>2</v>
      </c>
      <c r="G323" s="28">
        <v>2</v>
      </c>
      <c r="H323" s="28">
        <v>81778</v>
      </c>
      <c r="I323" s="28" t="s">
        <v>17</v>
      </c>
      <c r="J323" s="28">
        <v>12072554</v>
      </c>
      <c r="K323" s="38" t="s">
        <v>2015</v>
      </c>
      <c r="L323" t="s">
        <v>2023</v>
      </c>
      <c r="M323" s="37">
        <v>319900</v>
      </c>
      <c r="N323" s="30">
        <v>0.9</v>
      </c>
      <c r="O323" s="33">
        <f t="shared" si="5"/>
        <v>31989.999999999993</v>
      </c>
      <c r="P323" s="28" t="s">
        <v>0</v>
      </c>
    </row>
    <row r="324" spans="1:16" x14ac:dyDescent="0.3">
      <c r="A324" s="32" t="s">
        <v>3213</v>
      </c>
      <c r="B324" s="40">
        <v>46093</v>
      </c>
      <c r="C324" s="40">
        <v>46098</v>
      </c>
      <c r="D324" s="27">
        <v>3319</v>
      </c>
      <c r="E324" s="32">
        <v>327</v>
      </c>
      <c r="F324" s="27">
        <v>2</v>
      </c>
      <c r="G324" s="28">
        <v>2</v>
      </c>
      <c r="H324" s="28">
        <v>81778</v>
      </c>
      <c r="I324" s="28" t="s">
        <v>17</v>
      </c>
      <c r="J324" s="28">
        <v>12072563</v>
      </c>
      <c r="K324" s="38" t="s">
        <v>2015</v>
      </c>
      <c r="L324" t="s">
        <v>2024</v>
      </c>
      <c r="M324" s="37">
        <v>319900</v>
      </c>
      <c r="N324" s="30">
        <v>0.9</v>
      </c>
      <c r="O324" s="33">
        <f t="shared" si="5"/>
        <v>31989.999999999993</v>
      </c>
      <c r="P324" s="28" t="s">
        <v>0</v>
      </c>
    </row>
    <row r="325" spans="1:16" x14ac:dyDescent="0.3">
      <c r="A325" s="32" t="s">
        <v>3213</v>
      </c>
      <c r="B325" s="40">
        <v>46093</v>
      </c>
      <c r="C325" s="40">
        <v>46098</v>
      </c>
      <c r="D325" s="27">
        <v>3319</v>
      </c>
      <c r="E325" s="32">
        <v>327</v>
      </c>
      <c r="F325" s="27">
        <v>2</v>
      </c>
      <c r="G325" s="28">
        <v>2</v>
      </c>
      <c r="H325" s="28">
        <v>81778</v>
      </c>
      <c r="I325" s="28" t="s">
        <v>17</v>
      </c>
      <c r="J325" s="28">
        <v>12072572</v>
      </c>
      <c r="K325" s="38" t="s">
        <v>2015</v>
      </c>
      <c r="L325" t="s">
        <v>2025</v>
      </c>
      <c r="M325" s="37">
        <v>319900</v>
      </c>
      <c r="N325" s="30">
        <v>0.9</v>
      </c>
      <c r="O325" s="33">
        <f t="shared" si="5"/>
        <v>31989.999999999993</v>
      </c>
      <c r="P325" s="28" t="s">
        <v>0</v>
      </c>
    </row>
    <row r="326" spans="1:16" x14ac:dyDescent="0.3">
      <c r="A326" s="32" t="s">
        <v>3213</v>
      </c>
      <c r="B326" s="40">
        <v>46093</v>
      </c>
      <c r="C326" s="40">
        <v>46098</v>
      </c>
      <c r="D326" s="27">
        <v>3319</v>
      </c>
      <c r="E326" s="32">
        <v>327</v>
      </c>
      <c r="F326" s="27">
        <v>2</v>
      </c>
      <c r="G326" s="28">
        <v>2</v>
      </c>
      <c r="H326" s="28">
        <v>81778</v>
      </c>
      <c r="I326" s="28" t="s">
        <v>17</v>
      </c>
      <c r="J326" s="28">
        <v>12072581</v>
      </c>
      <c r="K326" s="38" t="s">
        <v>2026</v>
      </c>
      <c r="L326" t="s">
        <v>2027</v>
      </c>
      <c r="M326" s="37">
        <v>299900</v>
      </c>
      <c r="N326" s="30">
        <v>0.9</v>
      </c>
      <c r="O326" s="33">
        <f t="shared" si="5"/>
        <v>29989.999999999993</v>
      </c>
      <c r="P326" s="28" t="s">
        <v>0</v>
      </c>
    </row>
    <row r="327" spans="1:16" x14ac:dyDescent="0.3">
      <c r="A327" s="32" t="s">
        <v>3213</v>
      </c>
      <c r="B327" s="40">
        <v>46093</v>
      </c>
      <c r="C327" s="40">
        <v>46098</v>
      </c>
      <c r="D327" s="27">
        <v>3319</v>
      </c>
      <c r="E327" s="32">
        <v>327</v>
      </c>
      <c r="F327" s="27">
        <v>2</v>
      </c>
      <c r="G327" s="28">
        <v>2</v>
      </c>
      <c r="H327" s="28">
        <v>81778</v>
      </c>
      <c r="I327" s="28" t="s">
        <v>17</v>
      </c>
      <c r="J327" s="28">
        <v>12072590</v>
      </c>
      <c r="K327" s="38" t="s">
        <v>2026</v>
      </c>
      <c r="L327" t="s">
        <v>2028</v>
      </c>
      <c r="M327" s="37">
        <v>299900</v>
      </c>
      <c r="N327" s="30">
        <v>0.9</v>
      </c>
      <c r="O327" s="33">
        <f t="shared" si="5"/>
        <v>29989.999999999993</v>
      </c>
      <c r="P327" s="28" t="s">
        <v>0</v>
      </c>
    </row>
    <row r="328" spans="1:16" x14ac:dyDescent="0.3">
      <c r="A328" s="32" t="s">
        <v>3213</v>
      </c>
      <c r="B328" s="40">
        <v>46093</v>
      </c>
      <c r="C328" s="40">
        <v>46098</v>
      </c>
      <c r="D328" s="27">
        <v>3319</v>
      </c>
      <c r="E328" s="32">
        <v>327</v>
      </c>
      <c r="F328" s="27">
        <v>2</v>
      </c>
      <c r="G328" s="28">
        <v>2</v>
      </c>
      <c r="H328" s="28">
        <v>81778</v>
      </c>
      <c r="I328" s="28" t="s">
        <v>17</v>
      </c>
      <c r="J328" s="28">
        <v>12072607</v>
      </c>
      <c r="K328" s="38" t="s">
        <v>2026</v>
      </c>
      <c r="L328" t="s">
        <v>2029</v>
      </c>
      <c r="M328" s="37">
        <v>299900</v>
      </c>
      <c r="N328" s="30">
        <v>0.9</v>
      </c>
      <c r="O328" s="33">
        <f t="shared" si="5"/>
        <v>29989.999999999993</v>
      </c>
      <c r="P328" s="28" t="s">
        <v>0</v>
      </c>
    </row>
    <row r="329" spans="1:16" x14ac:dyDescent="0.3">
      <c r="A329" s="32" t="s">
        <v>3213</v>
      </c>
      <c r="B329" s="40">
        <v>46093</v>
      </c>
      <c r="C329" s="40">
        <v>46098</v>
      </c>
      <c r="D329" s="27">
        <v>3319</v>
      </c>
      <c r="E329" s="32">
        <v>327</v>
      </c>
      <c r="F329" s="27">
        <v>2</v>
      </c>
      <c r="G329" s="28">
        <v>2</v>
      </c>
      <c r="H329" s="28">
        <v>81778</v>
      </c>
      <c r="I329" s="28" t="s">
        <v>17</v>
      </c>
      <c r="J329" s="28">
        <v>12072616</v>
      </c>
      <c r="K329" s="38" t="s">
        <v>2026</v>
      </c>
      <c r="L329" t="s">
        <v>2030</v>
      </c>
      <c r="M329" s="37">
        <v>299900</v>
      </c>
      <c r="N329" s="30">
        <v>0.9</v>
      </c>
      <c r="O329" s="33">
        <f t="shared" si="5"/>
        <v>29989.999999999993</v>
      </c>
      <c r="P329" s="28" t="s">
        <v>0</v>
      </c>
    </row>
    <row r="330" spans="1:16" x14ac:dyDescent="0.3">
      <c r="A330" s="32" t="s">
        <v>3213</v>
      </c>
      <c r="B330" s="40">
        <v>46093</v>
      </c>
      <c r="C330" s="40">
        <v>46098</v>
      </c>
      <c r="D330" s="27">
        <v>3319</v>
      </c>
      <c r="E330" s="32">
        <v>327</v>
      </c>
      <c r="F330" s="27">
        <v>2</v>
      </c>
      <c r="G330" s="28">
        <v>2</v>
      </c>
      <c r="H330" s="28">
        <v>81778</v>
      </c>
      <c r="I330" s="28" t="s">
        <v>17</v>
      </c>
      <c r="J330" s="28">
        <v>12072625</v>
      </c>
      <c r="K330" s="38" t="s">
        <v>2026</v>
      </c>
      <c r="L330" t="s">
        <v>2031</v>
      </c>
      <c r="M330" s="37">
        <v>299900</v>
      </c>
      <c r="N330" s="30">
        <v>0.9</v>
      </c>
      <c r="O330" s="33">
        <f t="shared" si="5"/>
        <v>29989.999999999993</v>
      </c>
      <c r="P330" s="28" t="s">
        <v>0</v>
      </c>
    </row>
    <row r="331" spans="1:16" x14ac:dyDescent="0.3">
      <c r="A331" s="32" t="s">
        <v>3213</v>
      </c>
      <c r="B331" s="40">
        <v>46093</v>
      </c>
      <c r="C331" s="40">
        <v>46098</v>
      </c>
      <c r="D331" s="27">
        <v>3319</v>
      </c>
      <c r="E331" s="32">
        <v>327</v>
      </c>
      <c r="F331" s="27">
        <v>2</v>
      </c>
      <c r="G331" s="28">
        <v>2</v>
      </c>
      <c r="H331" s="28">
        <v>81778</v>
      </c>
      <c r="I331" s="28" t="s">
        <v>17</v>
      </c>
      <c r="J331" s="28">
        <v>12072634</v>
      </c>
      <c r="K331" s="38" t="s">
        <v>2026</v>
      </c>
      <c r="L331" t="s">
        <v>2032</v>
      </c>
      <c r="M331" s="37">
        <v>299900</v>
      </c>
      <c r="N331" s="30">
        <v>0.9</v>
      </c>
      <c r="O331" s="33">
        <f t="shared" si="5"/>
        <v>29989.999999999993</v>
      </c>
      <c r="P331" s="28" t="s">
        <v>0</v>
      </c>
    </row>
    <row r="332" spans="1:16" x14ac:dyDescent="0.3">
      <c r="A332" s="32" t="s">
        <v>3213</v>
      </c>
      <c r="B332" s="40">
        <v>46093</v>
      </c>
      <c r="C332" s="40">
        <v>46098</v>
      </c>
      <c r="D332" s="27">
        <v>3319</v>
      </c>
      <c r="E332" s="32">
        <v>327</v>
      </c>
      <c r="F332" s="27">
        <v>2</v>
      </c>
      <c r="G332" s="28">
        <v>2</v>
      </c>
      <c r="H332" s="28">
        <v>81778</v>
      </c>
      <c r="I332" s="28" t="s">
        <v>17</v>
      </c>
      <c r="J332" s="28">
        <v>12072643</v>
      </c>
      <c r="K332" s="38" t="s">
        <v>2026</v>
      </c>
      <c r="L332" t="s">
        <v>2033</v>
      </c>
      <c r="M332" s="37">
        <v>299900</v>
      </c>
      <c r="N332" s="30">
        <v>0.9</v>
      </c>
      <c r="O332" s="33">
        <f t="shared" si="5"/>
        <v>29989.999999999993</v>
      </c>
      <c r="P332" s="28" t="s">
        <v>0</v>
      </c>
    </row>
    <row r="333" spans="1:16" x14ac:dyDescent="0.3">
      <c r="A333" s="32" t="s">
        <v>3213</v>
      </c>
      <c r="B333" s="40">
        <v>46093</v>
      </c>
      <c r="C333" s="40">
        <v>46098</v>
      </c>
      <c r="D333" s="27">
        <v>3319</v>
      </c>
      <c r="E333" s="32">
        <v>327</v>
      </c>
      <c r="F333" s="27">
        <v>2</v>
      </c>
      <c r="G333" s="28">
        <v>2</v>
      </c>
      <c r="H333" s="28">
        <v>81778</v>
      </c>
      <c r="I333" s="28" t="s">
        <v>17</v>
      </c>
      <c r="J333" s="28">
        <v>12072652</v>
      </c>
      <c r="K333" s="38" t="s">
        <v>2026</v>
      </c>
      <c r="L333" t="s">
        <v>2034</v>
      </c>
      <c r="M333" s="37">
        <v>299900</v>
      </c>
      <c r="N333" s="30">
        <v>0.9</v>
      </c>
      <c r="O333" s="33">
        <f t="shared" si="5"/>
        <v>29989.999999999993</v>
      </c>
      <c r="P333" s="28" t="s">
        <v>0</v>
      </c>
    </row>
    <row r="334" spans="1:16" x14ac:dyDescent="0.3">
      <c r="A334" s="32" t="s">
        <v>3213</v>
      </c>
      <c r="B334" s="40">
        <v>46093</v>
      </c>
      <c r="C334" s="40">
        <v>46098</v>
      </c>
      <c r="D334" s="27">
        <v>3319</v>
      </c>
      <c r="E334" s="32">
        <v>327</v>
      </c>
      <c r="F334" s="27">
        <v>2</v>
      </c>
      <c r="G334" s="28">
        <v>2</v>
      </c>
      <c r="H334" s="28">
        <v>81778</v>
      </c>
      <c r="I334" s="28" t="s">
        <v>17</v>
      </c>
      <c r="J334" s="28">
        <v>12072661</v>
      </c>
      <c r="K334" s="38" t="s">
        <v>2026</v>
      </c>
      <c r="L334" t="s">
        <v>2035</v>
      </c>
      <c r="M334" s="37">
        <v>299900</v>
      </c>
      <c r="N334" s="30">
        <v>0.9</v>
      </c>
      <c r="O334" s="33">
        <f t="shared" si="5"/>
        <v>29989.999999999993</v>
      </c>
      <c r="P334" s="28" t="s">
        <v>0</v>
      </c>
    </row>
    <row r="335" spans="1:16" x14ac:dyDescent="0.3">
      <c r="A335" s="32" t="s">
        <v>3213</v>
      </c>
      <c r="B335" s="40">
        <v>46093</v>
      </c>
      <c r="C335" s="40">
        <v>46098</v>
      </c>
      <c r="D335" s="27">
        <v>3319</v>
      </c>
      <c r="E335" s="32">
        <v>327</v>
      </c>
      <c r="F335" s="27">
        <v>2</v>
      </c>
      <c r="G335" s="28">
        <v>2</v>
      </c>
      <c r="H335" s="28">
        <v>81778</v>
      </c>
      <c r="I335" s="28" t="s">
        <v>17</v>
      </c>
      <c r="J335" s="28">
        <v>12072670</v>
      </c>
      <c r="K335" s="38" t="s">
        <v>2026</v>
      </c>
      <c r="L335" t="s">
        <v>2036</v>
      </c>
      <c r="M335" s="37">
        <v>299900</v>
      </c>
      <c r="N335" s="30">
        <v>0.9</v>
      </c>
      <c r="O335" s="33">
        <f t="shared" si="5"/>
        <v>29989.999999999993</v>
      </c>
      <c r="P335" s="28" t="s">
        <v>0</v>
      </c>
    </row>
    <row r="336" spans="1:16" x14ac:dyDescent="0.3">
      <c r="A336" s="32" t="s">
        <v>3213</v>
      </c>
      <c r="B336" s="40">
        <v>46093</v>
      </c>
      <c r="C336" s="40">
        <v>46098</v>
      </c>
      <c r="D336" s="27">
        <v>3319</v>
      </c>
      <c r="E336" s="32">
        <v>327</v>
      </c>
      <c r="F336" s="27">
        <v>2</v>
      </c>
      <c r="G336" s="28">
        <v>2</v>
      </c>
      <c r="H336" s="28">
        <v>81778</v>
      </c>
      <c r="I336" s="28" t="s">
        <v>17</v>
      </c>
      <c r="J336" s="28">
        <v>12072330</v>
      </c>
      <c r="K336" s="38" t="s">
        <v>2009</v>
      </c>
      <c r="L336" t="s">
        <v>2010</v>
      </c>
      <c r="M336" s="37">
        <v>259900</v>
      </c>
      <c r="N336" s="30">
        <v>0.9</v>
      </c>
      <c r="O336" s="33">
        <f t="shared" si="5"/>
        <v>25989.999999999993</v>
      </c>
      <c r="P336" s="28" t="s">
        <v>0</v>
      </c>
    </row>
    <row r="337" spans="1:16" x14ac:dyDescent="0.3">
      <c r="A337" s="32" t="s">
        <v>3213</v>
      </c>
      <c r="B337" s="40">
        <v>46093</v>
      </c>
      <c r="C337" s="40">
        <v>46098</v>
      </c>
      <c r="D337" s="27">
        <v>3319</v>
      </c>
      <c r="E337" s="32">
        <v>327</v>
      </c>
      <c r="F337" s="27">
        <v>2</v>
      </c>
      <c r="G337" s="28">
        <v>2</v>
      </c>
      <c r="H337" s="28">
        <v>81778</v>
      </c>
      <c r="I337" s="28" t="s">
        <v>17</v>
      </c>
      <c r="J337" s="28">
        <v>12072349</v>
      </c>
      <c r="K337" s="38" t="s">
        <v>2009</v>
      </c>
      <c r="L337" t="s">
        <v>2011</v>
      </c>
      <c r="M337" s="37">
        <v>259900</v>
      </c>
      <c r="N337" s="30">
        <v>0.9</v>
      </c>
      <c r="O337" s="33">
        <f t="shared" si="5"/>
        <v>25989.999999999993</v>
      </c>
      <c r="P337" s="28" t="s">
        <v>0</v>
      </c>
    </row>
    <row r="338" spans="1:16" x14ac:dyDescent="0.3">
      <c r="A338" s="32" t="s">
        <v>3213</v>
      </c>
      <c r="B338" s="40">
        <v>46093</v>
      </c>
      <c r="C338" s="40">
        <v>46098</v>
      </c>
      <c r="D338" s="27">
        <v>3319</v>
      </c>
      <c r="E338" s="32">
        <v>327</v>
      </c>
      <c r="F338" s="27">
        <v>2</v>
      </c>
      <c r="G338" s="28">
        <v>2</v>
      </c>
      <c r="H338" s="28">
        <v>81778</v>
      </c>
      <c r="I338" s="28" t="s">
        <v>17</v>
      </c>
      <c r="J338" s="28">
        <v>12072358</v>
      </c>
      <c r="K338" s="38" t="s">
        <v>2009</v>
      </c>
      <c r="L338" t="s">
        <v>2012</v>
      </c>
      <c r="M338" s="37">
        <v>259900</v>
      </c>
      <c r="N338" s="30">
        <v>0.9</v>
      </c>
      <c r="O338" s="33">
        <f t="shared" si="5"/>
        <v>25989.999999999993</v>
      </c>
      <c r="P338" s="28" t="s">
        <v>0</v>
      </c>
    </row>
    <row r="339" spans="1:16" x14ac:dyDescent="0.3">
      <c r="A339" s="32" t="s">
        <v>3213</v>
      </c>
      <c r="B339" s="40">
        <v>46093</v>
      </c>
      <c r="C339" s="40">
        <v>46098</v>
      </c>
      <c r="D339" s="27">
        <v>3319</v>
      </c>
      <c r="E339" s="32">
        <v>327</v>
      </c>
      <c r="F339" s="27">
        <v>2</v>
      </c>
      <c r="G339" s="28">
        <v>2</v>
      </c>
      <c r="H339" s="28">
        <v>81778</v>
      </c>
      <c r="I339" s="28" t="s">
        <v>17</v>
      </c>
      <c r="J339" s="28">
        <v>12072367</v>
      </c>
      <c r="K339" s="38" t="s">
        <v>2009</v>
      </c>
      <c r="L339" t="s">
        <v>2013</v>
      </c>
      <c r="M339" s="37">
        <v>259900</v>
      </c>
      <c r="N339" s="30">
        <v>0.9</v>
      </c>
      <c r="O339" s="33">
        <f t="shared" si="5"/>
        <v>25989.999999999993</v>
      </c>
      <c r="P339" s="28" t="s">
        <v>0</v>
      </c>
    </row>
    <row r="340" spans="1:16" x14ac:dyDescent="0.3">
      <c r="A340" s="32" t="s">
        <v>3213</v>
      </c>
      <c r="B340" s="40">
        <v>46093</v>
      </c>
      <c r="C340" s="40">
        <v>46098</v>
      </c>
      <c r="D340" s="27">
        <v>3319</v>
      </c>
      <c r="E340" s="32">
        <v>327</v>
      </c>
      <c r="F340" s="27">
        <v>2</v>
      </c>
      <c r="G340" s="28">
        <v>2</v>
      </c>
      <c r="H340" s="28">
        <v>81778</v>
      </c>
      <c r="I340" s="28" t="s">
        <v>17</v>
      </c>
      <c r="J340" s="28">
        <v>12072376</v>
      </c>
      <c r="K340" s="38" t="s">
        <v>2009</v>
      </c>
      <c r="L340" t="s">
        <v>2014</v>
      </c>
      <c r="M340" s="37">
        <v>259900</v>
      </c>
      <c r="N340" s="30">
        <v>0.9</v>
      </c>
      <c r="O340" s="33">
        <f t="shared" ref="O340:O403" si="6">M340*(1-N340)</f>
        <v>25989.999999999993</v>
      </c>
      <c r="P340" s="28" t="s">
        <v>0</v>
      </c>
    </row>
    <row r="341" spans="1:16" x14ac:dyDescent="0.3">
      <c r="A341" s="32" t="s">
        <v>3213</v>
      </c>
      <c r="B341" s="40">
        <v>46093</v>
      </c>
      <c r="C341" s="40">
        <v>46098</v>
      </c>
      <c r="D341" s="27">
        <v>3319</v>
      </c>
      <c r="E341" s="32">
        <v>327</v>
      </c>
      <c r="F341" s="25">
        <v>2</v>
      </c>
      <c r="G341" s="28">
        <v>2</v>
      </c>
      <c r="H341" s="28">
        <v>81778</v>
      </c>
      <c r="I341" s="28" t="s">
        <v>17</v>
      </c>
      <c r="J341" s="28">
        <v>82228782</v>
      </c>
      <c r="K341" s="38" t="s">
        <v>1718</v>
      </c>
      <c r="L341" t="s">
        <v>1719</v>
      </c>
      <c r="M341" s="39">
        <v>259900</v>
      </c>
      <c r="N341" s="30">
        <v>0.9</v>
      </c>
      <c r="O341" s="33">
        <f t="shared" si="6"/>
        <v>25989.999999999993</v>
      </c>
      <c r="P341" s="28" t="s">
        <v>0</v>
      </c>
    </row>
    <row r="342" spans="1:16" x14ac:dyDescent="0.3">
      <c r="A342" s="32" t="s">
        <v>3213</v>
      </c>
      <c r="B342" s="40">
        <v>46093</v>
      </c>
      <c r="C342" s="40">
        <v>46098</v>
      </c>
      <c r="D342" s="27">
        <v>3319</v>
      </c>
      <c r="E342" s="32">
        <v>327</v>
      </c>
      <c r="F342" s="25">
        <v>2</v>
      </c>
      <c r="G342" s="28">
        <v>2</v>
      </c>
      <c r="H342" s="28">
        <v>81778</v>
      </c>
      <c r="I342" s="28" t="s">
        <v>17</v>
      </c>
      <c r="J342" s="28">
        <v>82228791</v>
      </c>
      <c r="K342" s="38" t="s">
        <v>1718</v>
      </c>
      <c r="L342" t="s">
        <v>1720</v>
      </c>
      <c r="M342" s="39">
        <v>259900</v>
      </c>
      <c r="N342" s="30">
        <v>0.9</v>
      </c>
      <c r="O342" s="33">
        <f t="shared" si="6"/>
        <v>25989.999999999993</v>
      </c>
      <c r="P342" s="28" t="s">
        <v>0</v>
      </c>
    </row>
    <row r="343" spans="1:16" x14ac:dyDescent="0.3">
      <c r="A343" s="32" t="s">
        <v>3213</v>
      </c>
      <c r="B343" s="40">
        <v>46093</v>
      </c>
      <c r="C343" s="40">
        <v>46098</v>
      </c>
      <c r="D343" s="27">
        <v>3319</v>
      </c>
      <c r="E343" s="32">
        <v>327</v>
      </c>
      <c r="F343" s="25">
        <v>2</v>
      </c>
      <c r="G343" s="28">
        <v>2</v>
      </c>
      <c r="H343" s="28">
        <v>81778</v>
      </c>
      <c r="I343" s="28" t="s">
        <v>17</v>
      </c>
      <c r="J343" s="28">
        <v>82228808</v>
      </c>
      <c r="K343" s="38" t="s">
        <v>1718</v>
      </c>
      <c r="L343" t="s">
        <v>1721</v>
      </c>
      <c r="M343" s="39">
        <v>259900</v>
      </c>
      <c r="N343" s="30">
        <v>0.9</v>
      </c>
      <c r="O343" s="33">
        <f t="shared" si="6"/>
        <v>25989.999999999993</v>
      </c>
      <c r="P343" s="28" t="s">
        <v>0</v>
      </c>
    </row>
    <row r="344" spans="1:16" x14ac:dyDescent="0.3">
      <c r="A344" s="32" t="s">
        <v>3213</v>
      </c>
      <c r="B344" s="40">
        <v>46093</v>
      </c>
      <c r="C344" s="40">
        <v>46098</v>
      </c>
      <c r="D344" s="27">
        <v>3319</v>
      </c>
      <c r="E344" s="32">
        <v>327</v>
      </c>
      <c r="F344" s="25">
        <v>2</v>
      </c>
      <c r="G344" s="28">
        <v>2</v>
      </c>
      <c r="H344" s="28">
        <v>81778</v>
      </c>
      <c r="I344" s="28" t="s">
        <v>17</v>
      </c>
      <c r="J344" s="28">
        <v>82228817</v>
      </c>
      <c r="K344" s="38" t="s">
        <v>1718</v>
      </c>
      <c r="L344" t="s">
        <v>1722</v>
      </c>
      <c r="M344" s="39">
        <v>259900</v>
      </c>
      <c r="N344" s="30">
        <v>0.9</v>
      </c>
      <c r="O344" s="33">
        <f t="shared" si="6"/>
        <v>25989.999999999993</v>
      </c>
      <c r="P344" s="28" t="s">
        <v>0</v>
      </c>
    </row>
    <row r="345" spans="1:16" x14ac:dyDescent="0.3">
      <c r="A345" s="32" t="s">
        <v>3213</v>
      </c>
      <c r="B345" s="40">
        <v>46093</v>
      </c>
      <c r="C345" s="40">
        <v>46098</v>
      </c>
      <c r="D345" s="27">
        <v>3319</v>
      </c>
      <c r="E345" s="32">
        <v>327</v>
      </c>
      <c r="F345" s="25">
        <v>2</v>
      </c>
      <c r="G345" s="28">
        <v>2</v>
      </c>
      <c r="H345" s="28">
        <v>81778</v>
      </c>
      <c r="I345" s="28" t="s">
        <v>17</v>
      </c>
      <c r="J345" s="28">
        <v>82228826</v>
      </c>
      <c r="K345" s="38" t="s">
        <v>1718</v>
      </c>
      <c r="L345" t="s">
        <v>1723</v>
      </c>
      <c r="M345" s="39">
        <v>259900</v>
      </c>
      <c r="N345" s="30">
        <v>0.9</v>
      </c>
      <c r="O345" s="33">
        <f t="shared" si="6"/>
        <v>25989.999999999993</v>
      </c>
      <c r="P345" s="28" t="s">
        <v>0</v>
      </c>
    </row>
    <row r="346" spans="1:16" x14ac:dyDescent="0.3">
      <c r="A346" s="32" t="s">
        <v>3213</v>
      </c>
      <c r="B346" s="40">
        <v>46093</v>
      </c>
      <c r="C346" s="40">
        <v>46098</v>
      </c>
      <c r="D346" s="27">
        <v>3319</v>
      </c>
      <c r="E346" s="32">
        <v>327</v>
      </c>
      <c r="F346" s="25">
        <v>2</v>
      </c>
      <c r="G346" s="28">
        <v>2</v>
      </c>
      <c r="H346" s="28">
        <v>81778</v>
      </c>
      <c r="I346" s="28" t="s">
        <v>17</v>
      </c>
      <c r="J346" s="28">
        <v>82228835</v>
      </c>
      <c r="K346" s="38" t="s">
        <v>1718</v>
      </c>
      <c r="L346" t="s">
        <v>1724</v>
      </c>
      <c r="M346" s="39">
        <v>259900</v>
      </c>
      <c r="N346" s="30">
        <v>0.9</v>
      </c>
      <c r="O346" s="33">
        <f t="shared" si="6"/>
        <v>25989.999999999993</v>
      </c>
      <c r="P346" s="28" t="s">
        <v>0</v>
      </c>
    </row>
    <row r="347" spans="1:16" x14ac:dyDescent="0.3">
      <c r="A347" s="32" t="s">
        <v>3213</v>
      </c>
      <c r="B347" s="40">
        <v>46093</v>
      </c>
      <c r="C347" s="40">
        <v>46098</v>
      </c>
      <c r="D347" s="27">
        <v>3319</v>
      </c>
      <c r="E347" s="32">
        <v>327</v>
      </c>
      <c r="F347" s="25">
        <v>2</v>
      </c>
      <c r="G347" s="28">
        <v>2</v>
      </c>
      <c r="H347" s="28">
        <v>81778</v>
      </c>
      <c r="I347" s="28" t="s">
        <v>17</v>
      </c>
      <c r="J347" s="28">
        <v>82228844</v>
      </c>
      <c r="K347" s="38" t="s">
        <v>1718</v>
      </c>
      <c r="L347" t="s">
        <v>1725</v>
      </c>
      <c r="M347" s="39">
        <v>259900</v>
      </c>
      <c r="N347" s="30">
        <v>0.9</v>
      </c>
      <c r="O347" s="33">
        <f t="shared" si="6"/>
        <v>25989.999999999993</v>
      </c>
      <c r="P347" s="28" t="s">
        <v>0</v>
      </c>
    </row>
    <row r="348" spans="1:16" x14ac:dyDescent="0.3">
      <c r="A348" s="32" t="s">
        <v>3213</v>
      </c>
      <c r="B348" s="40">
        <v>46093</v>
      </c>
      <c r="C348" s="40">
        <v>46098</v>
      </c>
      <c r="D348" s="27">
        <v>3319</v>
      </c>
      <c r="E348" s="32">
        <v>327</v>
      </c>
      <c r="F348" s="25">
        <v>2</v>
      </c>
      <c r="G348" s="28">
        <v>2</v>
      </c>
      <c r="H348" s="28">
        <v>81778</v>
      </c>
      <c r="I348" s="28" t="s">
        <v>17</v>
      </c>
      <c r="J348" s="28">
        <v>82228853</v>
      </c>
      <c r="K348" s="38" t="s">
        <v>1718</v>
      </c>
      <c r="L348" t="s">
        <v>1726</v>
      </c>
      <c r="M348" s="39">
        <v>259900</v>
      </c>
      <c r="N348" s="30">
        <v>0.9</v>
      </c>
      <c r="O348" s="33">
        <f t="shared" si="6"/>
        <v>25989.999999999993</v>
      </c>
      <c r="P348" s="28" t="s">
        <v>0</v>
      </c>
    </row>
    <row r="349" spans="1:16" x14ac:dyDescent="0.3">
      <c r="A349" s="32" t="s">
        <v>3213</v>
      </c>
      <c r="B349" s="40">
        <v>46093</v>
      </c>
      <c r="C349" s="40">
        <v>46098</v>
      </c>
      <c r="D349" s="27">
        <v>3319</v>
      </c>
      <c r="E349" s="32">
        <v>327</v>
      </c>
      <c r="F349" s="25">
        <v>2</v>
      </c>
      <c r="G349" s="28">
        <v>2</v>
      </c>
      <c r="H349" s="28">
        <v>81778</v>
      </c>
      <c r="I349" s="28" t="s">
        <v>17</v>
      </c>
      <c r="J349" s="28">
        <v>82228862</v>
      </c>
      <c r="K349" s="38" t="s">
        <v>1718</v>
      </c>
      <c r="L349" t="s">
        <v>1727</v>
      </c>
      <c r="M349" s="39">
        <v>259900</v>
      </c>
      <c r="N349" s="30">
        <v>0.9</v>
      </c>
      <c r="O349" s="33">
        <f t="shared" si="6"/>
        <v>25989.999999999993</v>
      </c>
      <c r="P349" s="28" t="s">
        <v>0</v>
      </c>
    </row>
    <row r="350" spans="1:16" x14ac:dyDescent="0.3">
      <c r="A350" s="32" t="s">
        <v>3213</v>
      </c>
      <c r="B350" s="40">
        <v>46093</v>
      </c>
      <c r="C350" s="40">
        <v>46098</v>
      </c>
      <c r="D350" s="27">
        <v>3319</v>
      </c>
      <c r="E350" s="32">
        <v>327</v>
      </c>
      <c r="F350" s="25">
        <v>2</v>
      </c>
      <c r="G350" s="28">
        <v>2</v>
      </c>
      <c r="H350" s="28">
        <v>81778</v>
      </c>
      <c r="I350" s="28" t="s">
        <v>17</v>
      </c>
      <c r="J350" s="28">
        <v>82228871</v>
      </c>
      <c r="K350" s="38" t="s">
        <v>1718</v>
      </c>
      <c r="L350" t="s">
        <v>1728</v>
      </c>
      <c r="M350" s="39">
        <v>259900</v>
      </c>
      <c r="N350" s="30">
        <v>0.9</v>
      </c>
      <c r="O350" s="33">
        <f t="shared" si="6"/>
        <v>25989.999999999993</v>
      </c>
      <c r="P350" s="28" t="s">
        <v>0</v>
      </c>
    </row>
    <row r="351" spans="1:16" x14ac:dyDescent="0.3">
      <c r="A351" s="32" t="s">
        <v>3213</v>
      </c>
      <c r="B351" s="40">
        <v>46093</v>
      </c>
      <c r="C351" s="40">
        <v>46098</v>
      </c>
      <c r="D351" s="27">
        <v>3319</v>
      </c>
      <c r="E351" s="32">
        <v>327</v>
      </c>
      <c r="F351" s="25">
        <v>2</v>
      </c>
      <c r="G351" s="28">
        <v>2</v>
      </c>
      <c r="H351" s="28">
        <v>81778</v>
      </c>
      <c r="I351" s="28" t="s">
        <v>17</v>
      </c>
      <c r="J351" s="28">
        <v>81268295</v>
      </c>
      <c r="K351" s="38" t="s">
        <v>1762</v>
      </c>
      <c r="L351" t="s">
        <v>1763</v>
      </c>
      <c r="M351" s="39">
        <v>339900</v>
      </c>
      <c r="N351" s="30">
        <v>0.9</v>
      </c>
      <c r="O351" s="33">
        <f t="shared" si="6"/>
        <v>33989.999999999993</v>
      </c>
      <c r="P351" s="28" t="s">
        <v>0</v>
      </c>
    </row>
    <row r="352" spans="1:16" x14ac:dyDescent="0.3">
      <c r="A352" s="32" t="s">
        <v>3213</v>
      </c>
      <c r="B352" s="40">
        <v>46093</v>
      </c>
      <c r="C352" s="40">
        <v>46098</v>
      </c>
      <c r="D352" s="27">
        <v>3319</v>
      </c>
      <c r="E352" s="32">
        <v>327</v>
      </c>
      <c r="F352" s="25">
        <v>2</v>
      </c>
      <c r="G352" s="28">
        <v>2</v>
      </c>
      <c r="H352" s="28">
        <v>81778</v>
      </c>
      <c r="I352" s="28" t="s">
        <v>17</v>
      </c>
      <c r="J352" s="28">
        <v>81268302</v>
      </c>
      <c r="K352" s="38" t="s">
        <v>1762</v>
      </c>
      <c r="L352" t="s">
        <v>1764</v>
      </c>
      <c r="M352" s="39">
        <v>339900</v>
      </c>
      <c r="N352" s="30">
        <v>0.9</v>
      </c>
      <c r="O352" s="33">
        <f t="shared" si="6"/>
        <v>33989.999999999993</v>
      </c>
      <c r="P352" s="28" t="s">
        <v>0</v>
      </c>
    </row>
    <row r="353" spans="1:16" x14ac:dyDescent="0.3">
      <c r="A353" s="32" t="s">
        <v>3213</v>
      </c>
      <c r="B353" s="40">
        <v>46093</v>
      </c>
      <c r="C353" s="40">
        <v>46098</v>
      </c>
      <c r="D353" s="27">
        <v>3319</v>
      </c>
      <c r="E353" s="32">
        <v>327</v>
      </c>
      <c r="F353" s="25">
        <v>2</v>
      </c>
      <c r="G353" s="28">
        <v>2</v>
      </c>
      <c r="H353" s="28">
        <v>81778</v>
      </c>
      <c r="I353" s="28" t="s">
        <v>17</v>
      </c>
      <c r="J353" s="28">
        <v>81268311</v>
      </c>
      <c r="K353" s="38" t="s">
        <v>1762</v>
      </c>
      <c r="L353" t="s">
        <v>1765</v>
      </c>
      <c r="M353" s="39">
        <v>339900</v>
      </c>
      <c r="N353" s="30">
        <v>0.9</v>
      </c>
      <c r="O353" s="33">
        <f t="shared" si="6"/>
        <v>33989.999999999993</v>
      </c>
      <c r="P353" s="28" t="s">
        <v>0</v>
      </c>
    </row>
    <row r="354" spans="1:16" x14ac:dyDescent="0.3">
      <c r="A354" s="32" t="s">
        <v>3213</v>
      </c>
      <c r="B354" s="40">
        <v>46093</v>
      </c>
      <c r="C354" s="40">
        <v>46098</v>
      </c>
      <c r="D354" s="27">
        <v>3319</v>
      </c>
      <c r="E354" s="32">
        <v>327</v>
      </c>
      <c r="F354" s="25">
        <v>2</v>
      </c>
      <c r="G354" s="28">
        <v>2</v>
      </c>
      <c r="H354" s="28">
        <v>81778</v>
      </c>
      <c r="I354" s="28" t="s">
        <v>17</v>
      </c>
      <c r="J354" s="28">
        <v>81268320</v>
      </c>
      <c r="K354" s="38" t="s">
        <v>1762</v>
      </c>
      <c r="L354" t="s">
        <v>1766</v>
      </c>
      <c r="M354" s="39">
        <v>339900</v>
      </c>
      <c r="N354" s="30">
        <v>0.9</v>
      </c>
      <c r="O354" s="33">
        <f t="shared" si="6"/>
        <v>33989.999999999993</v>
      </c>
      <c r="P354" s="28" t="s">
        <v>0</v>
      </c>
    </row>
    <row r="355" spans="1:16" x14ac:dyDescent="0.3">
      <c r="A355" s="32" t="s">
        <v>3213</v>
      </c>
      <c r="B355" s="40">
        <v>46093</v>
      </c>
      <c r="C355" s="40">
        <v>46098</v>
      </c>
      <c r="D355" s="27">
        <v>3319</v>
      </c>
      <c r="E355" s="32">
        <v>327</v>
      </c>
      <c r="F355" s="25">
        <v>2</v>
      </c>
      <c r="G355" s="28">
        <v>2</v>
      </c>
      <c r="H355" s="28">
        <v>81778</v>
      </c>
      <c r="I355" s="28" t="s">
        <v>17</v>
      </c>
      <c r="J355" s="28">
        <v>81268339</v>
      </c>
      <c r="K355" s="38" t="s">
        <v>1762</v>
      </c>
      <c r="L355" t="s">
        <v>1767</v>
      </c>
      <c r="M355" s="39">
        <v>339900</v>
      </c>
      <c r="N355" s="30">
        <v>0.9</v>
      </c>
      <c r="O355" s="33">
        <f t="shared" si="6"/>
        <v>33989.999999999993</v>
      </c>
      <c r="P355" s="28" t="s">
        <v>0</v>
      </c>
    </row>
    <row r="356" spans="1:16" x14ac:dyDescent="0.3">
      <c r="A356" s="32" t="s">
        <v>3213</v>
      </c>
      <c r="B356" s="40">
        <v>46093</v>
      </c>
      <c r="C356" s="40">
        <v>46098</v>
      </c>
      <c r="D356" s="27">
        <v>3319</v>
      </c>
      <c r="E356" s="32">
        <v>327</v>
      </c>
      <c r="F356" s="25">
        <v>2</v>
      </c>
      <c r="G356" s="28">
        <v>1</v>
      </c>
      <c r="H356" s="28">
        <v>81778</v>
      </c>
      <c r="I356" s="28" t="s">
        <v>17</v>
      </c>
      <c r="J356" s="28">
        <v>82228282</v>
      </c>
      <c r="K356" s="38" t="s">
        <v>1614</v>
      </c>
      <c r="L356" t="s">
        <v>1615</v>
      </c>
      <c r="M356" s="39">
        <v>199900</v>
      </c>
      <c r="N356" s="30">
        <v>0.9</v>
      </c>
      <c r="O356" s="33">
        <f t="shared" si="6"/>
        <v>19989.999999999996</v>
      </c>
      <c r="P356" s="28" t="s">
        <v>0</v>
      </c>
    </row>
    <row r="357" spans="1:16" x14ac:dyDescent="0.3">
      <c r="A357" s="32" t="s">
        <v>3213</v>
      </c>
      <c r="B357" s="40">
        <v>46093</v>
      </c>
      <c r="C357" s="40">
        <v>46098</v>
      </c>
      <c r="D357" s="27">
        <v>3319</v>
      </c>
      <c r="E357" s="32">
        <v>327</v>
      </c>
      <c r="F357" s="25">
        <v>2</v>
      </c>
      <c r="G357" s="28">
        <v>1</v>
      </c>
      <c r="H357" s="28">
        <v>81778</v>
      </c>
      <c r="I357" s="28" t="s">
        <v>17</v>
      </c>
      <c r="J357" s="28">
        <v>82228291</v>
      </c>
      <c r="K357" s="38" t="s">
        <v>1614</v>
      </c>
      <c r="L357" t="s">
        <v>1616</v>
      </c>
      <c r="M357" s="39">
        <v>199900</v>
      </c>
      <c r="N357" s="30">
        <v>0.9</v>
      </c>
      <c r="O357" s="33">
        <f t="shared" si="6"/>
        <v>19989.999999999996</v>
      </c>
      <c r="P357" s="28" t="s">
        <v>0</v>
      </c>
    </row>
    <row r="358" spans="1:16" x14ac:dyDescent="0.3">
      <c r="A358" s="32" t="s">
        <v>3213</v>
      </c>
      <c r="B358" s="40">
        <v>46093</v>
      </c>
      <c r="C358" s="40">
        <v>46098</v>
      </c>
      <c r="D358" s="27">
        <v>3319</v>
      </c>
      <c r="E358" s="32">
        <v>327</v>
      </c>
      <c r="F358" s="25">
        <v>2</v>
      </c>
      <c r="G358" s="28">
        <v>1</v>
      </c>
      <c r="H358" s="28">
        <v>81778</v>
      </c>
      <c r="I358" s="28" t="s">
        <v>17</v>
      </c>
      <c r="J358" s="28">
        <v>82228308</v>
      </c>
      <c r="K358" s="38" t="s">
        <v>1614</v>
      </c>
      <c r="L358" t="s">
        <v>1617</v>
      </c>
      <c r="M358" s="39">
        <v>199900</v>
      </c>
      <c r="N358" s="30">
        <v>0.9</v>
      </c>
      <c r="O358" s="33">
        <f t="shared" si="6"/>
        <v>19989.999999999996</v>
      </c>
      <c r="P358" s="28" t="s">
        <v>0</v>
      </c>
    </row>
    <row r="359" spans="1:16" x14ac:dyDescent="0.3">
      <c r="A359" s="32" t="s">
        <v>3213</v>
      </c>
      <c r="B359" s="40">
        <v>46093</v>
      </c>
      <c r="C359" s="40">
        <v>46098</v>
      </c>
      <c r="D359" s="27">
        <v>3319</v>
      </c>
      <c r="E359" s="32">
        <v>327</v>
      </c>
      <c r="F359" s="25">
        <v>2</v>
      </c>
      <c r="G359" s="28">
        <v>1</v>
      </c>
      <c r="H359" s="28">
        <v>81778</v>
      </c>
      <c r="I359" s="28" t="s">
        <v>17</v>
      </c>
      <c r="J359" s="28">
        <v>82228317</v>
      </c>
      <c r="K359" s="38" t="s">
        <v>1614</v>
      </c>
      <c r="L359" t="s">
        <v>1618</v>
      </c>
      <c r="M359" s="39">
        <v>199900</v>
      </c>
      <c r="N359" s="30">
        <v>0.9</v>
      </c>
      <c r="O359" s="33">
        <f t="shared" si="6"/>
        <v>19989.999999999996</v>
      </c>
      <c r="P359" s="28" t="s">
        <v>0</v>
      </c>
    </row>
    <row r="360" spans="1:16" x14ac:dyDescent="0.3">
      <c r="A360" s="32" t="s">
        <v>3213</v>
      </c>
      <c r="B360" s="40">
        <v>46093</v>
      </c>
      <c r="C360" s="40">
        <v>46098</v>
      </c>
      <c r="D360" s="27">
        <v>3319</v>
      </c>
      <c r="E360" s="32">
        <v>327</v>
      </c>
      <c r="F360" s="25">
        <v>2</v>
      </c>
      <c r="G360" s="28">
        <v>1</v>
      </c>
      <c r="H360" s="28">
        <v>81778</v>
      </c>
      <c r="I360" s="28" t="s">
        <v>17</v>
      </c>
      <c r="J360" s="28">
        <v>82228326</v>
      </c>
      <c r="K360" s="38" t="s">
        <v>1614</v>
      </c>
      <c r="L360" t="s">
        <v>1619</v>
      </c>
      <c r="M360" s="39">
        <v>199900</v>
      </c>
      <c r="N360" s="30">
        <v>0.9</v>
      </c>
      <c r="O360" s="33">
        <f t="shared" si="6"/>
        <v>19989.999999999996</v>
      </c>
      <c r="P360" s="28" t="s">
        <v>0</v>
      </c>
    </row>
    <row r="361" spans="1:16" x14ac:dyDescent="0.3">
      <c r="A361" s="32" t="s">
        <v>3213</v>
      </c>
      <c r="B361" s="40">
        <v>46093</v>
      </c>
      <c r="C361" s="40">
        <v>46098</v>
      </c>
      <c r="D361" s="27">
        <v>3319</v>
      </c>
      <c r="E361" s="32">
        <v>327</v>
      </c>
      <c r="F361" s="25">
        <v>2</v>
      </c>
      <c r="G361" s="28">
        <v>1</v>
      </c>
      <c r="H361" s="28">
        <v>81778</v>
      </c>
      <c r="I361" s="28" t="s">
        <v>17</v>
      </c>
      <c r="J361" s="28">
        <v>82228335</v>
      </c>
      <c r="K361" s="38" t="s">
        <v>1614</v>
      </c>
      <c r="L361" t="s">
        <v>1620</v>
      </c>
      <c r="M361" s="39">
        <v>199900</v>
      </c>
      <c r="N361" s="30">
        <v>0.9</v>
      </c>
      <c r="O361" s="33">
        <f t="shared" si="6"/>
        <v>19989.999999999996</v>
      </c>
      <c r="P361" s="28" t="s">
        <v>0</v>
      </c>
    </row>
    <row r="362" spans="1:16" x14ac:dyDescent="0.3">
      <c r="A362" s="32" t="s">
        <v>3213</v>
      </c>
      <c r="B362" s="40">
        <v>46093</v>
      </c>
      <c r="C362" s="40">
        <v>46098</v>
      </c>
      <c r="D362" s="27">
        <v>3319</v>
      </c>
      <c r="E362" s="32">
        <v>327</v>
      </c>
      <c r="F362" s="25">
        <v>2</v>
      </c>
      <c r="G362" s="28">
        <v>1</v>
      </c>
      <c r="H362" s="28">
        <v>81778</v>
      </c>
      <c r="I362" s="28" t="s">
        <v>17</v>
      </c>
      <c r="J362" s="28">
        <v>82228344</v>
      </c>
      <c r="K362" s="38" t="s">
        <v>1614</v>
      </c>
      <c r="L362" t="s">
        <v>1621</v>
      </c>
      <c r="M362" s="39">
        <v>199900</v>
      </c>
      <c r="N362" s="30">
        <v>0.9</v>
      </c>
      <c r="O362" s="33">
        <f t="shared" si="6"/>
        <v>19989.999999999996</v>
      </c>
      <c r="P362" s="28" t="s">
        <v>0</v>
      </c>
    </row>
    <row r="363" spans="1:16" x14ac:dyDescent="0.3">
      <c r="A363" s="32" t="s">
        <v>3213</v>
      </c>
      <c r="B363" s="40">
        <v>46093</v>
      </c>
      <c r="C363" s="40">
        <v>46098</v>
      </c>
      <c r="D363" s="27">
        <v>3319</v>
      </c>
      <c r="E363" s="32">
        <v>327</v>
      </c>
      <c r="F363" s="25">
        <v>2</v>
      </c>
      <c r="G363" s="28">
        <v>1</v>
      </c>
      <c r="H363" s="28">
        <v>81778</v>
      </c>
      <c r="I363" s="28" t="s">
        <v>17</v>
      </c>
      <c r="J363" s="28">
        <v>82228353</v>
      </c>
      <c r="K363" s="38" t="s">
        <v>1614</v>
      </c>
      <c r="L363" t="s">
        <v>1622</v>
      </c>
      <c r="M363" s="39">
        <v>199900</v>
      </c>
      <c r="N363" s="30">
        <v>0.9</v>
      </c>
      <c r="O363" s="33">
        <f t="shared" si="6"/>
        <v>19989.999999999996</v>
      </c>
      <c r="P363" s="28" t="s">
        <v>0</v>
      </c>
    </row>
    <row r="364" spans="1:16" x14ac:dyDescent="0.3">
      <c r="A364" s="32" t="s">
        <v>3213</v>
      </c>
      <c r="B364" s="40">
        <v>46093</v>
      </c>
      <c r="C364" s="40">
        <v>46098</v>
      </c>
      <c r="D364" s="27">
        <v>3319</v>
      </c>
      <c r="E364" s="32">
        <v>327</v>
      </c>
      <c r="F364" s="25">
        <v>2</v>
      </c>
      <c r="G364" s="28">
        <v>1</v>
      </c>
      <c r="H364" s="28">
        <v>81778</v>
      </c>
      <c r="I364" s="28" t="s">
        <v>17</v>
      </c>
      <c r="J364" s="28">
        <v>82228362</v>
      </c>
      <c r="K364" s="38" t="s">
        <v>1614</v>
      </c>
      <c r="L364" t="s">
        <v>1623</v>
      </c>
      <c r="M364" s="39">
        <v>199900</v>
      </c>
      <c r="N364" s="30">
        <v>0.9</v>
      </c>
      <c r="O364" s="33">
        <f t="shared" si="6"/>
        <v>19989.999999999996</v>
      </c>
      <c r="P364" s="28" t="s">
        <v>0</v>
      </c>
    </row>
    <row r="365" spans="1:16" x14ac:dyDescent="0.3">
      <c r="A365" s="32" t="s">
        <v>3213</v>
      </c>
      <c r="B365" s="40">
        <v>46093</v>
      </c>
      <c r="C365" s="40">
        <v>46098</v>
      </c>
      <c r="D365" s="27">
        <v>3319</v>
      </c>
      <c r="E365" s="32">
        <v>327</v>
      </c>
      <c r="F365" s="25">
        <v>2</v>
      </c>
      <c r="G365" s="28">
        <v>1</v>
      </c>
      <c r="H365" s="28">
        <v>81778</v>
      </c>
      <c r="I365" s="28" t="s">
        <v>17</v>
      </c>
      <c r="J365" s="28">
        <v>82228371</v>
      </c>
      <c r="K365" s="38" t="s">
        <v>1614</v>
      </c>
      <c r="L365" t="s">
        <v>1624</v>
      </c>
      <c r="M365" s="39">
        <v>199900</v>
      </c>
      <c r="N365" s="30">
        <v>0.9</v>
      </c>
      <c r="O365" s="33">
        <f t="shared" si="6"/>
        <v>19989.999999999996</v>
      </c>
      <c r="P365" s="28" t="s">
        <v>0</v>
      </c>
    </row>
    <row r="366" spans="1:16" x14ac:dyDescent="0.3">
      <c r="A366" s="32" t="s">
        <v>3213</v>
      </c>
      <c r="B366" s="40">
        <v>46093</v>
      </c>
      <c r="C366" s="40">
        <v>46098</v>
      </c>
      <c r="D366" s="27">
        <v>3319</v>
      </c>
      <c r="E366" s="32">
        <v>327</v>
      </c>
      <c r="F366" s="25">
        <v>2</v>
      </c>
      <c r="G366" s="28">
        <v>1</v>
      </c>
      <c r="H366" s="28">
        <v>81433</v>
      </c>
      <c r="I366" s="28" t="s">
        <v>17</v>
      </c>
      <c r="J366" s="28">
        <v>82228086</v>
      </c>
      <c r="K366" s="38" t="s">
        <v>1636</v>
      </c>
      <c r="L366" t="s">
        <v>1637</v>
      </c>
      <c r="M366" s="39">
        <v>239900</v>
      </c>
      <c r="N366" s="30">
        <v>0.9</v>
      </c>
      <c r="O366" s="33">
        <f t="shared" si="6"/>
        <v>23989.999999999996</v>
      </c>
      <c r="P366" s="28" t="s">
        <v>0</v>
      </c>
    </row>
    <row r="367" spans="1:16" x14ac:dyDescent="0.3">
      <c r="A367" s="32" t="s">
        <v>3213</v>
      </c>
      <c r="B367" s="40">
        <v>46093</v>
      </c>
      <c r="C367" s="40">
        <v>46098</v>
      </c>
      <c r="D367" s="27">
        <v>3319</v>
      </c>
      <c r="E367" s="32">
        <v>327</v>
      </c>
      <c r="F367" s="25">
        <v>2</v>
      </c>
      <c r="G367" s="28">
        <v>1</v>
      </c>
      <c r="H367" s="28">
        <v>81433</v>
      </c>
      <c r="I367" s="28" t="s">
        <v>17</v>
      </c>
      <c r="J367" s="28">
        <v>82228095</v>
      </c>
      <c r="K367" s="38" t="s">
        <v>1636</v>
      </c>
      <c r="L367" t="s">
        <v>1638</v>
      </c>
      <c r="M367" s="39">
        <v>239900</v>
      </c>
      <c r="N367" s="30">
        <v>0.9</v>
      </c>
      <c r="O367" s="33">
        <f t="shared" si="6"/>
        <v>23989.999999999996</v>
      </c>
      <c r="P367" s="28" t="s">
        <v>0</v>
      </c>
    </row>
    <row r="368" spans="1:16" x14ac:dyDescent="0.3">
      <c r="A368" s="32" t="s">
        <v>3213</v>
      </c>
      <c r="B368" s="40">
        <v>46093</v>
      </c>
      <c r="C368" s="40">
        <v>46098</v>
      </c>
      <c r="D368" s="27">
        <v>3319</v>
      </c>
      <c r="E368" s="32">
        <v>327</v>
      </c>
      <c r="F368" s="25">
        <v>2</v>
      </c>
      <c r="G368" s="28">
        <v>1</v>
      </c>
      <c r="H368" s="28">
        <v>81433</v>
      </c>
      <c r="I368" s="28" t="s">
        <v>17</v>
      </c>
      <c r="J368" s="28">
        <v>82228102</v>
      </c>
      <c r="K368" s="38" t="s">
        <v>1636</v>
      </c>
      <c r="L368" t="s">
        <v>1639</v>
      </c>
      <c r="M368" s="39">
        <v>239900</v>
      </c>
      <c r="N368" s="30">
        <v>0.9</v>
      </c>
      <c r="O368" s="33">
        <f t="shared" si="6"/>
        <v>23989.999999999996</v>
      </c>
      <c r="P368" s="28" t="s">
        <v>0</v>
      </c>
    </row>
    <row r="369" spans="1:16" x14ac:dyDescent="0.3">
      <c r="A369" s="32" t="s">
        <v>3213</v>
      </c>
      <c r="B369" s="40">
        <v>46093</v>
      </c>
      <c r="C369" s="40">
        <v>46098</v>
      </c>
      <c r="D369" s="27">
        <v>3319</v>
      </c>
      <c r="E369" s="32">
        <v>327</v>
      </c>
      <c r="F369" s="25">
        <v>2</v>
      </c>
      <c r="G369" s="28">
        <v>1</v>
      </c>
      <c r="H369" s="28">
        <v>81433</v>
      </c>
      <c r="I369" s="28" t="s">
        <v>17</v>
      </c>
      <c r="J369" s="28">
        <v>82228111</v>
      </c>
      <c r="K369" s="38" t="s">
        <v>1636</v>
      </c>
      <c r="L369" t="s">
        <v>1640</v>
      </c>
      <c r="M369" s="39">
        <v>239900</v>
      </c>
      <c r="N369" s="30">
        <v>0.9</v>
      </c>
      <c r="O369" s="33">
        <f t="shared" si="6"/>
        <v>23989.999999999996</v>
      </c>
      <c r="P369" s="28" t="s">
        <v>0</v>
      </c>
    </row>
    <row r="370" spans="1:16" x14ac:dyDescent="0.3">
      <c r="A370" s="32" t="s">
        <v>3213</v>
      </c>
      <c r="B370" s="40">
        <v>46093</v>
      </c>
      <c r="C370" s="40">
        <v>46098</v>
      </c>
      <c r="D370" s="27">
        <v>3319</v>
      </c>
      <c r="E370" s="32">
        <v>327</v>
      </c>
      <c r="F370" s="25">
        <v>2</v>
      </c>
      <c r="G370" s="28">
        <v>1</v>
      </c>
      <c r="H370" s="28">
        <v>81433</v>
      </c>
      <c r="I370" s="28" t="s">
        <v>17</v>
      </c>
      <c r="J370" s="28">
        <v>82228120</v>
      </c>
      <c r="K370" s="38" t="s">
        <v>1636</v>
      </c>
      <c r="L370" t="s">
        <v>1641</v>
      </c>
      <c r="M370" s="39">
        <v>239900</v>
      </c>
      <c r="N370" s="30">
        <v>0.9</v>
      </c>
      <c r="O370" s="33">
        <f t="shared" si="6"/>
        <v>23989.999999999996</v>
      </c>
      <c r="P370" s="28" t="s">
        <v>0</v>
      </c>
    </row>
    <row r="371" spans="1:16" x14ac:dyDescent="0.3">
      <c r="A371" s="32" t="s">
        <v>3213</v>
      </c>
      <c r="B371" s="40">
        <v>46093</v>
      </c>
      <c r="C371" s="40">
        <v>46098</v>
      </c>
      <c r="D371" s="27">
        <v>3319</v>
      </c>
      <c r="E371" s="32">
        <v>327</v>
      </c>
      <c r="F371" s="25">
        <v>2</v>
      </c>
      <c r="G371" s="28">
        <v>1</v>
      </c>
      <c r="H371" s="28">
        <v>81433</v>
      </c>
      <c r="I371" s="28" t="s">
        <v>17</v>
      </c>
      <c r="J371" s="28">
        <v>82228175</v>
      </c>
      <c r="K371" s="38" t="s">
        <v>1636</v>
      </c>
      <c r="L371" t="s">
        <v>1642</v>
      </c>
      <c r="M371" s="39">
        <v>239900</v>
      </c>
      <c r="N371" s="30">
        <v>0.9</v>
      </c>
      <c r="O371" s="33">
        <f t="shared" si="6"/>
        <v>23989.999999999996</v>
      </c>
      <c r="P371" s="28" t="s">
        <v>0</v>
      </c>
    </row>
    <row r="372" spans="1:16" x14ac:dyDescent="0.3">
      <c r="A372" s="32" t="s">
        <v>3213</v>
      </c>
      <c r="B372" s="40">
        <v>46093</v>
      </c>
      <c r="C372" s="40">
        <v>46098</v>
      </c>
      <c r="D372" s="27">
        <v>3319</v>
      </c>
      <c r="E372" s="32">
        <v>327</v>
      </c>
      <c r="F372" s="25">
        <v>2</v>
      </c>
      <c r="G372" s="28">
        <v>1</v>
      </c>
      <c r="H372" s="28">
        <v>81433</v>
      </c>
      <c r="I372" s="28" t="s">
        <v>17</v>
      </c>
      <c r="J372" s="28">
        <v>82228139</v>
      </c>
      <c r="K372" s="38" t="s">
        <v>1636</v>
      </c>
      <c r="L372" t="s">
        <v>1643</v>
      </c>
      <c r="M372" s="39">
        <v>239900</v>
      </c>
      <c r="N372" s="30">
        <v>0.9</v>
      </c>
      <c r="O372" s="33">
        <f t="shared" si="6"/>
        <v>23989.999999999996</v>
      </c>
      <c r="P372" s="28" t="s">
        <v>0</v>
      </c>
    </row>
    <row r="373" spans="1:16" x14ac:dyDescent="0.3">
      <c r="A373" s="32" t="s">
        <v>3213</v>
      </c>
      <c r="B373" s="40">
        <v>46093</v>
      </c>
      <c r="C373" s="40">
        <v>46098</v>
      </c>
      <c r="D373" s="27">
        <v>3319</v>
      </c>
      <c r="E373" s="32">
        <v>327</v>
      </c>
      <c r="F373" s="25">
        <v>2</v>
      </c>
      <c r="G373" s="28">
        <v>1</v>
      </c>
      <c r="H373" s="28">
        <v>81433</v>
      </c>
      <c r="I373" s="28" t="s">
        <v>17</v>
      </c>
      <c r="J373" s="28">
        <v>82228148</v>
      </c>
      <c r="K373" s="38" t="s">
        <v>1636</v>
      </c>
      <c r="L373" t="s">
        <v>1644</v>
      </c>
      <c r="M373" s="39">
        <v>239900</v>
      </c>
      <c r="N373" s="30">
        <v>0.9</v>
      </c>
      <c r="O373" s="33">
        <f t="shared" si="6"/>
        <v>23989.999999999996</v>
      </c>
      <c r="P373" s="28" t="s">
        <v>0</v>
      </c>
    </row>
    <row r="374" spans="1:16" x14ac:dyDescent="0.3">
      <c r="A374" s="32" t="s">
        <v>3213</v>
      </c>
      <c r="B374" s="40">
        <v>46093</v>
      </c>
      <c r="C374" s="40">
        <v>46098</v>
      </c>
      <c r="D374" s="27">
        <v>3319</v>
      </c>
      <c r="E374" s="32">
        <v>327</v>
      </c>
      <c r="F374" s="25">
        <v>2</v>
      </c>
      <c r="G374" s="28">
        <v>1</v>
      </c>
      <c r="H374" s="28">
        <v>81433</v>
      </c>
      <c r="I374" s="28" t="s">
        <v>17</v>
      </c>
      <c r="J374" s="28">
        <v>82228157</v>
      </c>
      <c r="K374" s="38" t="s">
        <v>1636</v>
      </c>
      <c r="L374" t="s">
        <v>1645</v>
      </c>
      <c r="M374" s="39">
        <v>239900</v>
      </c>
      <c r="N374" s="30">
        <v>0.9</v>
      </c>
      <c r="O374" s="33">
        <f t="shared" si="6"/>
        <v>23989.999999999996</v>
      </c>
      <c r="P374" s="28" t="s">
        <v>0</v>
      </c>
    </row>
    <row r="375" spans="1:16" x14ac:dyDescent="0.3">
      <c r="A375" s="32" t="s">
        <v>3213</v>
      </c>
      <c r="B375" s="40">
        <v>46093</v>
      </c>
      <c r="C375" s="40">
        <v>46098</v>
      </c>
      <c r="D375" s="27">
        <v>3319</v>
      </c>
      <c r="E375" s="32">
        <v>327</v>
      </c>
      <c r="F375" s="25">
        <v>2</v>
      </c>
      <c r="G375" s="28">
        <v>1</v>
      </c>
      <c r="H375" s="28">
        <v>81433</v>
      </c>
      <c r="I375" s="28" t="s">
        <v>17</v>
      </c>
      <c r="J375" s="28">
        <v>82228166</v>
      </c>
      <c r="K375" s="38" t="s">
        <v>1636</v>
      </c>
      <c r="L375" t="s">
        <v>1646</v>
      </c>
      <c r="M375" s="39">
        <v>239900</v>
      </c>
      <c r="N375" s="30">
        <v>0.9</v>
      </c>
      <c r="O375" s="33">
        <f t="shared" si="6"/>
        <v>23989.999999999996</v>
      </c>
      <c r="P375" s="28" t="s">
        <v>0</v>
      </c>
    </row>
    <row r="376" spans="1:16" x14ac:dyDescent="0.3">
      <c r="A376" s="32" t="s">
        <v>3213</v>
      </c>
      <c r="B376" s="40">
        <v>46093</v>
      </c>
      <c r="C376" s="40">
        <v>46098</v>
      </c>
      <c r="D376" s="27">
        <v>3319</v>
      </c>
      <c r="E376" s="32">
        <v>327</v>
      </c>
      <c r="F376" s="25">
        <v>2</v>
      </c>
      <c r="G376" s="28">
        <v>1</v>
      </c>
      <c r="H376" s="28">
        <v>81760</v>
      </c>
      <c r="I376" s="28" t="s">
        <v>17</v>
      </c>
      <c r="J376" s="28">
        <v>82228684</v>
      </c>
      <c r="K376" s="38" t="s">
        <v>1647</v>
      </c>
      <c r="L376" t="s">
        <v>1648</v>
      </c>
      <c r="M376" s="39">
        <v>239900</v>
      </c>
      <c r="N376" s="30">
        <v>0.9</v>
      </c>
      <c r="O376" s="33">
        <f t="shared" si="6"/>
        <v>23989.999999999996</v>
      </c>
      <c r="P376" s="28" t="s">
        <v>0</v>
      </c>
    </row>
    <row r="377" spans="1:16" x14ac:dyDescent="0.3">
      <c r="A377" s="32" t="s">
        <v>3213</v>
      </c>
      <c r="B377" s="40">
        <v>46093</v>
      </c>
      <c r="C377" s="40">
        <v>46098</v>
      </c>
      <c r="D377" s="27">
        <v>3319</v>
      </c>
      <c r="E377" s="32">
        <v>327</v>
      </c>
      <c r="F377" s="25">
        <v>2</v>
      </c>
      <c r="G377" s="28">
        <v>1</v>
      </c>
      <c r="H377" s="28">
        <v>81760</v>
      </c>
      <c r="I377" s="28" t="s">
        <v>17</v>
      </c>
      <c r="J377" s="28">
        <v>82228693</v>
      </c>
      <c r="K377" s="38" t="s">
        <v>1647</v>
      </c>
      <c r="L377" t="s">
        <v>1649</v>
      </c>
      <c r="M377" s="39">
        <v>239900</v>
      </c>
      <c r="N377" s="30">
        <v>0.9</v>
      </c>
      <c r="O377" s="33">
        <f t="shared" si="6"/>
        <v>23989.999999999996</v>
      </c>
      <c r="P377" s="28" t="s">
        <v>0</v>
      </c>
    </row>
    <row r="378" spans="1:16" x14ac:dyDescent="0.3">
      <c r="A378" s="32" t="s">
        <v>3213</v>
      </c>
      <c r="B378" s="40">
        <v>46093</v>
      </c>
      <c r="C378" s="40">
        <v>46098</v>
      </c>
      <c r="D378" s="27">
        <v>3319</v>
      </c>
      <c r="E378" s="32">
        <v>327</v>
      </c>
      <c r="F378" s="25">
        <v>2</v>
      </c>
      <c r="G378" s="28">
        <v>1</v>
      </c>
      <c r="H378" s="28">
        <v>81760</v>
      </c>
      <c r="I378" s="28" t="s">
        <v>17</v>
      </c>
      <c r="J378" s="28">
        <v>82228700</v>
      </c>
      <c r="K378" s="38" t="s">
        <v>1647</v>
      </c>
      <c r="L378" t="s">
        <v>1650</v>
      </c>
      <c r="M378" s="39">
        <v>239900</v>
      </c>
      <c r="N378" s="30">
        <v>0.9</v>
      </c>
      <c r="O378" s="33">
        <f t="shared" si="6"/>
        <v>23989.999999999996</v>
      </c>
      <c r="P378" s="28" t="s">
        <v>0</v>
      </c>
    </row>
    <row r="379" spans="1:16" x14ac:dyDescent="0.3">
      <c r="A379" s="32" t="s">
        <v>3213</v>
      </c>
      <c r="B379" s="40">
        <v>46093</v>
      </c>
      <c r="C379" s="40">
        <v>46098</v>
      </c>
      <c r="D379" s="27">
        <v>3319</v>
      </c>
      <c r="E379" s="32">
        <v>327</v>
      </c>
      <c r="F379" s="25">
        <v>2</v>
      </c>
      <c r="G379" s="28">
        <v>1</v>
      </c>
      <c r="H379" s="28">
        <v>81760</v>
      </c>
      <c r="I379" s="28" t="s">
        <v>17</v>
      </c>
      <c r="J379" s="28">
        <v>82228719</v>
      </c>
      <c r="K379" s="38" t="s">
        <v>1647</v>
      </c>
      <c r="L379" t="s">
        <v>1651</v>
      </c>
      <c r="M379" s="39">
        <v>239900</v>
      </c>
      <c r="N379" s="30">
        <v>0.9</v>
      </c>
      <c r="O379" s="33">
        <f t="shared" si="6"/>
        <v>23989.999999999996</v>
      </c>
      <c r="P379" s="28" t="s">
        <v>0</v>
      </c>
    </row>
    <row r="380" spans="1:16" x14ac:dyDescent="0.3">
      <c r="A380" s="32" t="s">
        <v>3213</v>
      </c>
      <c r="B380" s="40">
        <v>46093</v>
      </c>
      <c r="C380" s="40">
        <v>46098</v>
      </c>
      <c r="D380" s="27">
        <v>3319</v>
      </c>
      <c r="E380" s="32">
        <v>327</v>
      </c>
      <c r="F380" s="25">
        <v>2</v>
      </c>
      <c r="G380" s="28">
        <v>1</v>
      </c>
      <c r="H380" s="28">
        <v>81760</v>
      </c>
      <c r="I380" s="28" t="s">
        <v>17</v>
      </c>
      <c r="J380" s="28">
        <v>82228728</v>
      </c>
      <c r="K380" s="38" t="s">
        <v>1647</v>
      </c>
      <c r="L380" t="s">
        <v>1652</v>
      </c>
      <c r="M380" s="39">
        <v>239900</v>
      </c>
      <c r="N380" s="30">
        <v>0.9</v>
      </c>
      <c r="O380" s="33">
        <f t="shared" si="6"/>
        <v>23989.999999999996</v>
      </c>
      <c r="P380" s="28" t="s">
        <v>0</v>
      </c>
    </row>
    <row r="381" spans="1:16" x14ac:dyDescent="0.3">
      <c r="A381" s="32" t="s">
        <v>3213</v>
      </c>
      <c r="B381" s="40">
        <v>46093</v>
      </c>
      <c r="C381" s="40">
        <v>46098</v>
      </c>
      <c r="D381" s="27">
        <v>3319</v>
      </c>
      <c r="E381" s="32">
        <v>327</v>
      </c>
      <c r="F381" s="25">
        <v>2</v>
      </c>
      <c r="G381" s="28">
        <v>1</v>
      </c>
      <c r="H381" s="28">
        <v>81760</v>
      </c>
      <c r="I381" s="28" t="s">
        <v>17</v>
      </c>
      <c r="J381" s="28">
        <v>82228737</v>
      </c>
      <c r="K381" s="38" t="s">
        <v>1653</v>
      </c>
      <c r="L381" t="s">
        <v>1654</v>
      </c>
      <c r="M381" s="39">
        <v>239900</v>
      </c>
      <c r="N381" s="30">
        <v>0.9</v>
      </c>
      <c r="O381" s="33">
        <f t="shared" si="6"/>
        <v>23989.999999999996</v>
      </c>
      <c r="P381" s="28" t="s">
        <v>0</v>
      </c>
    </row>
    <row r="382" spans="1:16" x14ac:dyDescent="0.3">
      <c r="A382" s="32" t="s">
        <v>3213</v>
      </c>
      <c r="B382" s="40">
        <v>46093</v>
      </c>
      <c r="C382" s="40">
        <v>46098</v>
      </c>
      <c r="D382" s="27">
        <v>3319</v>
      </c>
      <c r="E382" s="32">
        <v>327</v>
      </c>
      <c r="F382" s="25">
        <v>2</v>
      </c>
      <c r="G382" s="28">
        <v>1</v>
      </c>
      <c r="H382" s="28">
        <v>81760</v>
      </c>
      <c r="I382" s="28" t="s">
        <v>17</v>
      </c>
      <c r="J382" s="28">
        <v>82228755</v>
      </c>
      <c r="K382" s="38" t="s">
        <v>1653</v>
      </c>
      <c r="L382" t="s">
        <v>1655</v>
      </c>
      <c r="M382" s="39">
        <v>239900</v>
      </c>
      <c r="N382" s="30">
        <v>0.9</v>
      </c>
      <c r="O382" s="33">
        <f t="shared" si="6"/>
        <v>23989.999999999996</v>
      </c>
      <c r="P382" s="28" t="s">
        <v>0</v>
      </c>
    </row>
    <row r="383" spans="1:16" x14ac:dyDescent="0.3">
      <c r="A383" s="32" t="s">
        <v>3213</v>
      </c>
      <c r="B383" s="40">
        <v>46093</v>
      </c>
      <c r="C383" s="40">
        <v>46098</v>
      </c>
      <c r="D383" s="27">
        <v>3319</v>
      </c>
      <c r="E383" s="32">
        <v>327</v>
      </c>
      <c r="F383" s="25">
        <v>2</v>
      </c>
      <c r="G383" s="28">
        <v>1</v>
      </c>
      <c r="H383" s="28">
        <v>81760</v>
      </c>
      <c r="I383" s="28" t="s">
        <v>17</v>
      </c>
      <c r="J383" s="28">
        <v>82228764</v>
      </c>
      <c r="K383" s="38" t="s">
        <v>1653</v>
      </c>
      <c r="L383" t="s">
        <v>1656</v>
      </c>
      <c r="M383" s="39">
        <v>239900</v>
      </c>
      <c r="N383" s="30">
        <v>0.9</v>
      </c>
      <c r="O383" s="33">
        <f t="shared" si="6"/>
        <v>23989.999999999996</v>
      </c>
      <c r="P383" s="28" t="s">
        <v>0</v>
      </c>
    </row>
    <row r="384" spans="1:16" x14ac:dyDescent="0.3">
      <c r="A384" s="32" t="s">
        <v>3213</v>
      </c>
      <c r="B384" s="40">
        <v>46093</v>
      </c>
      <c r="C384" s="40">
        <v>46098</v>
      </c>
      <c r="D384" s="27">
        <v>3319</v>
      </c>
      <c r="E384" s="32">
        <v>327</v>
      </c>
      <c r="F384" s="25">
        <v>2</v>
      </c>
      <c r="G384" s="28">
        <v>1</v>
      </c>
      <c r="H384" s="28">
        <v>81760</v>
      </c>
      <c r="I384" s="28" t="s">
        <v>17</v>
      </c>
      <c r="J384" s="28">
        <v>82228773</v>
      </c>
      <c r="K384" s="38" t="s">
        <v>1653</v>
      </c>
      <c r="L384" t="s">
        <v>1657</v>
      </c>
      <c r="M384" s="39">
        <v>239900</v>
      </c>
      <c r="N384" s="30">
        <v>0.9</v>
      </c>
      <c r="O384" s="33">
        <f t="shared" si="6"/>
        <v>23989.999999999996</v>
      </c>
      <c r="P384" s="28" t="s">
        <v>0</v>
      </c>
    </row>
    <row r="385" spans="1:16" x14ac:dyDescent="0.3">
      <c r="A385" s="32" t="s">
        <v>3213</v>
      </c>
      <c r="B385" s="40">
        <v>46093</v>
      </c>
      <c r="C385" s="40">
        <v>46098</v>
      </c>
      <c r="D385" s="27">
        <v>3319</v>
      </c>
      <c r="E385" s="32">
        <v>327</v>
      </c>
      <c r="F385" s="25">
        <v>2</v>
      </c>
      <c r="G385" s="28">
        <v>1</v>
      </c>
      <c r="H385" s="28">
        <v>81760</v>
      </c>
      <c r="I385" s="28" t="s">
        <v>17</v>
      </c>
      <c r="J385" s="28">
        <v>82228746</v>
      </c>
      <c r="K385" s="38" t="s">
        <v>1653</v>
      </c>
      <c r="L385" t="s">
        <v>1658</v>
      </c>
      <c r="M385" s="39">
        <v>239900</v>
      </c>
      <c r="N385" s="30">
        <v>0.9</v>
      </c>
      <c r="O385" s="33">
        <f t="shared" si="6"/>
        <v>23989.999999999996</v>
      </c>
      <c r="P385" s="28" t="s">
        <v>0</v>
      </c>
    </row>
    <row r="386" spans="1:16" x14ac:dyDescent="0.3">
      <c r="A386" s="32" t="s">
        <v>3213</v>
      </c>
      <c r="B386" s="40">
        <v>46093</v>
      </c>
      <c r="C386" s="40">
        <v>46098</v>
      </c>
      <c r="D386" s="27">
        <v>3319</v>
      </c>
      <c r="E386" s="32">
        <v>327</v>
      </c>
      <c r="F386" s="25">
        <v>2</v>
      </c>
      <c r="G386" s="28">
        <v>2</v>
      </c>
      <c r="H386" s="28">
        <v>81778</v>
      </c>
      <c r="I386" s="28" t="s">
        <v>17</v>
      </c>
      <c r="J386" s="28">
        <v>81268348</v>
      </c>
      <c r="K386" s="38" t="s">
        <v>1768</v>
      </c>
      <c r="L386" t="s">
        <v>1769</v>
      </c>
      <c r="M386" s="39">
        <v>339900</v>
      </c>
      <c r="N386" s="30">
        <v>0.9</v>
      </c>
      <c r="O386" s="33">
        <f t="shared" si="6"/>
        <v>33989.999999999993</v>
      </c>
      <c r="P386" s="28" t="s">
        <v>0</v>
      </c>
    </row>
    <row r="387" spans="1:16" x14ac:dyDescent="0.3">
      <c r="A387" s="32" t="s">
        <v>3213</v>
      </c>
      <c r="B387" s="40">
        <v>46093</v>
      </c>
      <c r="C387" s="40">
        <v>46098</v>
      </c>
      <c r="D387" s="27">
        <v>3319</v>
      </c>
      <c r="E387" s="32">
        <v>327</v>
      </c>
      <c r="F387" s="25">
        <v>2</v>
      </c>
      <c r="G387" s="28">
        <v>2</v>
      </c>
      <c r="H387" s="28">
        <v>81778</v>
      </c>
      <c r="I387" s="28" t="s">
        <v>17</v>
      </c>
      <c r="J387" s="28">
        <v>81268357</v>
      </c>
      <c r="K387" s="38" t="s">
        <v>1768</v>
      </c>
      <c r="L387" t="s">
        <v>1770</v>
      </c>
      <c r="M387" s="39">
        <v>339900</v>
      </c>
      <c r="N387" s="30">
        <v>0.9</v>
      </c>
      <c r="O387" s="33">
        <f t="shared" si="6"/>
        <v>33989.999999999993</v>
      </c>
      <c r="P387" s="28" t="s">
        <v>0</v>
      </c>
    </row>
    <row r="388" spans="1:16" x14ac:dyDescent="0.3">
      <c r="A388" s="32" t="s">
        <v>3213</v>
      </c>
      <c r="B388" s="40">
        <v>46093</v>
      </c>
      <c r="C388" s="40">
        <v>46098</v>
      </c>
      <c r="D388" s="27">
        <v>3319</v>
      </c>
      <c r="E388" s="32">
        <v>327</v>
      </c>
      <c r="F388" s="25">
        <v>2</v>
      </c>
      <c r="G388" s="28">
        <v>2</v>
      </c>
      <c r="H388" s="28">
        <v>81778</v>
      </c>
      <c r="I388" s="28" t="s">
        <v>17</v>
      </c>
      <c r="J388" s="28">
        <v>81268366</v>
      </c>
      <c r="K388" s="38" t="s">
        <v>1768</v>
      </c>
      <c r="L388" t="s">
        <v>1771</v>
      </c>
      <c r="M388" s="39">
        <v>339900</v>
      </c>
      <c r="N388" s="30">
        <v>0.9</v>
      </c>
      <c r="O388" s="33">
        <f t="shared" si="6"/>
        <v>33989.999999999993</v>
      </c>
      <c r="P388" s="28" t="s">
        <v>0</v>
      </c>
    </row>
    <row r="389" spans="1:16" x14ac:dyDescent="0.3">
      <c r="A389" s="32" t="s">
        <v>3213</v>
      </c>
      <c r="B389" s="40">
        <v>46093</v>
      </c>
      <c r="C389" s="40">
        <v>46098</v>
      </c>
      <c r="D389" s="27">
        <v>3319</v>
      </c>
      <c r="E389" s="32">
        <v>327</v>
      </c>
      <c r="F389" s="25">
        <v>2</v>
      </c>
      <c r="G389" s="28">
        <v>2</v>
      </c>
      <c r="H389" s="28">
        <v>81778</v>
      </c>
      <c r="I389" s="28" t="s">
        <v>17</v>
      </c>
      <c r="J389" s="28">
        <v>81268375</v>
      </c>
      <c r="K389" s="38" t="s">
        <v>1768</v>
      </c>
      <c r="L389" t="s">
        <v>1772</v>
      </c>
      <c r="M389" s="39">
        <v>339900</v>
      </c>
      <c r="N389" s="30">
        <v>0.9</v>
      </c>
      <c r="O389" s="33">
        <f t="shared" si="6"/>
        <v>33989.999999999993</v>
      </c>
      <c r="P389" s="28" t="s">
        <v>0</v>
      </c>
    </row>
    <row r="390" spans="1:16" x14ac:dyDescent="0.3">
      <c r="A390" s="32" t="s">
        <v>3213</v>
      </c>
      <c r="B390" s="40">
        <v>46093</v>
      </c>
      <c r="C390" s="40">
        <v>46098</v>
      </c>
      <c r="D390" s="27">
        <v>3319</v>
      </c>
      <c r="E390" s="32">
        <v>327</v>
      </c>
      <c r="F390" s="25">
        <v>2</v>
      </c>
      <c r="G390" s="28">
        <v>2</v>
      </c>
      <c r="H390" s="28">
        <v>81778</v>
      </c>
      <c r="I390" s="28" t="s">
        <v>17</v>
      </c>
      <c r="J390" s="28">
        <v>81268384</v>
      </c>
      <c r="K390" s="38" t="s">
        <v>1768</v>
      </c>
      <c r="L390" t="s">
        <v>1773</v>
      </c>
      <c r="M390" s="39">
        <v>339900</v>
      </c>
      <c r="N390" s="30">
        <v>0.9</v>
      </c>
      <c r="O390" s="33">
        <f t="shared" si="6"/>
        <v>33989.999999999993</v>
      </c>
      <c r="P390" s="28" t="s">
        <v>0</v>
      </c>
    </row>
    <row r="391" spans="1:16" x14ac:dyDescent="0.3">
      <c r="A391" s="32" t="s">
        <v>3213</v>
      </c>
      <c r="B391" s="40">
        <v>46093</v>
      </c>
      <c r="C391" s="40">
        <v>46098</v>
      </c>
      <c r="D391" s="27">
        <v>3319</v>
      </c>
      <c r="E391" s="32">
        <v>327</v>
      </c>
      <c r="F391" s="25">
        <v>2</v>
      </c>
      <c r="G391" s="28">
        <v>2</v>
      </c>
      <c r="H391" s="28">
        <v>81778</v>
      </c>
      <c r="I391" s="28" t="s">
        <v>17</v>
      </c>
      <c r="J391" s="28">
        <v>78770293</v>
      </c>
      <c r="K391" s="38" t="s">
        <v>1529</v>
      </c>
      <c r="L391" t="s">
        <v>1530</v>
      </c>
      <c r="M391" s="39">
        <v>379900</v>
      </c>
      <c r="N391" s="30">
        <v>0.9</v>
      </c>
      <c r="O391" s="33">
        <f t="shared" si="6"/>
        <v>37989.999999999993</v>
      </c>
      <c r="P391" s="28" t="s">
        <v>0</v>
      </c>
    </row>
    <row r="392" spans="1:16" x14ac:dyDescent="0.3">
      <c r="A392" s="32" t="s">
        <v>3213</v>
      </c>
      <c r="B392" s="40">
        <v>46093</v>
      </c>
      <c r="C392" s="40">
        <v>46098</v>
      </c>
      <c r="D392" s="27">
        <v>3319</v>
      </c>
      <c r="E392" s="32">
        <v>327</v>
      </c>
      <c r="F392" s="25">
        <v>2</v>
      </c>
      <c r="G392" s="28">
        <v>2</v>
      </c>
      <c r="H392" s="28">
        <v>81778</v>
      </c>
      <c r="I392" s="28" t="s">
        <v>17</v>
      </c>
      <c r="J392" s="28">
        <v>78770300</v>
      </c>
      <c r="K392" s="38" t="s">
        <v>1529</v>
      </c>
      <c r="L392" t="s">
        <v>1531</v>
      </c>
      <c r="M392" s="39">
        <v>379900</v>
      </c>
      <c r="N392" s="30">
        <v>0.9</v>
      </c>
      <c r="O392" s="33">
        <f t="shared" si="6"/>
        <v>37989.999999999993</v>
      </c>
      <c r="P392" s="28" t="s">
        <v>0</v>
      </c>
    </row>
    <row r="393" spans="1:16" x14ac:dyDescent="0.3">
      <c r="A393" s="32" t="s">
        <v>3213</v>
      </c>
      <c r="B393" s="40">
        <v>46093</v>
      </c>
      <c r="C393" s="40">
        <v>46098</v>
      </c>
      <c r="D393" s="27">
        <v>3319</v>
      </c>
      <c r="E393" s="32">
        <v>327</v>
      </c>
      <c r="F393" s="25">
        <v>2</v>
      </c>
      <c r="G393" s="28">
        <v>2</v>
      </c>
      <c r="H393" s="28">
        <v>81778</v>
      </c>
      <c r="I393" s="28" t="s">
        <v>17</v>
      </c>
      <c r="J393" s="28">
        <v>78770319</v>
      </c>
      <c r="K393" s="38" t="s">
        <v>1529</v>
      </c>
      <c r="L393" t="s">
        <v>1532</v>
      </c>
      <c r="M393" s="39">
        <v>379900</v>
      </c>
      <c r="N393" s="30">
        <v>0.9</v>
      </c>
      <c r="O393" s="33">
        <f t="shared" si="6"/>
        <v>37989.999999999993</v>
      </c>
      <c r="P393" s="28" t="s">
        <v>0</v>
      </c>
    </row>
    <row r="394" spans="1:16" x14ac:dyDescent="0.3">
      <c r="A394" s="32" t="s">
        <v>3213</v>
      </c>
      <c r="B394" s="40">
        <v>46093</v>
      </c>
      <c r="C394" s="40">
        <v>46098</v>
      </c>
      <c r="D394" s="27">
        <v>3319</v>
      </c>
      <c r="E394" s="32">
        <v>327</v>
      </c>
      <c r="F394" s="25">
        <v>2</v>
      </c>
      <c r="G394" s="28">
        <v>2</v>
      </c>
      <c r="H394" s="28">
        <v>81778</v>
      </c>
      <c r="I394" s="28" t="s">
        <v>17</v>
      </c>
      <c r="J394" s="28">
        <v>78770328</v>
      </c>
      <c r="K394" s="38" t="s">
        <v>1529</v>
      </c>
      <c r="L394" t="s">
        <v>1533</v>
      </c>
      <c r="M394" s="39">
        <v>379900</v>
      </c>
      <c r="N394" s="30">
        <v>0.9</v>
      </c>
      <c r="O394" s="33">
        <f t="shared" si="6"/>
        <v>37989.999999999993</v>
      </c>
      <c r="P394" s="28" t="s">
        <v>0</v>
      </c>
    </row>
    <row r="395" spans="1:16" x14ac:dyDescent="0.3">
      <c r="A395" s="32" t="s">
        <v>3213</v>
      </c>
      <c r="B395" s="40">
        <v>46093</v>
      </c>
      <c r="C395" s="40">
        <v>46098</v>
      </c>
      <c r="D395" s="27">
        <v>3319</v>
      </c>
      <c r="E395" s="32">
        <v>327</v>
      </c>
      <c r="F395" s="25">
        <v>2</v>
      </c>
      <c r="G395" s="28">
        <v>2</v>
      </c>
      <c r="H395" s="28">
        <v>81778</v>
      </c>
      <c r="I395" s="28" t="s">
        <v>17</v>
      </c>
      <c r="J395" s="28">
        <v>78770337</v>
      </c>
      <c r="K395" s="38" t="s">
        <v>1529</v>
      </c>
      <c r="L395" t="s">
        <v>1534</v>
      </c>
      <c r="M395" s="39">
        <v>379900</v>
      </c>
      <c r="N395" s="30">
        <v>0.9</v>
      </c>
      <c r="O395" s="33">
        <f t="shared" si="6"/>
        <v>37989.999999999993</v>
      </c>
      <c r="P395" s="28" t="s">
        <v>0</v>
      </c>
    </row>
    <row r="396" spans="1:16" x14ac:dyDescent="0.3">
      <c r="A396" s="32" t="s">
        <v>3213</v>
      </c>
      <c r="B396" s="40">
        <v>46093</v>
      </c>
      <c r="C396" s="40">
        <v>46098</v>
      </c>
      <c r="D396" s="27">
        <v>3319</v>
      </c>
      <c r="E396" s="32">
        <v>327</v>
      </c>
      <c r="F396" s="25">
        <v>2</v>
      </c>
      <c r="G396" s="28">
        <v>2</v>
      </c>
      <c r="H396" s="28">
        <v>81778</v>
      </c>
      <c r="I396" s="28" t="s">
        <v>17</v>
      </c>
      <c r="J396" s="28">
        <v>78770499</v>
      </c>
      <c r="K396" s="38" t="s">
        <v>1535</v>
      </c>
      <c r="L396" t="s">
        <v>1536</v>
      </c>
      <c r="M396" s="39">
        <v>399900</v>
      </c>
      <c r="N396" s="30">
        <v>0.9</v>
      </c>
      <c r="O396" s="33">
        <f t="shared" si="6"/>
        <v>39989.999999999993</v>
      </c>
      <c r="P396" s="28" t="s">
        <v>0</v>
      </c>
    </row>
    <row r="397" spans="1:16" x14ac:dyDescent="0.3">
      <c r="A397" s="32" t="s">
        <v>3213</v>
      </c>
      <c r="B397" s="40">
        <v>46093</v>
      </c>
      <c r="C397" s="40">
        <v>46098</v>
      </c>
      <c r="D397" s="27">
        <v>3319</v>
      </c>
      <c r="E397" s="32">
        <v>327</v>
      </c>
      <c r="F397" s="25">
        <v>2</v>
      </c>
      <c r="G397" s="28">
        <v>2</v>
      </c>
      <c r="H397" s="28">
        <v>81778</v>
      </c>
      <c r="I397" s="28" t="s">
        <v>17</v>
      </c>
      <c r="J397" s="28">
        <v>78770506</v>
      </c>
      <c r="K397" s="38" t="s">
        <v>1535</v>
      </c>
      <c r="L397" t="s">
        <v>1537</v>
      </c>
      <c r="M397" s="39">
        <v>399900</v>
      </c>
      <c r="N397" s="30">
        <v>0.9</v>
      </c>
      <c r="O397" s="33">
        <f t="shared" si="6"/>
        <v>39989.999999999993</v>
      </c>
      <c r="P397" s="28" t="s">
        <v>0</v>
      </c>
    </row>
    <row r="398" spans="1:16" x14ac:dyDescent="0.3">
      <c r="A398" s="32" t="s">
        <v>3213</v>
      </c>
      <c r="B398" s="40">
        <v>46093</v>
      </c>
      <c r="C398" s="40">
        <v>46098</v>
      </c>
      <c r="D398" s="27">
        <v>3319</v>
      </c>
      <c r="E398" s="32">
        <v>327</v>
      </c>
      <c r="F398" s="25">
        <v>2</v>
      </c>
      <c r="G398" s="28">
        <v>2</v>
      </c>
      <c r="H398" s="28">
        <v>81778</v>
      </c>
      <c r="I398" s="28" t="s">
        <v>17</v>
      </c>
      <c r="J398" s="28">
        <v>78770515</v>
      </c>
      <c r="K398" s="38" t="s">
        <v>1535</v>
      </c>
      <c r="L398" t="s">
        <v>1538</v>
      </c>
      <c r="M398" s="39">
        <v>399900</v>
      </c>
      <c r="N398" s="30">
        <v>0.9</v>
      </c>
      <c r="O398" s="33">
        <f t="shared" si="6"/>
        <v>39989.999999999993</v>
      </c>
      <c r="P398" s="28" t="s">
        <v>0</v>
      </c>
    </row>
    <row r="399" spans="1:16" x14ac:dyDescent="0.3">
      <c r="A399" s="32" t="s">
        <v>3213</v>
      </c>
      <c r="B399" s="40">
        <v>46093</v>
      </c>
      <c r="C399" s="40">
        <v>46098</v>
      </c>
      <c r="D399" s="27">
        <v>3319</v>
      </c>
      <c r="E399" s="32">
        <v>327</v>
      </c>
      <c r="F399" s="25">
        <v>2</v>
      </c>
      <c r="G399" s="28">
        <v>2</v>
      </c>
      <c r="H399" s="28">
        <v>81778</v>
      </c>
      <c r="I399" s="28" t="s">
        <v>17</v>
      </c>
      <c r="J399" s="28">
        <v>78770524</v>
      </c>
      <c r="K399" s="38" t="s">
        <v>1535</v>
      </c>
      <c r="L399" t="s">
        <v>1539</v>
      </c>
      <c r="M399" s="39">
        <v>399900</v>
      </c>
      <c r="N399" s="30">
        <v>0.9</v>
      </c>
      <c r="O399" s="33">
        <f t="shared" si="6"/>
        <v>39989.999999999993</v>
      </c>
      <c r="P399" s="28" t="s">
        <v>0</v>
      </c>
    </row>
    <row r="400" spans="1:16" x14ac:dyDescent="0.3">
      <c r="A400" s="32" t="s">
        <v>3213</v>
      </c>
      <c r="B400" s="40">
        <v>46093</v>
      </c>
      <c r="C400" s="40">
        <v>46098</v>
      </c>
      <c r="D400" s="27">
        <v>3319</v>
      </c>
      <c r="E400" s="32">
        <v>327</v>
      </c>
      <c r="F400" s="25">
        <v>2</v>
      </c>
      <c r="G400" s="28">
        <v>2</v>
      </c>
      <c r="H400" s="28">
        <v>81778</v>
      </c>
      <c r="I400" s="28" t="s">
        <v>17</v>
      </c>
      <c r="J400" s="28">
        <v>78770533</v>
      </c>
      <c r="K400" s="38" t="s">
        <v>1535</v>
      </c>
      <c r="L400" t="s">
        <v>1540</v>
      </c>
      <c r="M400" s="39">
        <v>399900</v>
      </c>
      <c r="N400" s="30">
        <v>0.9</v>
      </c>
      <c r="O400" s="33">
        <f t="shared" si="6"/>
        <v>39989.999999999993</v>
      </c>
      <c r="P400" s="28" t="s">
        <v>0</v>
      </c>
    </row>
    <row r="401" spans="1:16" x14ac:dyDescent="0.3">
      <c r="A401" s="32" t="s">
        <v>3213</v>
      </c>
      <c r="B401" s="40">
        <v>46093</v>
      </c>
      <c r="C401" s="40">
        <v>46098</v>
      </c>
      <c r="D401" s="27">
        <v>3319</v>
      </c>
      <c r="E401" s="32">
        <v>327</v>
      </c>
      <c r="F401" s="25">
        <v>2</v>
      </c>
      <c r="G401" s="28">
        <v>1</v>
      </c>
      <c r="H401" s="28">
        <v>81778</v>
      </c>
      <c r="I401" s="28" t="s">
        <v>17</v>
      </c>
      <c r="J401" s="28">
        <v>78770391</v>
      </c>
      <c r="K401" s="38" t="s">
        <v>1558</v>
      </c>
      <c r="L401" t="s">
        <v>1559</v>
      </c>
      <c r="M401" s="39">
        <v>379900</v>
      </c>
      <c r="N401" s="30">
        <v>0.9</v>
      </c>
      <c r="O401" s="33">
        <f t="shared" si="6"/>
        <v>37989.999999999993</v>
      </c>
      <c r="P401" s="28" t="s">
        <v>0</v>
      </c>
    </row>
    <row r="402" spans="1:16" x14ac:dyDescent="0.3">
      <c r="A402" s="32" t="s">
        <v>3213</v>
      </c>
      <c r="B402" s="40">
        <v>46093</v>
      </c>
      <c r="C402" s="40">
        <v>46098</v>
      </c>
      <c r="D402" s="27">
        <v>3319</v>
      </c>
      <c r="E402" s="32">
        <v>327</v>
      </c>
      <c r="F402" s="25">
        <v>2</v>
      </c>
      <c r="G402" s="28">
        <v>1</v>
      </c>
      <c r="H402" s="28">
        <v>81778</v>
      </c>
      <c r="I402" s="28" t="s">
        <v>17</v>
      </c>
      <c r="J402" s="28">
        <v>78770408</v>
      </c>
      <c r="K402" s="38" t="s">
        <v>1558</v>
      </c>
      <c r="L402" t="s">
        <v>1560</v>
      </c>
      <c r="M402" s="39">
        <v>379900</v>
      </c>
      <c r="N402" s="30">
        <v>0.9</v>
      </c>
      <c r="O402" s="33">
        <f t="shared" si="6"/>
        <v>37989.999999999993</v>
      </c>
      <c r="P402" s="28" t="s">
        <v>0</v>
      </c>
    </row>
    <row r="403" spans="1:16" x14ac:dyDescent="0.3">
      <c r="A403" s="32" t="s">
        <v>3213</v>
      </c>
      <c r="B403" s="40">
        <v>46093</v>
      </c>
      <c r="C403" s="40">
        <v>46098</v>
      </c>
      <c r="D403" s="27">
        <v>3319</v>
      </c>
      <c r="E403" s="32">
        <v>327</v>
      </c>
      <c r="F403" s="25">
        <v>2</v>
      </c>
      <c r="G403" s="28">
        <v>1</v>
      </c>
      <c r="H403" s="28">
        <v>81778</v>
      </c>
      <c r="I403" s="28" t="s">
        <v>17</v>
      </c>
      <c r="J403" s="28">
        <v>78770417</v>
      </c>
      <c r="K403" s="38" t="s">
        <v>1558</v>
      </c>
      <c r="L403" t="s">
        <v>1561</v>
      </c>
      <c r="M403" s="39">
        <v>379900</v>
      </c>
      <c r="N403" s="30">
        <v>0.9</v>
      </c>
      <c r="O403" s="33">
        <f t="shared" si="6"/>
        <v>37989.999999999993</v>
      </c>
      <c r="P403" s="28" t="s">
        <v>0</v>
      </c>
    </row>
    <row r="404" spans="1:16" x14ac:dyDescent="0.3">
      <c r="A404" s="32" t="s">
        <v>3213</v>
      </c>
      <c r="B404" s="40">
        <v>46093</v>
      </c>
      <c r="C404" s="40">
        <v>46098</v>
      </c>
      <c r="D404" s="27">
        <v>3319</v>
      </c>
      <c r="E404" s="32">
        <v>327</v>
      </c>
      <c r="F404" s="25">
        <v>2</v>
      </c>
      <c r="G404" s="28">
        <v>1</v>
      </c>
      <c r="H404" s="28">
        <v>81778</v>
      </c>
      <c r="I404" s="28" t="s">
        <v>17</v>
      </c>
      <c r="J404" s="28">
        <v>78770426</v>
      </c>
      <c r="K404" s="38" t="s">
        <v>1558</v>
      </c>
      <c r="L404" t="s">
        <v>1562</v>
      </c>
      <c r="M404" s="39">
        <v>379900</v>
      </c>
      <c r="N404" s="30">
        <v>0.9</v>
      </c>
      <c r="O404" s="33">
        <f t="shared" ref="O404:O467" si="7">M404*(1-N404)</f>
        <v>37989.999999999993</v>
      </c>
      <c r="P404" s="28" t="s">
        <v>0</v>
      </c>
    </row>
    <row r="405" spans="1:16" x14ac:dyDescent="0.3">
      <c r="A405" s="32" t="s">
        <v>3213</v>
      </c>
      <c r="B405" s="40">
        <v>46093</v>
      </c>
      <c r="C405" s="40">
        <v>46098</v>
      </c>
      <c r="D405" s="27">
        <v>3319</v>
      </c>
      <c r="E405" s="32">
        <v>327</v>
      </c>
      <c r="F405" s="25">
        <v>2</v>
      </c>
      <c r="G405" s="28">
        <v>1</v>
      </c>
      <c r="H405" s="28">
        <v>81778</v>
      </c>
      <c r="I405" s="28" t="s">
        <v>17</v>
      </c>
      <c r="J405" s="28">
        <v>78770435</v>
      </c>
      <c r="K405" s="38" t="s">
        <v>1558</v>
      </c>
      <c r="L405" t="s">
        <v>1563</v>
      </c>
      <c r="M405" s="39">
        <v>379900</v>
      </c>
      <c r="N405" s="30">
        <v>0.9</v>
      </c>
      <c r="O405" s="33">
        <f t="shared" si="7"/>
        <v>37989.999999999993</v>
      </c>
      <c r="P405" s="28" t="s">
        <v>0</v>
      </c>
    </row>
    <row r="406" spans="1:16" x14ac:dyDescent="0.3">
      <c r="A406" s="32" t="s">
        <v>3213</v>
      </c>
      <c r="B406" s="40">
        <v>46093</v>
      </c>
      <c r="C406" s="40">
        <v>46098</v>
      </c>
      <c r="D406" s="27">
        <v>3319</v>
      </c>
      <c r="E406" s="32">
        <v>327</v>
      </c>
      <c r="F406" s="25">
        <v>2</v>
      </c>
      <c r="G406" s="28">
        <v>1</v>
      </c>
      <c r="H406" s="28">
        <v>81778</v>
      </c>
      <c r="I406" s="28" t="s">
        <v>17</v>
      </c>
      <c r="J406" s="28">
        <v>78770444</v>
      </c>
      <c r="K406" s="38" t="s">
        <v>1564</v>
      </c>
      <c r="L406" t="s">
        <v>1565</v>
      </c>
      <c r="M406" s="39">
        <v>379900</v>
      </c>
      <c r="N406" s="30">
        <v>0.9</v>
      </c>
      <c r="O406" s="33">
        <f t="shared" si="7"/>
        <v>37989.999999999993</v>
      </c>
      <c r="P406" s="28" t="s">
        <v>0</v>
      </c>
    </row>
    <row r="407" spans="1:16" x14ac:dyDescent="0.3">
      <c r="A407" s="32" t="s">
        <v>3213</v>
      </c>
      <c r="B407" s="40">
        <v>46093</v>
      </c>
      <c r="C407" s="40">
        <v>46098</v>
      </c>
      <c r="D407" s="27">
        <v>3319</v>
      </c>
      <c r="E407" s="32">
        <v>327</v>
      </c>
      <c r="F407" s="25">
        <v>2</v>
      </c>
      <c r="G407" s="28">
        <v>1</v>
      </c>
      <c r="H407" s="28">
        <v>81778</v>
      </c>
      <c r="I407" s="28" t="s">
        <v>17</v>
      </c>
      <c r="J407" s="28">
        <v>78770453</v>
      </c>
      <c r="K407" s="38" t="s">
        <v>1564</v>
      </c>
      <c r="L407" t="s">
        <v>1566</v>
      </c>
      <c r="M407" s="39">
        <v>379900</v>
      </c>
      <c r="N407" s="30">
        <v>0.9</v>
      </c>
      <c r="O407" s="33">
        <f t="shared" si="7"/>
        <v>37989.999999999993</v>
      </c>
      <c r="P407" s="28" t="s">
        <v>0</v>
      </c>
    </row>
    <row r="408" spans="1:16" x14ac:dyDescent="0.3">
      <c r="A408" s="32" t="s">
        <v>3213</v>
      </c>
      <c r="B408" s="40">
        <v>46093</v>
      </c>
      <c r="C408" s="40">
        <v>46098</v>
      </c>
      <c r="D408" s="27">
        <v>3319</v>
      </c>
      <c r="E408" s="32">
        <v>327</v>
      </c>
      <c r="F408" s="25">
        <v>2</v>
      </c>
      <c r="G408" s="28">
        <v>1</v>
      </c>
      <c r="H408" s="28">
        <v>81778</v>
      </c>
      <c r="I408" s="28" t="s">
        <v>17</v>
      </c>
      <c r="J408" s="28">
        <v>78770462</v>
      </c>
      <c r="K408" s="38" t="s">
        <v>1564</v>
      </c>
      <c r="L408" t="s">
        <v>1567</v>
      </c>
      <c r="M408" s="39">
        <v>379900</v>
      </c>
      <c r="N408" s="30">
        <v>0.9</v>
      </c>
      <c r="O408" s="33">
        <f t="shared" si="7"/>
        <v>37989.999999999993</v>
      </c>
      <c r="P408" s="28" t="s">
        <v>0</v>
      </c>
    </row>
    <row r="409" spans="1:16" x14ac:dyDescent="0.3">
      <c r="A409" s="32" t="s">
        <v>3213</v>
      </c>
      <c r="B409" s="40">
        <v>46093</v>
      </c>
      <c r="C409" s="40">
        <v>46098</v>
      </c>
      <c r="D409" s="27">
        <v>3319</v>
      </c>
      <c r="E409" s="32">
        <v>327</v>
      </c>
      <c r="F409" s="25">
        <v>2</v>
      </c>
      <c r="G409" s="28">
        <v>1</v>
      </c>
      <c r="H409" s="28">
        <v>81778</v>
      </c>
      <c r="I409" s="28" t="s">
        <v>17</v>
      </c>
      <c r="J409" s="28">
        <v>78770471</v>
      </c>
      <c r="K409" s="38" t="s">
        <v>1564</v>
      </c>
      <c r="L409" t="s">
        <v>1568</v>
      </c>
      <c r="M409" s="39">
        <v>379900</v>
      </c>
      <c r="N409" s="30">
        <v>0.9</v>
      </c>
      <c r="O409" s="33">
        <f t="shared" si="7"/>
        <v>37989.999999999993</v>
      </c>
      <c r="P409" s="28" t="s">
        <v>0</v>
      </c>
    </row>
    <row r="410" spans="1:16" x14ac:dyDescent="0.3">
      <c r="A410" s="32" t="s">
        <v>3213</v>
      </c>
      <c r="B410" s="40">
        <v>46093</v>
      </c>
      <c r="C410" s="40">
        <v>46098</v>
      </c>
      <c r="D410" s="27">
        <v>3319</v>
      </c>
      <c r="E410" s="32">
        <v>327</v>
      </c>
      <c r="F410" s="25">
        <v>2</v>
      </c>
      <c r="G410" s="28">
        <v>1</v>
      </c>
      <c r="H410" s="28">
        <v>81778</v>
      </c>
      <c r="I410" s="28" t="s">
        <v>17</v>
      </c>
      <c r="J410" s="28">
        <v>78770480</v>
      </c>
      <c r="K410" s="38" t="s">
        <v>1564</v>
      </c>
      <c r="L410" t="s">
        <v>1569</v>
      </c>
      <c r="M410" s="39">
        <v>379900</v>
      </c>
      <c r="N410" s="30">
        <v>0.9</v>
      </c>
      <c r="O410" s="33">
        <f t="shared" si="7"/>
        <v>37989.999999999993</v>
      </c>
      <c r="P410" s="28" t="s">
        <v>0</v>
      </c>
    </row>
    <row r="411" spans="1:16" x14ac:dyDescent="0.3">
      <c r="A411" s="32" t="s">
        <v>3213</v>
      </c>
      <c r="B411" s="40">
        <v>46093</v>
      </c>
      <c r="C411" s="40">
        <v>46098</v>
      </c>
      <c r="D411" s="27">
        <v>3319</v>
      </c>
      <c r="E411" s="32">
        <v>327</v>
      </c>
      <c r="F411" s="25">
        <v>2</v>
      </c>
      <c r="G411" s="28">
        <v>2</v>
      </c>
      <c r="H411" s="28">
        <v>81778</v>
      </c>
      <c r="I411" s="28" t="s">
        <v>17</v>
      </c>
      <c r="J411" s="28">
        <v>78770346</v>
      </c>
      <c r="K411" s="38" t="s">
        <v>1581</v>
      </c>
      <c r="L411" t="s">
        <v>1582</v>
      </c>
      <c r="M411" s="39">
        <v>379900</v>
      </c>
      <c r="N411" s="30">
        <v>0.9</v>
      </c>
      <c r="O411" s="33">
        <f t="shared" si="7"/>
        <v>37989.999999999993</v>
      </c>
      <c r="P411" s="28" t="s">
        <v>0</v>
      </c>
    </row>
    <row r="412" spans="1:16" x14ac:dyDescent="0.3">
      <c r="A412" s="32" t="s">
        <v>3213</v>
      </c>
      <c r="B412" s="40">
        <v>46093</v>
      </c>
      <c r="C412" s="40">
        <v>46098</v>
      </c>
      <c r="D412" s="27">
        <v>3319</v>
      </c>
      <c r="E412" s="32">
        <v>327</v>
      </c>
      <c r="F412" s="25">
        <v>2</v>
      </c>
      <c r="G412" s="28">
        <v>2</v>
      </c>
      <c r="H412" s="28">
        <v>81778</v>
      </c>
      <c r="I412" s="28" t="s">
        <v>17</v>
      </c>
      <c r="J412" s="28">
        <v>78770355</v>
      </c>
      <c r="K412" s="38" t="s">
        <v>1581</v>
      </c>
      <c r="L412" t="s">
        <v>1583</v>
      </c>
      <c r="M412" s="39">
        <v>379900</v>
      </c>
      <c r="N412" s="30">
        <v>0.9</v>
      </c>
      <c r="O412" s="33">
        <f t="shared" si="7"/>
        <v>37989.999999999993</v>
      </c>
      <c r="P412" s="28" t="s">
        <v>0</v>
      </c>
    </row>
    <row r="413" spans="1:16" x14ac:dyDescent="0.3">
      <c r="A413" s="32" t="s">
        <v>3213</v>
      </c>
      <c r="B413" s="40">
        <v>46093</v>
      </c>
      <c r="C413" s="40">
        <v>46098</v>
      </c>
      <c r="D413" s="27">
        <v>3319</v>
      </c>
      <c r="E413" s="32">
        <v>327</v>
      </c>
      <c r="F413" s="25">
        <v>2</v>
      </c>
      <c r="G413" s="28">
        <v>2</v>
      </c>
      <c r="H413" s="28">
        <v>81778</v>
      </c>
      <c r="I413" s="28" t="s">
        <v>17</v>
      </c>
      <c r="J413" s="28">
        <v>78770364</v>
      </c>
      <c r="K413" s="38" t="s">
        <v>1581</v>
      </c>
      <c r="L413" t="s">
        <v>1584</v>
      </c>
      <c r="M413" s="39">
        <v>379900</v>
      </c>
      <c r="N413" s="30">
        <v>0.9</v>
      </c>
      <c r="O413" s="33">
        <f t="shared" si="7"/>
        <v>37989.999999999993</v>
      </c>
      <c r="P413" s="28" t="s">
        <v>0</v>
      </c>
    </row>
    <row r="414" spans="1:16" x14ac:dyDescent="0.3">
      <c r="A414" s="32" t="s">
        <v>3213</v>
      </c>
      <c r="B414" s="40">
        <v>46093</v>
      </c>
      <c r="C414" s="40">
        <v>46098</v>
      </c>
      <c r="D414" s="27">
        <v>3319</v>
      </c>
      <c r="E414" s="32">
        <v>327</v>
      </c>
      <c r="F414" s="25">
        <v>2</v>
      </c>
      <c r="G414" s="28">
        <v>2</v>
      </c>
      <c r="H414" s="28">
        <v>81778</v>
      </c>
      <c r="I414" s="28" t="s">
        <v>17</v>
      </c>
      <c r="J414" s="28">
        <v>78770373</v>
      </c>
      <c r="K414" s="38" t="s">
        <v>1581</v>
      </c>
      <c r="L414" t="s">
        <v>1585</v>
      </c>
      <c r="M414" s="39">
        <v>379900</v>
      </c>
      <c r="N414" s="30">
        <v>0.9</v>
      </c>
      <c r="O414" s="33">
        <f t="shared" si="7"/>
        <v>37989.999999999993</v>
      </c>
      <c r="P414" s="28" t="s">
        <v>0</v>
      </c>
    </row>
    <row r="415" spans="1:16" x14ac:dyDescent="0.3">
      <c r="A415" s="32" t="s">
        <v>3213</v>
      </c>
      <c r="B415" s="40">
        <v>46093</v>
      </c>
      <c r="C415" s="40">
        <v>46098</v>
      </c>
      <c r="D415" s="27">
        <v>3319</v>
      </c>
      <c r="E415" s="32">
        <v>327</v>
      </c>
      <c r="F415" s="25">
        <v>2</v>
      </c>
      <c r="G415" s="28">
        <v>2</v>
      </c>
      <c r="H415" s="28">
        <v>81778</v>
      </c>
      <c r="I415" s="28" t="s">
        <v>17</v>
      </c>
      <c r="J415" s="28">
        <v>78770382</v>
      </c>
      <c r="K415" s="38" t="s">
        <v>1581</v>
      </c>
      <c r="L415" t="s">
        <v>1586</v>
      </c>
      <c r="M415" s="39">
        <v>379900</v>
      </c>
      <c r="N415" s="30">
        <v>0.9</v>
      </c>
      <c r="O415" s="33">
        <f t="shared" si="7"/>
        <v>37989.999999999993</v>
      </c>
      <c r="P415" s="28" t="s">
        <v>0</v>
      </c>
    </row>
    <row r="416" spans="1:16" x14ac:dyDescent="0.3">
      <c r="A416" s="32" t="s">
        <v>3213</v>
      </c>
      <c r="B416" s="40">
        <v>46093</v>
      </c>
      <c r="C416" s="40">
        <v>46098</v>
      </c>
      <c r="D416" s="27">
        <v>3319</v>
      </c>
      <c r="E416" s="32">
        <v>327</v>
      </c>
      <c r="F416" s="25">
        <v>2</v>
      </c>
      <c r="G416" s="28">
        <v>2</v>
      </c>
      <c r="H416" s="28">
        <v>81778</v>
      </c>
      <c r="I416" s="28" t="s">
        <v>17</v>
      </c>
      <c r="J416" s="28">
        <v>78770999</v>
      </c>
      <c r="K416" s="38" t="s">
        <v>1587</v>
      </c>
      <c r="L416" t="s">
        <v>1588</v>
      </c>
      <c r="M416" s="39">
        <v>359900</v>
      </c>
      <c r="N416" s="30">
        <v>0.9</v>
      </c>
      <c r="O416" s="33">
        <f t="shared" si="7"/>
        <v>35989.999999999993</v>
      </c>
      <c r="P416" s="28" t="s">
        <v>0</v>
      </c>
    </row>
    <row r="417" spans="1:16" x14ac:dyDescent="0.3">
      <c r="A417" s="32" t="s">
        <v>3213</v>
      </c>
      <c r="B417" s="40">
        <v>46093</v>
      </c>
      <c r="C417" s="40">
        <v>46098</v>
      </c>
      <c r="D417" s="27">
        <v>3319</v>
      </c>
      <c r="E417" s="32">
        <v>327</v>
      </c>
      <c r="F417" s="25">
        <v>2</v>
      </c>
      <c r="G417" s="28">
        <v>2</v>
      </c>
      <c r="H417" s="28">
        <v>81778</v>
      </c>
      <c r="I417" s="28" t="s">
        <v>17</v>
      </c>
      <c r="J417" s="28">
        <v>78771005</v>
      </c>
      <c r="K417" s="38" t="s">
        <v>1587</v>
      </c>
      <c r="L417" t="s">
        <v>1589</v>
      </c>
      <c r="M417" s="39">
        <v>359900</v>
      </c>
      <c r="N417" s="30">
        <v>0.9</v>
      </c>
      <c r="O417" s="33">
        <f t="shared" si="7"/>
        <v>35989.999999999993</v>
      </c>
      <c r="P417" s="28" t="s">
        <v>0</v>
      </c>
    </row>
    <row r="418" spans="1:16" x14ac:dyDescent="0.3">
      <c r="A418" s="32" t="s">
        <v>3213</v>
      </c>
      <c r="B418" s="40">
        <v>46093</v>
      </c>
      <c r="C418" s="40">
        <v>46098</v>
      </c>
      <c r="D418" s="27">
        <v>3319</v>
      </c>
      <c r="E418" s="32">
        <v>327</v>
      </c>
      <c r="F418" s="25">
        <v>2</v>
      </c>
      <c r="G418" s="28">
        <v>2</v>
      </c>
      <c r="H418" s="28">
        <v>81778</v>
      </c>
      <c r="I418" s="28" t="s">
        <v>17</v>
      </c>
      <c r="J418" s="28">
        <v>78771014</v>
      </c>
      <c r="K418" s="38" t="s">
        <v>1587</v>
      </c>
      <c r="L418" t="s">
        <v>1590</v>
      </c>
      <c r="M418" s="39">
        <v>359900</v>
      </c>
      <c r="N418" s="30">
        <v>0.9</v>
      </c>
      <c r="O418" s="33">
        <f t="shared" si="7"/>
        <v>35989.999999999993</v>
      </c>
      <c r="P418" s="28" t="s">
        <v>0</v>
      </c>
    </row>
    <row r="419" spans="1:16" x14ac:dyDescent="0.3">
      <c r="A419" s="32" t="s">
        <v>3213</v>
      </c>
      <c r="B419" s="40">
        <v>46093</v>
      </c>
      <c r="C419" s="40">
        <v>46098</v>
      </c>
      <c r="D419" s="27">
        <v>3319</v>
      </c>
      <c r="E419" s="32">
        <v>327</v>
      </c>
      <c r="F419" s="25">
        <v>2</v>
      </c>
      <c r="G419" s="28">
        <v>2</v>
      </c>
      <c r="H419" s="28">
        <v>81778</v>
      </c>
      <c r="I419" s="28" t="s">
        <v>17</v>
      </c>
      <c r="J419" s="28">
        <v>78771023</v>
      </c>
      <c r="K419" s="38" t="s">
        <v>1587</v>
      </c>
      <c r="L419" t="s">
        <v>1591</v>
      </c>
      <c r="M419" s="39">
        <v>359900</v>
      </c>
      <c r="N419" s="30">
        <v>0.9</v>
      </c>
      <c r="O419" s="33">
        <f t="shared" si="7"/>
        <v>35989.999999999993</v>
      </c>
      <c r="P419" s="28" t="s">
        <v>0</v>
      </c>
    </row>
    <row r="420" spans="1:16" x14ac:dyDescent="0.3">
      <c r="A420" s="32" t="s">
        <v>3213</v>
      </c>
      <c r="B420" s="40">
        <v>46093</v>
      </c>
      <c r="C420" s="40">
        <v>46098</v>
      </c>
      <c r="D420" s="27">
        <v>3319</v>
      </c>
      <c r="E420" s="32">
        <v>327</v>
      </c>
      <c r="F420" s="25">
        <v>2</v>
      </c>
      <c r="G420" s="28">
        <v>2</v>
      </c>
      <c r="H420" s="28">
        <v>81778</v>
      </c>
      <c r="I420" s="28" t="s">
        <v>17</v>
      </c>
      <c r="J420" s="28">
        <v>78771032</v>
      </c>
      <c r="K420" s="38" t="s">
        <v>1587</v>
      </c>
      <c r="L420" t="s">
        <v>1592</v>
      </c>
      <c r="M420" s="39">
        <v>359900</v>
      </c>
      <c r="N420" s="30">
        <v>0.9</v>
      </c>
      <c r="O420" s="33">
        <f t="shared" si="7"/>
        <v>35989.999999999993</v>
      </c>
      <c r="P420" s="28" t="s">
        <v>0</v>
      </c>
    </row>
    <row r="421" spans="1:16" x14ac:dyDescent="0.3">
      <c r="A421" s="32" t="s">
        <v>3213</v>
      </c>
      <c r="B421" s="40">
        <v>46093</v>
      </c>
      <c r="C421" s="40">
        <v>46098</v>
      </c>
      <c r="D421" s="27">
        <v>3319</v>
      </c>
      <c r="E421" s="32">
        <v>327</v>
      </c>
      <c r="F421" s="25">
        <v>2</v>
      </c>
      <c r="G421" s="28">
        <v>2</v>
      </c>
      <c r="H421" s="28">
        <v>81778</v>
      </c>
      <c r="I421" s="28" t="s">
        <v>17</v>
      </c>
      <c r="J421" s="28">
        <v>78771041</v>
      </c>
      <c r="K421" s="38" t="s">
        <v>1587</v>
      </c>
      <c r="L421" t="s">
        <v>1593</v>
      </c>
      <c r="M421" s="39">
        <v>359900</v>
      </c>
      <c r="N421" s="30">
        <v>0.9</v>
      </c>
      <c r="O421" s="33">
        <f t="shared" si="7"/>
        <v>35989.999999999993</v>
      </c>
      <c r="P421" s="28" t="s">
        <v>0</v>
      </c>
    </row>
    <row r="422" spans="1:16" x14ac:dyDescent="0.3">
      <c r="A422" s="32" t="s">
        <v>3213</v>
      </c>
      <c r="B422" s="40">
        <v>46093</v>
      </c>
      <c r="C422" s="40">
        <v>46098</v>
      </c>
      <c r="D422" s="27">
        <v>3319</v>
      </c>
      <c r="E422" s="32">
        <v>327</v>
      </c>
      <c r="F422" s="25">
        <v>2</v>
      </c>
      <c r="G422" s="28">
        <v>2</v>
      </c>
      <c r="H422" s="28">
        <v>81778</v>
      </c>
      <c r="I422" s="28" t="s">
        <v>17</v>
      </c>
      <c r="J422" s="28">
        <v>78771050</v>
      </c>
      <c r="K422" s="38" t="s">
        <v>1587</v>
      </c>
      <c r="L422" t="s">
        <v>1594</v>
      </c>
      <c r="M422" s="39">
        <v>359900</v>
      </c>
      <c r="N422" s="30">
        <v>0.9</v>
      </c>
      <c r="O422" s="33">
        <f t="shared" si="7"/>
        <v>35989.999999999993</v>
      </c>
      <c r="P422" s="28" t="s">
        <v>0</v>
      </c>
    </row>
    <row r="423" spans="1:16" x14ac:dyDescent="0.3">
      <c r="A423" s="32" t="s">
        <v>3213</v>
      </c>
      <c r="B423" s="40">
        <v>46093</v>
      </c>
      <c r="C423" s="40">
        <v>46098</v>
      </c>
      <c r="D423" s="27">
        <v>3319</v>
      </c>
      <c r="E423" s="32">
        <v>327</v>
      </c>
      <c r="F423" s="25">
        <v>2</v>
      </c>
      <c r="G423" s="28">
        <v>2</v>
      </c>
      <c r="H423" s="28">
        <v>81778</v>
      </c>
      <c r="I423" s="28" t="s">
        <v>17</v>
      </c>
      <c r="J423" s="28">
        <v>78771069</v>
      </c>
      <c r="K423" s="38" t="s">
        <v>1587</v>
      </c>
      <c r="L423" t="s">
        <v>1595</v>
      </c>
      <c r="M423" s="39">
        <v>359900</v>
      </c>
      <c r="N423" s="30">
        <v>0.9</v>
      </c>
      <c r="O423" s="33">
        <f t="shared" si="7"/>
        <v>35989.999999999993</v>
      </c>
      <c r="P423" s="28" t="s">
        <v>0</v>
      </c>
    </row>
    <row r="424" spans="1:16" x14ac:dyDescent="0.3">
      <c r="A424" s="32" t="s">
        <v>3213</v>
      </c>
      <c r="B424" s="40">
        <v>46093</v>
      </c>
      <c r="C424" s="40">
        <v>46098</v>
      </c>
      <c r="D424" s="27">
        <v>3319</v>
      </c>
      <c r="E424" s="32">
        <v>327</v>
      </c>
      <c r="F424" s="25">
        <v>2</v>
      </c>
      <c r="G424" s="28">
        <v>2</v>
      </c>
      <c r="H424" s="28">
        <v>81778</v>
      </c>
      <c r="I424" s="28" t="s">
        <v>17</v>
      </c>
      <c r="J424" s="28">
        <v>78771078</v>
      </c>
      <c r="K424" s="38" t="s">
        <v>1587</v>
      </c>
      <c r="L424" t="s">
        <v>1596</v>
      </c>
      <c r="M424" s="39">
        <v>359900</v>
      </c>
      <c r="N424" s="30">
        <v>0.9</v>
      </c>
      <c r="O424" s="33">
        <f t="shared" si="7"/>
        <v>35989.999999999993</v>
      </c>
      <c r="P424" s="28" t="s">
        <v>0</v>
      </c>
    </row>
    <row r="425" spans="1:16" x14ac:dyDescent="0.3">
      <c r="A425" s="32" t="s">
        <v>3213</v>
      </c>
      <c r="B425" s="40">
        <v>46093</v>
      </c>
      <c r="C425" s="40">
        <v>46098</v>
      </c>
      <c r="D425" s="27">
        <v>3319</v>
      </c>
      <c r="E425" s="32">
        <v>327</v>
      </c>
      <c r="F425" s="25">
        <v>2</v>
      </c>
      <c r="G425" s="28">
        <v>2</v>
      </c>
      <c r="H425" s="28">
        <v>81778</v>
      </c>
      <c r="I425" s="28" t="s">
        <v>17</v>
      </c>
      <c r="J425" s="28">
        <v>78771087</v>
      </c>
      <c r="K425" s="38" t="s">
        <v>1587</v>
      </c>
      <c r="L425" t="s">
        <v>1597</v>
      </c>
      <c r="M425" s="39">
        <v>359900</v>
      </c>
      <c r="N425" s="30">
        <v>0.9</v>
      </c>
      <c r="O425" s="33">
        <f t="shared" si="7"/>
        <v>35989.999999999993</v>
      </c>
      <c r="P425" s="28" t="s">
        <v>0</v>
      </c>
    </row>
    <row r="426" spans="1:16" x14ac:dyDescent="0.3">
      <c r="A426" s="32" t="s">
        <v>3213</v>
      </c>
      <c r="B426" s="40">
        <v>46093</v>
      </c>
      <c r="C426" s="40">
        <v>46098</v>
      </c>
      <c r="D426" s="27">
        <v>3319</v>
      </c>
      <c r="E426" s="32">
        <v>327</v>
      </c>
      <c r="F426" s="25">
        <v>2</v>
      </c>
      <c r="G426" s="28">
        <v>2</v>
      </c>
      <c r="H426" s="28">
        <v>81433</v>
      </c>
      <c r="I426" s="28" t="s">
        <v>17</v>
      </c>
      <c r="J426" s="28">
        <v>76098845</v>
      </c>
      <c r="K426" s="38" t="s">
        <v>1570</v>
      </c>
      <c r="L426" t="s">
        <v>1571</v>
      </c>
      <c r="M426" s="39">
        <v>339900</v>
      </c>
      <c r="N426" s="30">
        <v>0.9</v>
      </c>
      <c r="O426" s="33">
        <f t="shared" si="7"/>
        <v>33989.999999999993</v>
      </c>
      <c r="P426" s="28" t="s">
        <v>0</v>
      </c>
    </row>
    <row r="427" spans="1:16" x14ac:dyDescent="0.3">
      <c r="A427" s="32" t="s">
        <v>3213</v>
      </c>
      <c r="B427" s="40">
        <v>46093</v>
      </c>
      <c r="C427" s="40">
        <v>46098</v>
      </c>
      <c r="D427" s="27">
        <v>3319</v>
      </c>
      <c r="E427" s="32">
        <v>327</v>
      </c>
      <c r="F427" s="25">
        <v>2</v>
      </c>
      <c r="G427" s="28">
        <v>2</v>
      </c>
      <c r="H427" s="28">
        <v>81433</v>
      </c>
      <c r="I427" s="28" t="s">
        <v>17</v>
      </c>
      <c r="J427" s="28">
        <v>76098854</v>
      </c>
      <c r="K427" s="38" t="s">
        <v>1570</v>
      </c>
      <c r="L427" t="s">
        <v>1572</v>
      </c>
      <c r="M427" s="39">
        <v>339900</v>
      </c>
      <c r="N427" s="30">
        <v>0.9</v>
      </c>
      <c r="O427" s="33">
        <f t="shared" si="7"/>
        <v>33989.999999999993</v>
      </c>
      <c r="P427" s="28" t="s">
        <v>0</v>
      </c>
    </row>
    <row r="428" spans="1:16" x14ac:dyDescent="0.3">
      <c r="A428" s="32" t="s">
        <v>3213</v>
      </c>
      <c r="B428" s="40">
        <v>46093</v>
      </c>
      <c r="C428" s="40">
        <v>46098</v>
      </c>
      <c r="D428" s="27">
        <v>3319</v>
      </c>
      <c r="E428" s="32">
        <v>327</v>
      </c>
      <c r="F428" s="25">
        <v>2</v>
      </c>
      <c r="G428" s="28">
        <v>2</v>
      </c>
      <c r="H428" s="28">
        <v>81433</v>
      </c>
      <c r="I428" s="28" t="s">
        <v>17</v>
      </c>
      <c r="J428" s="28">
        <v>76098863</v>
      </c>
      <c r="K428" s="38" t="s">
        <v>1570</v>
      </c>
      <c r="L428" t="s">
        <v>1573</v>
      </c>
      <c r="M428" s="39">
        <v>339900</v>
      </c>
      <c r="N428" s="30">
        <v>0.9</v>
      </c>
      <c r="O428" s="33">
        <f t="shared" si="7"/>
        <v>33989.999999999993</v>
      </c>
      <c r="P428" s="28" t="s">
        <v>0</v>
      </c>
    </row>
    <row r="429" spans="1:16" x14ac:dyDescent="0.3">
      <c r="A429" s="32" t="s">
        <v>3213</v>
      </c>
      <c r="B429" s="40">
        <v>46093</v>
      </c>
      <c r="C429" s="40">
        <v>46098</v>
      </c>
      <c r="D429" s="27">
        <v>3319</v>
      </c>
      <c r="E429" s="32">
        <v>327</v>
      </c>
      <c r="F429" s="25">
        <v>2</v>
      </c>
      <c r="G429" s="28">
        <v>2</v>
      </c>
      <c r="H429" s="28">
        <v>81433</v>
      </c>
      <c r="I429" s="28" t="s">
        <v>17</v>
      </c>
      <c r="J429" s="28">
        <v>76098872</v>
      </c>
      <c r="K429" s="38" t="s">
        <v>1570</v>
      </c>
      <c r="L429" t="s">
        <v>1574</v>
      </c>
      <c r="M429" s="39">
        <v>339900</v>
      </c>
      <c r="N429" s="30">
        <v>0.9</v>
      </c>
      <c r="O429" s="33">
        <f t="shared" si="7"/>
        <v>33989.999999999993</v>
      </c>
      <c r="P429" s="28" t="s">
        <v>0</v>
      </c>
    </row>
    <row r="430" spans="1:16" x14ac:dyDescent="0.3">
      <c r="A430" s="32" t="s">
        <v>3213</v>
      </c>
      <c r="B430" s="40">
        <v>46093</v>
      </c>
      <c r="C430" s="40">
        <v>46098</v>
      </c>
      <c r="D430" s="27">
        <v>3319</v>
      </c>
      <c r="E430" s="32">
        <v>327</v>
      </c>
      <c r="F430" s="25">
        <v>2</v>
      </c>
      <c r="G430" s="28">
        <v>2</v>
      </c>
      <c r="H430" s="28">
        <v>81433</v>
      </c>
      <c r="I430" s="28" t="s">
        <v>17</v>
      </c>
      <c r="J430" s="28">
        <v>76098881</v>
      </c>
      <c r="K430" s="38" t="s">
        <v>1570</v>
      </c>
      <c r="L430" t="s">
        <v>1575</v>
      </c>
      <c r="M430" s="39">
        <v>339900</v>
      </c>
      <c r="N430" s="30">
        <v>0.9</v>
      </c>
      <c r="O430" s="33">
        <f t="shared" si="7"/>
        <v>33989.999999999993</v>
      </c>
      <c r="P430" s="28" t="s">
        <v>0</v>
      </c>
    </row>
    <row r="431" spans="1:16" x14ac:dyDescent="0.3">
      <c r="A431" s="32" t="s">
        <v>3213</v>
      </c>
      <c r="B431" s="40">
        <v>46093</v>
      </c>
      <c r="C431" s="40">
        <v>46098</v>
      </c>
      <c r="D431" s="27">
        <v>3319</v>
      </c>
      <c r="E431" s="32">
        <v>327</v>
      </c>
      <c r="F431" s="25">
        <v>2</v>
      </c>
      <c r="G431" s="28">
        <v>2</v>
      </c>
      <c r="H431" s="28">
        <v>81433</v>
      </c>
      <c r="I431" s="28" t="s">
        <v>17</v>
      </c>
      <c r="J431" s="28">
        <v>76098890</v>
      </c>
      <c r="K431" s="38" t="s">
        <v>1570</v>
      </c>
      <c r="L431" t="s">
        <v>1576</v>
      </c>
      <c r="M431" s="39">
        <v>339900</v>
      </c>
      <c r="N431" s="30">
        <v>0.9</v>
      </c>
      <c r="O431" s="33">
        <f t="shared" si="7"/>
        <v>33989.999999999993</v>
      </c>
      <c r="P431" s="28" t="s">
        <v>0</v>
      </c>
    </row>
    <row r="432" spans="1:16" x14ac:dyDescent="0.3">
      <c r="A432" s="32" t="s">
        <v>3213</v>
      </c>
      <c r="B432" s="40">
        <v>46093</v>
      </c>
      <c r="C432" s="40">
        <v>46098</v>
      </c>
      <c r="D432" s="27">
        <v>3319</v>
      </c>
      <c r="E432" s="32">
        <v>327</v>
      </c>
      <c r="F432" s="25">
        <v>2</v>
      </c>
      <c r="G432" s="28">
        <v>2</v>
      </c>
      <c r="H432" s="28">
        <v>81433</v>
      </c>
      <c r="I432" s="28" t="s">
        <v>17</v>
      </c>
      <c r="J432" s="28">
        <v>76098907</v>
      </c>
      <c r="K432" s="38" t="s">
        <v>1570</v>
      </c>
      <c r="L432" t="s">
        <v>1577</v>
      </c>
      <c r="M432" s="39">
        <v>339900</v>
      </c>
      <c r="N432" s="30">
        <v>0.9</v>
      </c>
      <c r="O432" s="33">
        <f t="shared" si="7"/>
        <v>33989.999999999993</v>
      </c>
      <c r="P432" s="28" t="s">
        <v>0</v>
      </c>
    </row>
    <row r="433" spans="1:16" x14ac:dyDescent="0.3">
      <c r="A433" s="32" t="s">
        <v>3213</v>
      </c>
      <c r="B433" s="40">
        <v>46093</v>
      </c>
      <c r="C433" s="40">
        <v>46098</v>
      </c>
      <c r="D433" s="27">
        <v>3319</v>
      </c>
      <c r="E433" s="32">
        <v>327</v>
      </c>
      <c r="F433" s="25">
        <v>2</v>
      </c>
      <c r="G433" s="28">
        <v>2</v>
      </c>
      <c r="H433" s="28">
        <v>81433</v>
      </c>
      <c r="I433" s="28" t="s">
        <v>17</v>
      </c>
      <c r="J433" s="28">
        <v>76098916</v>
      </c>
      <c r="K433" s="38" t="s">
        <v>1570</v>
      </c>
      <c r="L433" t="s">
        <v>1578</v>
      </c>
      <c r="M433" s="39">
        <v>339900</v>
      </c>
      <c r="N433" s="30">
        <v>0.9</v>
      </c>
      <c r="O433" s="33">
        <f t="shared" si="7"/>
        <v>33989.999999999993</v>
      </c>
      <c r="P433" s="28" t="s">
        <v>0</v>
      </c>
    </row>
    <row r="434" spans="1:16" x14ac:dyDescent="0.3">
      <c r="A434" s="32" t="s">
        <v>3213</v>
      </c>
      <c r="B434" s="40">
        <v>46093</v>
      </c>
      <c r="C434" s="40">
        <v>46098</v>
      </c>
      <c r="D434" s="27">
        <v>3319</v>
      </c>
      <c r="E434" s="32">
        <v>327</v>
      </c>
      <c r="F434" s="25">
        <v>2</v>
      </c>
      <c r="G434" s="28">
        <v>2</v>
      </c>
      <c r="H434" s="28">
        <v>81433</v>
      </c>
      <c r="I434" s="28" t="s">
        <v>17</v>
      </c>
      <c r="J434" s="28">
        <v>76098925</v>
      </c>
      <c r="K434" s="38" t="s">
        <v>1570</v>
      </c>
      <c r="L434" t="s">
        <v>1579</v>
      </c>
      <c r="M434" s="39">
        <v>339900</v>
      </c>
      <c r="N434" s="30">
        <v>0.9</v>
      </c>
      <c r="O434" s="33">
        <f t="shared" si="7"/>
        <v>33989.999999999993</v>
      </c>
      <c r="P434" s="28" t="s">
        <v>0</v>
      </c>
    </row>
    <row r="435" spans="1:16" x14ac:dyDescent="0.3">
      <c r="A435" s="32" t="s">
        <v>3213</v>
      </c>
      <c r="B435" s="40">
        <v>46093</v>
      </c>
      <c r="C435" s="40">
        <v>46098</v>
      </c>
      <c r="D435" s="27">
        <v>3319</v>
      </c>
      <c r="E435" s="32">
        <v>327</v>
      </c>
      <c r="F435" s="25">
        <v>2</v>
      </c>
      <c r="G435" s="28">
        <v>2</v>
      </c>
      <c r="H435" s="28">
        <v>81433</v>
      </c>
      <c r="I435" s="28" t="s">
        <v>17</v>
      </c>
      <c r="J435" s="28">
        <v>76098934</v>
      </c>
      <c r="K435" s="38" t="s">
        <v>1570</v>
      </c>
      <c r="L435" t="s">
        <v>1580</v>
      </c>
      <c r="M435" s="39">
        <v>339900</v>
      </c>
      <c r="N435" s="30">
        <v>0.9</v>
      </c>
      <c r="O435" s="33">
        <f t="shared" si="7"/>
        <v>33989.999999999993</v>
      </c>
      <c r="P435" s="28" t="s">
        <v>0</v>
      </c>
    </row>
    <row r="436" spans="1:16" x14ac:dyDescent="0.3">
      <c r="A436" s="32" t="s">
        <v>3213</v>
      </c>
      <c r="B436" s="40">
        <v>46093</v>
      </c>
      <c r="C436" s="40">
        <v>46098</v>
      </c>
      <c r="D436" s="27">
        <v>3319</v>
      </c>
      <c r="E436" s="32">
        <v>327</v>
      </c>
      <c r="F436" s="25">
        <v>2</v>
      </c>
      <c r="G436" s="28">
        <v>1</v>
      </c>
      <c r="H436" s="28">
        <v>81433</v>
      </c>
      <c r="I436" s="28" t="s">
        <v>17</v>
      </c>
      <c r="J436" s="28">
        <v>81119857</v>
      </c>
      <c r="K436" s="38" t="s">
        <v>1598</v>
      </c>
      <c r="L436" t="s">
        <v>1599</v>
      </c>
      <c r="M436" s="39">
        <v>339900</v>
      </c>
      <c r="N436" s="30">
        <v>0.9</v>
      </c>
      <c r="O436" s="33">
        <f t="shared" si="7"/>
        <v>33989.999999999993</v>
      </c>
      <c r="P436" s="28" t="s">
        <v>0</v>
      </c>
    </row>
    <row r="437" spans="1:16" x14ac:dyDescent="0.3">
      <c r="A437" s="32" t="s">
        <v>3213</v>
      </c>
      <c r="B437" s="40">
        <v>46093</v>
      </c>
      <c r="C437" s="40">
        <v>46098</v>
      </c>
      <c r="D437" s="27">
        <v>3319</v>
      </c>
      <c r="E437" s="32">
        <v>327</v>
      </c>
      <c r="F437" s="25">
        <v>2</v>
      </c>
      <c r="G437" s="28">
        <v>1</v>
      </c>
      <c r="H437" s="28">
        <v>81433</v>
      </c>
      <c r="I437" s="28" t="s">
        <v>17</v>
      </c>
      <c r="J437" s="28">
        <v>81119866</v>
      </c>
      <c r="K437" s="38" t="s">
        <v>1598</v>
      </c>
      <c r="L437" t="s">
        <v>1600</v>
      </c>
      <c r="M437" s="39">
        <v>339900</v>
      </c>
      <c r="N437" s="30">
        <v>0.9</v>
      </c>
      <c r="O437" s="33">
        <f t="shared" si="7"/>
        <v>33989.999999999993</v>
      </c>
      <c r="P437" s="28" t="s">
        <v>0</v>
      </c>
    </row>
    <row r="438" spans="1:16" x14ac:dyDescent="0.3">
      <c r="A438" s="32" t="s">
        <v>3213</v>
      </c>
      <c r="B438" s="40">
        <v>46093</v>
      </c>
      <c r="C438" s="40">
        <v>46098</v>
      </c>
      <c r="D438" s="27">
        <v>3319</v>
      </c>
      <c r="E438" s="32">
        <v>327</v>
      </c>
      <c r="F438" s="25">
        <v>2</v>
      </c>
      <c r="G438" s="28">
        <v>1</v>
      </c>
      <c r="H438" s="28">
        <v>81433</v>
      </c>
      <c r="I438" s="28" t="s">
        <v>17</v>
      </c>
      <c r="J438" s="28">
        <v>81119875</v>
      </c>
      <c r="K438" s="38" t="s">
        <v>1598</v>
      </c>
      <c r="L438" t="s">
        <v>1601</v>
      </c>
      <c r="M438" s="39">
        <v>339900</v>
      </c>
      <c r="N438" s="30">
        <v>0.9</v>
      </c>
      <c r="O438" s="33">
        <f t="shared" si="7"/>
        <v>33989.999999999993</v>
      </c>
      <c r="P438" s="28" t="s">
        <v>0</v>
      </c>
    </row>
    <row r="439" spans="1:16" x14ac:dyDescent="0.3">
      <c r="A439" s="32" t="s">
        <v>3213</v>
      </c>
      <c r="B439" s="40">
        <v>46093</v>
      </c>
      <c r="C439" s="40">
        <v>46098</v>
      </c>
      <c r="D439" s="27">
        <v>3319</v>
      </c>
      <c r="E439" s="32">
        <v>327</v>
      </c>
      <c r="F439" s="25">
        <v>2</v>
      </c>
      <c r="G439" s="28">
        <v>1</v>
      </c>
      <c r="H439" s="28">
        <v>81433</v>
      </c>
      <c r="I439" s="28" t="s">
        <v>17</v>
      </c>
      <c r="J439" s="28">
        <v>81119884</v>
      </c>
      <c r="K439" s="38" t="s">
        <v>1598</v>
      </c>
      <c r="L439" t="s">
        <v>1602</v>
      </c>
      <c r="M439" s="39">
        <v>339900</v>
      </c>
      <c r="N439" s="30">
        <v>0.9</v>
      </c>
      <c r="O439" s="33">
        <f t="shared" si="7"/>
        <v>33989.999999999993</v>
      </c>
      <c r="P439" s="28" t="s">
        <v>0</v>
      </c>
    </row>
    <row r="440" spans="1:16" x14ac:dyDescent="0.3">
      <c r="A440" s="32" t="s">
        <v>3213</v>
      </c>
      <c r="B440" s="40">
        <v>46093</v>
      </c>
      <c r="C440" s="40">
        <v>46098</v>
      </c>
      <c r="D440" s="27">
        <v>3319</v>
      </c>
      <c r="E440" s="32">
        <v>327</v>
      </c>
      <c r="F440" s="25">
        <v>2</v>
      </c>
      <c r="G440" s="28">
        <v>1</v>
      </c>
      <c r="H440" s="28">
        <v>81433</v>
      </c>
      <c r="I440" s="28" t="s">
        <v>17</v>
      </c>
      <c r="J440" s="28">
        <v>81119893</v>
      </c>
      <c r="K440" s="38" t="s">
        <v>1598</v>
      </c>
      <c r="L440" t="s">
        <v>1603</v>
      </c>
      <c r="M440" s="39">
        <v>339900</v>
      </c>
      <c r="N440" s="30">
        <v>0.9</v>
      </c>
      <c r="O440" s="33">
        <f t="shared" si="7"/>
        <v>33989.999999999993</v>
      </c>
      <c r="P440" s="28" t="s">
        <v>0</v>
      </c>
    </row>
    <row r="441" spans="1:16" x14ac:dyDescent="0.3">
      <c r="A441" s="32" t="s">
        <v>3213</v>
      </c>
      <c r="B441" s="40">
        <v>46093</v>
      </c>
      <c r="C441" s="40">
        <v>46098</v>
      </c>
      <c r="D441" s="27">
        <v>3319</v>
      </c>
      <c r="E441" s="32">
        <v>327</v>
      </c>
      <c r="F441" s="25">
        <v>2</v>
      </c>
      <c r="G441" s="28">
        <v>1</v>
      </c>
      <c r="H441" s="28">
        <v>81433</v>
      </c>
      <c r="I441" s="28" t="s">
        <v>17</v>
      </c>
      <c r="J441" s="28">
        <v>81119900</v>
      </c>
      <c r="K441" s="38" t="s">
        <v>1598</v>
      </c>
      <c r="L441" t="s">
        <v>1604</v>
      </c>
      <c r="M441" s="39">
        <v>339900</v>
      </c>
      <c r="N441" s="30">
        <v>0.9</v>
      </c>
      <c r="O441" s="33">
        <f t="shared" si="7"/>
        <v>33989.999999999993</v>
      </c>
      <c r="P441" s="28" t="s">
        <v>0</v>
      </c>
    </row>
    <row r="442" spans="1:16" x14ac:dyDescent="0.3">
      <c r="A442" s="32" t="s">
        <v>3213</v>
      </c>
      <c r="B442" s="40">
        <v>46093</v>
      </c>
      <c r="C442" s="40">
        <v>46098</v>
      </c>
      <c r="D442" s="27">
        <v>3319</v>
      </c>
      <c r="E442" s="32">
        <v>327</v>
      </c>
      <c r="F442" s="25">
        <v>2</v>
      </c>
      <c r="G442" s="28">
        <v>1</v>
      </c>
      <c r="H442" s="28">
        <v>81433</v>
      </c>
      <c r="I442" s="28" t="s">
        <v>17</v>
      </c>
      <c r="J442" s="28">
        <v>81119919</v>
      </c>
      <c r="K442" s="38" t="s">
        <v>1598</v>
      </c>
      <c r="L442" t="s">
        <v>1605</v>
      </c>
      <c r="M442" s="39">
        <v>339900</v>
      </c>
      <c r="N442" s="30">
        <v>0.9</v>
      </c>
      <c r="O442" s="33">
        <f t="shared" si="7"/>
        <v>33989.999999999993</v>
      </c>
      <c r="P442" s="28" t="s">
        <v>0</v>
      </c>
    </row>
    <row r="443" spans="1:16" x14ac:dyDescent="0.3">
      <c r="A443" s="32" t="s">
        <v>3213</v>
      </c>
      <c r="B443" s="40">
        <v>46093</v>
      </c>
      <c r="C443" s="40">
        <v>46098</v>
      </c>
      <c r="D443" s="27">
        <v>3319</v>
      </c>
      <c r="E443" s="32">
        <v>327</v>
      </c>
      <c r="F443" s="25">
        <v>2</v>
      </c>
      <c r="G443" s="28">
        <v>1</v>
      </c>
      <c r="H443" s="28">
        <v>81433</v>
      </c>
      <c r="I443" s="28" t="s">
        <v>17</v>
      </c>
      <c r="J443" s="28">
        <v>81119928</v>
      </c>
      <c r="K443" s="38" t="s">
        <v>1598</v>
      </c>
      <c r="L443" t="s">
        <v>1606</v>
      </c>
      <c r="M443" s="39">
        <v>339900</v>
      </c>
      <c r="N443" s="30">
        <v>0.9</v>
      </c>
      <c r="O443" s="33">
        <f t="shared" si="7"/>
        <v>33989.999999999993</v>
      </c>
      <c r="P443" s="28" t="s">
        <v>0</v>
      </c>
    </row>
    <row r="444" spans="1:16" x14ac:dyDescent="0.3">
      <c r="A444" s="32" t="s">
        <v>3213</v>
      </c>
      <c r="B444" s="40">
        <v>46093</v>
      </c>
      <c r="C444" s="40">
        <v>46098</v>
      </c>
      <c r="D444" s="27">
        <v>3319</v>
      </c>
      <c r="E444" s="32">
        <v>327</v>
      </c>
      <c r="F444" s="25">
        <v>2</v>
      </c>
      <c r="G444" s="28">
        <v>1</v>
      </c>
      <c r="H444" s="28">
        <v>81433</v>
      </c>
      <c r="I444" s="28" t="s">
        <v>17</v>
      </c>
      <c r="J444" s="28">
        <v>81119937</v>
      </c>
      <c r="K444" s="38" t="s">
        <v>1598</v>
      </c>
      <c r="L444" t="s">
        <v>1607</v>
      </c>
      <c r="M444" s="39">
        <v>339900</v>
      </c>
      <c r="N444" s="30">
        <v>0.9</v>
      </c>
      <c r="O444" s="33">
        <f t="shared" si="7"/>
        <v>33989.999999999993</v>
      </c>
      <c r="P444" s="28" t="s">
        <v>0</v>
      </c>
    </row>
    <row r="445" spans="1:16" x14ac:dyDescent="0.3">
      <c r="A445" s="32" t="s">
        <v>3213</v>
      </c>
      <c r="B445" s="40">
        <v>46093</v>
      </c>
      <c r="C445" s="40">
        <v>46098</v>
      </c>
      <c r="D445" s="27">
        <v>3319</v>
      </c>
      <c r="E445" s="32">
        <v>327</v>
      </c>
      <c r="F445" s="25">
        <v>2</v>
      </c>
      <c r="G445" s="28">
        <v>1</v>
      </c>
      <c r="H445" s="28">
        <v>81433</v>
      </c>
      <c r="I445" s="28" t="s">
        <v>17</v>
      </c>
      <c r="J445" s="28">
        <v>81119946</v>
      </c>
      <c r="K445" s="38" t="s">
        <v>1598</v>
      </c>
      <c r="L445" t="s">
        <v>1608</v>
      </c>
      <c r="M445" s="39">
        <v>339900</v>
      </c>
      <c r="N445" s="30">
        <v>0.9</v>
      </c>
      <c r="O445" s="33">
        <f t="shared" si="7"/>
        <v>33989.999999999993</v>
      </c>
      <c r="P445" s="28" t="s">
        <v>0</v>
      </c>
    </row>
    <row r="446" spans="1:16" x14ac:dyDescent="0.3">
      <c r="A446" s="32" t="s">
        <v>3213</v>
      </c>
      <c r="B446" s="40">
        <v>46093</v>
      </c>
      <c r="C446" s="40">
        <v>46098</v>
      </c>
      <c r="D446" s="27">
        <v>3319</v>
      </c>
      <c r="E446" s="32">
        <v>327</v>
      </c>
      <c r="F446" s="25">
        <v>2</v>
      </c>
      <c r="G446" s="28">
        <v>2</v>
      </c>
      <c r="H446" s="28">
        <v>81778</v>
      </c>
      <c r="I446" s="28" t="s">
        <v>17</v>
      </c>
      <c r="J446" s="28">
        <v>82228586</v>
      </c>
      <c r="K446" s="38" t="s">
        <v>1729</v>
      </c>
      <c r="L446" t="s">
        <v>1730</v>
      </c>
      <c r="M446" s="39">
        <v>399900</v>
      </c>
      <c r="N446" s="30">
        <v>0.9</v>
      </c>
      <c r="O446" s="33">
        <f t="shared" si="7"/>
        <v>39989.999999999993</v>
      </c>
      <c r="P446" s="28" t="s">
        <v>0</v>
      </c>
    </row>
    <row r="447" spans="1:16" x14ac:dyDescent="0.3">
      <c r="A447" s="32" t="s">
        <v>3213</v>
      </c>
      <c r="B447" s="40">
        <v>46093</v>
      </c>
      <c r="C447" s="40">
        <v>46098</v>
      </c>
      <c r="D447" s="27">
        <v>3319</v>
      </c>
      <c r="E447" s="32">
        <v>327</v>
      </c>
      <c r="F447" s="25">
        <v>2</v>
      </c>
      <c r="G447" s="28">
        <v>2</v>
      </c>
      <c r="H447" s="28">
        <v>81778</v>
      </c>
      <c r="I447" s="28" t="s">
        <v>17</v>
      </c>
      <c r="J447" s="28">
        <v>82228595</v>
      </c>
      <c r="K447" s="38" t="s">
        <v>1729</v>
      </c>
      <c r="L447" t="s">
        <v>1731</v>
      </c>
      <c r="M447" s="39">
        <v>399900</v>
      </c>
      <c r="N447" s="30">
        <v>0.9</v>
      </c>
      <c r="O447" s="33">
        <f t="shared" si="7"/>
        <v>39989.999999999993</v>
      </c>
      <c r="P447" s="28" t="s">
        <v>0</v>
      </c>
    </row>
    <row r="448" spans="1:16" x14ac:dyDescent="0.3">
      <c r="A448" s="32" t="s">
        <v>3213</v>
      </c>
      <c r="B448" s="40">
        <v>46093</v>
      </c>
      <c r="C448" s="40">
        <v>46098</v>
      </c>
      <c r="D448" s="27">
        <v>3319</v>
      </c>
      <c r="E448" s="32">
        <v>327</v>
      </c>
      <c r="F448" s="25">
        <v>2</v>
      </c>
      <c r="G448" s="28">
        <v>2</v>
      </c>
      <c r="H448" s="28">
        <v>81778</v>
      </c>
      <c r="I448" s="28" t="s">
        <v>17</v>
      </c>
      <c r="J448" s="28">
        <v>82228602</v>
      </c>
      <c r="K448" s="38" t="s">
        <v>1729</v>
      </c>
      <c r="L448" t="s">
        <v>1732</v>
      </c>
      <c r="M448" s="39">
        <v>399900</v>
      </c>
      <c r="N448" s="30">
        <v>0.9</v>
      </c>
      <c r="O448" s="33">
        <f t="shared" si="7"/>
        <v>39989.999999999993</v>
      </c>
      <c r="P448" s="28" t="s">
        <v>0</v>
      </c>
    </row>
    <row r="449" spans="1:16" x14ac:dyDescent="0.3">
      <c r="A449" s="32" t="s">
        <v>3213</v>
      </c>
      <c r="B449" s="40">
        <v>46093</v>
      </c>
      <c r="C449" s="40">
        <v>46098</v>
      </c>
      <c r="D449" s="27">
        <v>3319</v>
      </c>
      <c r="E449" s="32">
        <v>327</v>
      </c>
      <c r="F449" s="25">
        <v>2</v>
      </c>
      <c r="G449" s="28">
        <v>2</v>
      </c>
      <c r="H449" s="28">
        <v>81778</v>
      </c>
      <c r="I449" s="28" t="s">
        <v>17</v>
      </c>
      <c r="J449" s="28">
        <v>82228611</v>
      </c>
      <c r="K449" s="38" t="s">
        <v>1729</v>
      </c>
      <c r="L449" t="s">
        <v>1733</v>
      </c>
      <c r="M449" s="39">
        <v>399900</v>
      </c>
      <c r="N449" s="30">
        <v>0.9</v>
      </c>
      <c r="O449" s="33">
        <f t="shared" si="7"/>
        <v>39989.999999999993</v>
      </c>
      <c r="P449" s="28" t="s">
        <v>0</v>
      </c>
    </row>
    <row r="450" spans="1:16" x14ac:dyDescent="0.3">
      <c r="A450" s="32" t="s">
        <v>3213</v>
      </c>
      <c r="B450" s="40">
        <v>46093</v>
      </c>
      <c r="C450" s="40">
        <v>46098</v>
      </c>
      <c r="D450" s="27">
        <v>3319</v>
      </c>
      <c r="E450" s="32">
        <v>327</v>
      </c>
      <c r="F450" s="25">
        <v>2</v>
      </c>
      <c r="G450" s="28">
        <v>2</v>
      </c>
      <c r="H450" s="28">
        <v>81778</v>
      </c>
      <c r="I450" s="28" t="s">
        <v>17</v>
      </c>
      <c r="J450" s="28">
        <v>82228620</v>
      </c>
      <c r="K450" s="38" t="s">
        <v>1729</v>
      </c>
      <c r="L450" t="s">
        <v>1734</v>
      </c>
      <c r="M450" s="39">
        <v>399900</v>
      </c>
      <c r="N450" s="30">
        <v>0.9</v>
      </c>
      <c r="O450" s="33">
        <f t="shared" si="7"/>
        <v>39989.999999999993</v>
      </c>
      <c r="P450" s="28" t="s">
        <v>0</v>
      </c>
    </row>
    <row r="451" spans="1:16" x14ac:dyDescent="0.3">
      <c r="A451" s="32" t="s">
        <v>3213</v>
      </c>
      <c r="B451" s="40">
        <v>46093</v>
      </c>
      <c r="C451" s="40">
        <v>46098</v>
      </c>
      <c r="D451" s="27">
        <v>3319</v>
      </c>
      <c r="E451" s="32">
        <v>327</v>
      </c>
      <c r="F451" s="25">
        <v>2</v>
      </c>
      <c r="G451" s="28">
        <v>2</v>
      </c>
      <c r="H451" s="28">
        <v>81778</v>
      </c>
      <c r="I451" s="28" t="s">
        <v>17</v>
      </c>
      <c r="J451" s="28">
        <v>82228639</v>
      </c>
      <c r="K451" s="38" t="s">
        <v>1729</v>
      </c>
      <c r="L451" t="s">
        <v>1735</v>
      </c>
      <c r="M451" s="39">
        <v>399900</v>
      </c>
      <c r="N451" s="30">
        <v>0.9</v>
      </c>
      <c r="O451" s="33">
        <f t="shared" si="7"/>
        <v>39989.999999999993</v>
      </c>
      <c r="P451" s="28" t="s">
        <v>0</v>
      </c>
    </row>
    <row r="452" spans="1:16" x14ac:dyDescent="0.3">
      <c r="A452" s="32" t="s">
        <v>3213</v>
      </c>
      <c r="B452" s="40">
        <v>46093</v>
      </c>
      <c r="C452" s="40">
        <v>46098</v>
      </c>
      <c r="D452" s="27">
        <v>3319</v>
      </c>
      <c r="E452" s="32">
        <v>327</v>
      </c>
      <c r="F452" s="25">
        <v>2</v>
      </c>
      <c r="G452" s="28">
        <v>2</v>
      </c>
      <c r="H452" s="28">
        <v>81778</v>
      </c>
      <c r="I452" s="28" t="s">
        <v>17</v>
      </c>
      <c r="J452" s="28">
        <v>82228648</v>
      </c>
      <c r="K452" s="38" t="s">
        <v>1729</v>
      </c>
      <c r="L452" t="s">
        <v>1736</v>
      </c>
      <c r="M452" s="39">
        <v>399900</v>
      </c>
      <c r="N452" s="30">
        <v>0.9</v>
      </c>
      <c r="O452" s="33">
        <f t="shared" si="7"/>
        <v>39989.999999999993</v>
      </c>
      <c r="P452" s="28" t="s">
        <v>0</v>
      </c>
    </row>
    <row r="453" spans="1:16" x14ac:dyDescent="0.3">
      <c r="A453" s="32" t="s">
        <v>3213</v>
      </c>
      <c r="B453" s="40">
        <v>46093</v>
      </c>
      <c r="C453" s="40">
        <v>46098</v>
      </c>
      <c r="D453" s="27">
        <v>3319</v>
      </c>
      <c r="E453" s="32">
        <v>327</v>
      </c>
      <c r="F453" s="25">
        <v>2</v>
      </c>
      <c r="G453" s="28">
        <v>2</v>
      </c>
      <c r="H453" s="28">
        <v>81778</v>
      </c>
      <c r="I453" s="28" t="s">
        <v>17</v>
      </c>
      <c r="J453" s="28">
        <v>82228657</v>
      </c>
      <c r="K453" s="38" t="s">
        <v>1729</v>
      </c>
      <c r="L453" t="s">
        <v>1737</v>
      </c>
      <c r="M453" s="39">
        <v>399900</v>
      </c>
      <c r="N453" s="30">
        <v>0.9</v>
      </c>
      <c r="O453" s="33">
        <f t="shared" si="7"/>
        <v>39989.999999999993</v>
      </c>
      <c r="P453" s="28" t="s">
        <v>0</v>
      </c>
    </row>
    <row r="454" spans="1:16" x14ac:dyDescent="0.3">
      <c r="A454" s="32" t="s">
        <v>3213</v>
      </c>
      <c r="B454" s="40">
        <v>46093</v>
      </c>
      <c r="C454" s="40">
        <v>46098</v>
      </c>
      <c r="D454" s="27">
        <v>3319</v>
      </c>
      <c r="E454" s="32">
        <v>327</v>
      </c>
      <c r="F454" s="25">
        <v>2</v>
      </c>
      <c r="G454" s="28">
        <v>2</v>
      </c>
      <c r="H454" s="28">
        <v>81778</v>
      </c>
      <c r="I454" s="28" t="s">
        <v>17</v>
      </c>
      <c r="J454" s="28">
        <v>82228666</v>
      </c>
      <c r="K454" s="38" t="s">
        <v>1729</v>
      </c>
      <c r="L454" t="s">
        <v>1738</v>
      </c>
      <c r="M454" s="39">
        <v>399900</v>
      </c>
      <c r="N454" s="30">
        <v>0.9</v>
      </c>
      <c r="O454" s="33">
        <f t="shared" si="7"/>
        <v>39989.999999999993</v>
      </c>
      <c r="P454" s="28" t="s">
        <v>0</v>
      </c>
    </row>
    <row r="455" spans="1:16" x14ac:dyDescent="0.3">
      <c r="A455" s="32" t="s">
        <v>3213</v>
      </c>
      <c r="B455" s="40">
        <v>46093</v>
      </c>
      <c r="C455" s="40">
        <v>46098</v>
      </c>
      <c r="D455" s="27">
        <v>3319</v>
      </c>
      <c r="E455" s="32">
        <v>327</v>
      </c>
      <c r="F455" s="25">
        <v>2</v>
      </c>
      <c r="G455" s="28">
        <v>2</v>
      </c>
      <c r="H455" s="28">
        <v>81778</v>
      </c>
      <c r="I455" s="28" t="s">
        <v>17</v>
      </c>
      <c r="J455" s="28">
        <v>82228675</v>
      </c>
      <c r="K455" s="38" t="s">
        <v>1729</v>
      </c>
      <c r="L455" t="s">
        <v>1739</v>
      </c>
      <c r="M455" s="39">
        <v>399900</v>
      </c>
      <c r="N455" s="30">
        <v>0.9</v>
      </c>
      <c r="O455" s="33">
        <f t="shared" si="7"/>
        <v>39989.999999999993</v>
      </c>
      <c r="P455" s="28" t="s">
        <v>0</v>
      </c>
    </row>
    <row r="456" spans="1:16" x14ac:dyDescent="0.3">
      <c r="A456" s="32" t="s">
        <v>3213</v>
      </c>
      <c r="B456" s="40">
        <v>46093</v>
      </c>
      <c r="C456" s="40">
        <v>46098</v>
      </c>
      <c r="D456" s="27">
        <v>3319</v>
      </c>
      <c r="E456" s="32">
        <v>327</v>
      </c>
      <c r="F456" s="25">
        <v>2</v>
      </c>
      <c r="G456" s="28">
        <v>2</v>
      </c>
      <c r="H456" s="28">
        <v>81778</v>
      </c>
      <c r="I456" s="28" t="s">
        <v>17</v>
      </c>
      <c r="J456" s="28">
        <v>82228988</v>
      </c>
      <c r="K456" s="38" t="s">
        <v>1740</v>
      </c>
      <c r="L456" t="s">
        <v>1741</v>
      </c>
      <c r="M456" s="39">
        <v>339900</v>
      </c>
      <c r="N456" s="30">
        <v>0.9</v>
      </c>
      <c r="O456" s="33">
        <f t="shared" si="7"/>
        <v>33989.999999999993</v>
      </c>
      <c r="P456" s="28" t="s">
        <v>0</v>
      </c>
    </row>
    <row r="457" spans="1:16" x14ac:dyDescent="0.3">
      <c r="A457" s="32" t="s">
        <v>3213</v>
      </c>
      <c r="B457" s="40">
        <v>46093</v>
      </c>
      <c r="C457" s="40">
        <v>46098</v>
      </c>
      <c r="D457" s="27">
        <v>3319</v>
      </c>
      <c r="E457" s="32">
        <v>327</v>
      </c>
      <c r="F457" s="25">
        <v>2</v>
      </c>
      <c r="G457" s="28">
        <v>2</v>
      </c>
      <c r="H457" s="28">
        <v>81778</v>
      </c>
      <c r="I457" s="28" t="s">
        <v>17</v>
      </c>
      <c r="J457" s="28">
        <v>82228997</v>
      </c>
      <c r="K457" s="38" t="s">
        <v>1740</v>
      </c>
      <c r="L457" t="s">
        <v>1742</v>
      </c>
      <c r="M457" s="39">
        <v>339900</v>
      </c>
      <c r="N457" s="30">
        <v>0.9</v>
      </c>
      <c r="O457" s="33">
        <f t="shared" si="7"/>
        <v>33989.999999999993</v>
      </c>
      <c r="P457" s="28" t="s">
        <v>0</v>
      </c>
    </row>
    <row r="458" spans="1:16" x14ac:dyDescent="0.3">
      <c r="A458" s="32" t="s">
        <v>3213</v>
      </c>
      <c r="B458" s="40">
        <v>46093</v>
      </c>
      <c r="C458" s="40">
        <v>46098</v>
      </c>
      <c r="D458" s="27">
        <v>3319</v>
      </c>
      <c r="E458" s="32">
        <v>327</v>
      </c>
      <c r="F458" s="25">
        <v>2</v>
      </c>
      <c r="G458" s="28">
        <v>2</v>
      </c>
      <c r="H458" s="28">
        <v>81778</v>
      </c>
      <c r="I458" s="28" t="s">
        <v>17</v>
      </c>
      <c r="J458" s="28">
        <v>82229003</v>
      </c>
      <c r="K458" s="38" t="s">
        <v>1740</v>
      </c>
      <c r="L458" t="s">
        <v>1743</v>
      </c>
      <c r="M458" s="39">
        <v>339900</v>
      </c>
      <c r="N458" s="30">
        <v>0.9</v>
      </c>
      <c r="O458" s="33">
        <f t="shared" si="7"/>
        <v>33989.999999999993</v>
      </c>
      <c r="P458" s="28" t="s">
        <v>0</v>
      </c>
    </row>
    <row r="459" spans="1:16" x14ac:dyDescent="0.3">
      <c r="A459" s="32" t="s">
        <v>3213</v>
      </c>
      <c r="B459" s="40">
        <v>46093</v>
      </c>
      <c r="C459" s="40">
        <v>46098</v>
      </c>
      <c r="D459" s="27">
        <v>3319</v>
      </c>
      <c r="E459" s="32">
        <v>327</v>
      </c>
      <c r="F459" s="25">
        <v>2</v>
      </c>
      <c r="G459" s="28">
        <v>2</v>
      </c>
      <c r="H459" s="28">
        <v>81778</v>
      </c>
      <c r="I459" s="28" t="s">
        <v>17</v>
      </c>
      <c r="J459" s="28">
        <v>82229012</v>
      </c>
      <c r="K459" s="38" t="s">
        <v>1740</v>
      </c>
      <c r="L459" t="s">
        <v>1744</v>
      </c>
      <c r="M459" s="39">
        <v>339900</v>
      </c>
      <c r="N459" s="30">
        <v>0.9</v>
      </c>
      <c r="O459" s="33">
        <f t="shared" si="7"/>
        <v>33989.999999999993</v>
      </c>
      <c r="P459" s="28" t="s">
        <v>0</v>
      </c>
    </row>
    <row r="460" spans="1:16" x14ac:dyDescent="0.3">
      <c r="A460" s="32" t="s">
        <v>3213</v>
      </c>
      <c r="B460" s="40">
        <v>46093</v>
      </c>
      <c r="C460" s="40">
        <v>46098</v>
      </c>
      <c r="D460" s="27">
        <v>3319</v>
      </c>
      <c r="E460" s="32">
        <v>327</v>
      </c>
      <c r="F460" s="25">
        <v>2</v>
      </c>
      <c r="G460" s="28">
        <v>2</v>
      </c>
      <c r="H460" s="28">
        <v>81778</v>
      </c>
      <c r="I460" s="28" t="s">
        <v>17</v>
      </c>
      <c r="J460" s="28">
        <v>82229021</v>
      </c>
      <c r="K460" s="38" t="s">
        <v>1740</v>
      </c>
      <c r="L460" t="s">
        <v>1745</v>
      </c>
      <c r="M460" s="39">
        <v>339900</v>
      </c>
      <c r="N460" s="30">
        <v>0.9</v>
      </c>
      <c r="O460" s="33">
        <f t="shared" si="7"/>
        <v>33989.999999999993</v>
      </c>
      <c r="P460" s="28" t="s">
        <v>0</v>
      </c>
    </row>
    <row r="461" spans="1:16" x14ac:dyDescent="0.3">
      <c r="A461" s="32" t="s">
        <v>3213</v>
      </c>
      <c r="B461" s="40">
        <v>46093</v>
      </c>
      <c r="C461" s="40">
        <v>46098</v>
      </c>
      <c r="D461" s="27">
        <v>3319</v>
      </c>
      <c r="E461" s="32">
        <v>327</v>
      </c>
      <c r="F461" s="25">
        <v>2</v>
      </c>
      <c r="G461" s="28">
        <v>2</v>
      </c>
      <c r="H461" s="28">
        <v>81778</v>
      </c>
      <c r="I461" s="28" t="s">
        <v>17</v>
      </c>
      <c r="J461" s="28">
        <v>82229030</v>
      </c>
      <c r="K461" s="38" t="s">
        <v>1740</v>
      </c>
      <c r="L461" t="s">
        <v>1746</v>
      </c>
      <c r="M461" s="39">
        <v>339900</v>
      </c>
      <c r="N461" s="30">
        <v>0.9</v>
      </c>
      <c r="O461" s="33">
        <f t="shared" si="7"/>
        <v>33989.999999999993</v>
      </c>
      <c r="P461" s="28" t="s">
        <v>0</v>
      </c>
    </row>
    <row r="462" spans="1:16" x14ac:dyDescent="0.3">
      <c r="A462" s="32" t="s">
        <v>3213</v>
      </c>
      <c r="B462" s="40">
        <v>46093</v>
      </c>
      <c r="C462" s="40">
        <v>46098</v>
      </c>
      <c r="D462" s="27">
        <v>3319</v>
      </c>
      <c r="E462" s="32">
        <v>327</v>
      </c>
      <c r="F462" s="25">
        <v>2</v>
      </c>
      <c r="G462" s="28">
        <v>2</v>
      </c>
      <c r="H462" s="28">
        <v>81778</v>
      </c>
      <c r="I462" s="28" t="s">
        <v>17</v>
      </c>
      <c r="J462" s="28">
        <v>82229049</v>
      </c>
      <c r="K462" s="38" t="s">
        <v>1740</v>
      </c>
      <c r="L462" t="s">
        <v>1747</v>
      </c>
      <c r="M462" s="39">
        <v>339900</v>
      </c>
      <c r="N462" s="30">
        <v>0.9</v>
      </c>
      <c r="O462" s="33">
        <f t="shared" si="7"/>
        <v>33989.999999999993</v>
      </c>
      <c r="P462" s="28" t="s">
        <v>0</v>
      </c>
    </row>
    <row r="463" spans="1:16" x14ac:dyDescent="0.3">
      <c r="A463" s="32" t="s">
        <v>3213</v>
      </c>
      <c r="B463" s="40">
        <v>46093</v>
      </c>
      <c r="C463" s="40">
        <v>46098</v>
      </c>
      <c r="D463" s="27">
        <v>3319</v>
      </c>
      <c r="E463" s="32">
        <v>327</v>
      </c>
      <c r="F463" s="25">
        <v>2</v>
      </c>
      <c r="G463" s="28">
        <v>2</v>
      </c>
      <c r="H463" s="28">
        <v>81778</v>
      </c>
      <c r="I463" s="28" t="s">
        <v>17</v>
      </c>
      <c r="J463" s="28">
        <v>82229058</v>
      </c>
      <c r="K463" s="38" t="s">
        <v>1740</v>
      </c>
      <c r="L463" t="s">
        <v>1748</v>
      </c>
      <c r="M463" s="39">
        <v>339900</v>
      </c>
      <c r="N463" s="30">
        <v>0.9</v>
      </c>
      <c r="O463" s="33">
        <f t="shared" si="7"/>
        <v>33989.999999999993</v>
      </c>
      <c r="P463" s="28" t="s">
        <v>0</v>
      </c>
    </row>
    <row r="464" spans="1:16" x14ac:dyDescent="0.3">
      <c r="A464" s="32" t="s">
        <v>3213</v>
      </c>
      <c r="B464" s="40">
        <v>46093</v>
      </c>
      <c r="C464" s="40">
        <v>46098</v>
      </c>
      <c r="D464" s="27">
        <v>3319</v>
      </c>
      <c r="E464" s="32">
        <v>327</v>
      </c>
      <c r="F464" s="25">
        <v>2</v>
      </c>
      <c r="G464" s="28">
        <v>2</v>
      </c>
      <c r="H464" s="28">
        <v>81778</v>
      </c>
      <c r="I464" s="28" t="s">
        <v>17</v>
      </c>
      <c r="J464" s="28">
        <v>82229067</v>
      </c>
      <c r="K464" s="38" t="s">
        <v>1740</v>
      </c>
      <c r="L464" t="s">
        <v>1749</v>
      </c>
      <c r="M464" s="39">
        <v>339900</v>
      </c>
      <c r="N464" s="30">
        <v>0.9</v>
      </c>
      <c r="O464" s="33">
        <f t="shared" si="7"/>
        <v>33989.999999999993</v>
      </c>
      <c r="P464" s="28" t="s">
        <v>0</v>
      </c>
    </row>
    <row r="465" spans="1:16" x14ac:dyDescent="0.3">
      <c r="A465" s="32" t="s">
        <v>3213</v>
      </c>
      <c r="B465" s="40">
        <v>46093</v>
      </c>
      <c r="C465" s="40">
        <v>46098</v>
      </c>
      <c r="D465" s="27">
        <v>3319</v>
      </c>
      <c r="E465" s="32">
        <v>327</v>
      </c>
      <c r="F465" s="25">
        <v>2</v>
      </c>
      <c r="G465" s="28">
        <v>2</v>
      </c>
      <c r="H465" s="28">
        <v>81778</v>
      </c>
      <c r="I465" s="28" t="s">
        <v>17</v>
      </c>
      <c r="J465" s="28">
        <v>82229076</v>
      </c>
      <c r="K465" s="38" t="s">
        <v>1740</v>
      </c>
      <c r="L465" t="s">
        <v>1750</v>
      </c>
      <c r="M465" s="39">
        <v>339900</v>
      </c>
      <c r="N465" s="30">
        <v>0.9</v>
      </c>
      <c r="O465" s="33">
        <f t="shared" si="7"/>
        <v>33989.999999999993</v>
      </c>
      <c r="P465" s="28" t="s">
        <v>0</v>
      </c>
    </row>
    <row r="466" spans="1:16" x14ac:dyDescent="0.3">
      <c r="A466" s="32" t="s">
        <v>3213</v>
      </c>
      <c r="B466" s="40">
        <v>46093</v>
      </c>
      <c r="C466" s="40">
        <v>46098</v>
      </c>
      <c r="D466" s="27">
        <v>3319</v>
      </c>
      <c r="E466" s="32">
        <v>327</v>
      </c>
      <c r="F466" s="25">
        <v>2</v>
      </c>
      <c r="G466" s="28">
        <v>2</v>
      </c>
      <c r="H466" s="28">
        <v>81433</v>
      </c>
      <c r="I466" s="28" t="s">
        <v>17</v>
      </c>
      <c r="J466" s="28">
        <v>82229085</v>
      </c>
      <c r="K466" s="38" t="s">
        <v>1751</v>
      </c>
      <c r="L466" t="s">
        <v>1752</v>
      </c>
      <c r="M466" s="39">
        <v>399900</v>
      </c>
      <c r="N466" s="30">
        <v>0.9</v>
      </c>
      <c r="O466" s="33">
        <f t="shared" si="7"/>
        <v>39989.999999999993</v>
      </c>
      <c r="P466" s="28" t="s">
        <v>0</v>
      </c>
    </row>
    <row r="467" spans="1:16" x14ac:dyDescent="0.3">
      <c r="A467" s="32" t="s">
        <v>3213</v>
      </c>
      <c r="B467" s="40">
        <v>46093</v>
      </c>
      <c r="C467" s="40">
        <v>46098</v>
      </c>
      <c r="D467" s="27">
        <v>3319</v>
      </c>
      <c r="E467" s="32">
        <v>327</v>
      </c>
      <c r="F467" s="25">
        <v>2</v>
      </c>
      <c r="G467" s="28">
        <v>2</v>
      </c>
      <c r="H467" s="28">
        <v>81433</v>
      </c>
      <c r="I467" s="28" t="s">
        <v>17</v>
      </c>
      <c r="J467" s="28">
        <v>82229094</v>
      </c>
      <c r="K467" s="38" t="s">
        <v>1751</v>
      </c>
      <c r="L467" t="s">
        <v>1753</v>
      </c>
      <c r="M467" s="39">
        <v>399900</v>
      </c>
      <c r="N467" s="30">
        <v>0.9</v>
      </c>
      <c r="O467" s="33">
        <f t="shared" si="7"/>
        <v>39989.999999999993</v>
      </c>
      <c r="P467" s="28" t="s">
        <v>0</v>
      </c>
    </row>
    <row r="468" spans="1:16" x14ac:dyDescent="0.3">
      <c r="A468" s="32" t="s">
        <v>3213</v>
      </c>
      <c r="B468" s="40">
        <v>46093</v>
      </c>
      <c r="C468" s="40">
        <v>46098</v>
      </c>
      <c r="D468" s="27">
        <v>3319</v>
      </c>
      <c r="E468" s="32">
        <v>327</v>
      </c>
      <c r="F468" s="25">
        <v>2</v>
      </c>
      <c r="G468" s="28">
        <v>2</v>
      </c>
      <c r="H468" s="28">
        <v>81433</v>
      </c>
      <c r="I468" s="28" t="s">
        <v>17</v>
      </c>
      <c r="J468" s="28">
        <v>82229101</v>
      </c>
      <c r="K468" s="38" t="s">
        <v>1751</v>
      </c>
      <c r="L468" t="s">
        <v>1754</v>
      </c>
      <c r="M468" s="39">
        <v>399900</v>
      </c>
      <c r="N468" s="30">
        <v>0.9</v>
      </c>
      <c r="O468" s="33">
        <f t="shared" ref="O468:O524" si="8">M468*(1-N468)</f>
        <v>39989.999999999993</v>
      </c>
      <c r="P468" s="28" t="s">
        <v>0</v>
      </c>
    </row>
    <row r="469" spans="1:16" x14ac:dyDescent="0.3">
      <c r="A469" s="32" t="s">
        <v>3213</v>
      </c>
      <c r="B469" s="40">
        <v>46093</v>
      </c>
      <c r="C469" s="40">
        <v>46098</v>
      </c>
      <c r="D469" s="27">
        <v>3319</v>
      </c>
      <c r="E469" s="32">
        <v>327</v>
      </c>
      <c r="F469" s="25">
        <v>2</v>
      </c>
      <c r="G469" s="28">
        <v>2</v>
      </c>
      <c r="H469" s="28">
        <v>81433</v>
      </c>
      <c r="I469" s="28" t="s">
        <v>17</v>
      </c>
      <c r="J469" s="28">
        <v>82229110</v>
      </c>
      <c r="K469" s="38" t="s">
        <v>1751</v>
      </c>
      <c r="L469" t="s">
        <v>1755</v>
      </c>
      <c r="M469" s="39">
        <v>399900</v>
      </c>
      <c r="N469" s="30">
        <v>0.9</v>
      </c>
      <c r="O469" s="33">
        <f t="shared" si="8"/>
        <v>39989.999999999993</v>
      </c>
      <c r="P469" s="28" t="s">
        <v>0</v>
      </c>
    </row>
    <row r="470" spans="1:16" x14ac:dyDescent="0.3">
      <c r="A470" s="32" t="s">
        <v>3213</v>
      </c>
      <c r="B470" s="40">
        <v>46093</v>
      </c>
      <c r="C470" s="40">
        <v>46098</v>
      </c>
      <c r="D470" s="27">
        <v>3319</v>
      </c>
      <c r="E470" s="32">
        <v>327</v>
      </c>
      <c r="F470" s="25">
        <v>2</v>
      </c>
      <c r="G470" s="28">
        <v>2</v>
      </c>
      <c r="H470" s="28">
        <v>81433</v>
      </c>
      <c r="I470" s="28" t="s">
        <v>17</v>
      </c>
      <c r="J470" s="28">
        <v>82229129</v>
      </c>
      <c r="K470" s="38" t="s">
        <v>1751</v>
      </c>
      <c r="L470" t="s">
        <v>1756</v>
      </c>
      <c r="M470" s="39">
        <v>399900</v>
      </c>
      <c r="N470" s="30">
        <v>0.9</v>
      </c>
      <c r="O470" s="33">
        <f t="shared" si="8"/>
        <v>39989.999999999993</v>
      </c>
      <c r="P470" s="28" t="s">
        <v>0</v>
      </c>
    </row>
    <row r="471" spans="1:16" x14ac:dyDescent="0.3">
      <c r="A471" s="32" t="s">
        <v>3213</v>
      </c>
      <c r="B471" s="40">
        <v>46093</v>
      </c>
      <c r="C471" s="40">
        <v>46098</v>
      </c>
      <c r="D471" s="27">
        <v>3319</v>
      </c>
      <c r="E471" s="32">
        <v>327</v>
      </c>
      <c r="F471" s="25">
        <v>2</v>
      </c>
      <c r="G471" s="28">
        <v>2</v>
      </c>
      <c r="H471" s="28">
        <v>81433</v>
      </c>
      <c r="I471" s="28" t="s">
        <v>17</v>
      </c>
      <c r="J471" s="28">
        <v>82229138</v>
      </c>
      <c r="K471" s="38" t="s">
        <v>1751</v>
      </c>
      <c r="L471" t="s">
        <v>1757</v>
      </c>
      <c r="M471" s="39">
        <v>399900</v>
      </c>
      <c r="N471" s="30">
        <v>0.9</v>
      </c>
      <c r="O471" s="33">
        <f t="shared" si="8"/>
        <v>39989.999999999993</v>
      </c>
      <c r="P471" s="28" t="s">
        <v>0</v>
      </c>
    </row>
    <row r="472" spans="1:16" x14ac:dyDescent="0.3">
      <c r="A472" s="32" t="s">
        <v>3213</v>
      </c>
      <c r="B472" s="40">
        <v>46093</v>
      </c>
      <c r="C472" s="40">
        <v>46098</v>
      </c>
      <c r="D472" s="27">
        <v>3319</v>
      </c>
      <c r="E472" s="32">
        <v>327</v>
      </c>
      <c r="F472" s="25">
        <v>2</v>
      </c>
      <c r="G472" s="28">
        <v>2</v>
      </c>
      <c r="H472" s="28">
        <v>81433</v>
      </c>
      <c r="I472" s="28" t="s">
        <v>17</v>
      </c>
      <c r="J472" s="28">
        <v>82229147</v>
      </c>
      <c r="K472" s="38" t="s">
        <v>1751</v>
      </c>
      <c r="L472" t="s">
        <v>1758</v>
      </c>
      <c r="M472" s="39">
        <v>399900</v>
      </c>
      <c r="N472" s="30">
        <v>0.9</v>
      </c>
      <c r="O472" s="33">
        <f t="shared" si="8"/>
        <v>39989.999999999993</v>
      </c>
      <c r="P472" s="28" t="s">
        <v>0</v>
      </c>
    </row>
    <row r="473" spans="1:16" x14ac:dyDescent="0.3">
      <c r="A473" s="32" t="s">
        <v>3213</v>
      </c>
      <c r="B473" s="40">
        <v>46093</v>
      </c>
      <c r="C473" s="40">
        <v>46098</v>
      </c>
      <c r="D473" s="27">
        <v>3319</v>
      </c>
      <c r="E473" s="32">
        <v>327</v>
      </c>
      <c r="F473" s="25">
        <v>2</v>
      </c>
      <c r="G473" s="28">
        <v>2</v>
      </c>
      <c r="H473" s="28">
        <v>81433</v>
      </c>
      <c r="I473" s="28" t="s">
        <v>17</v>
      </c>
      <c r="J473" s="28">
        <v>82229156</v>
      </c>
      <c r="K473" s="38" t="s">
        <v>1751</v>
      </c>
      <c r="L473" t="s">
        <v>1759</v>
      </c>
      <c r="M473" s="39">
        <v>399900</v>
      </c>
      <c r="N473" s="30">
        <v>0.9</v>
      </c>
      <c r="O473" s="33">
        <f t="shared" si="8"/>
        <v>39989.999999999993</v>
      </c>
      <c r="P473" s="28" t="s">
        <v>0</v>
      </c>
    </row>
    <row r="474" spans="1:16" x14ac:dyDescent="0.3">
      <c r="A474" s="32" t="s">
        <v>3213</v>
      </c>
      <c r="B474" s="40">
        <v>46093</v>
      </c>
      <c r="C474" s="40">
        <v>46098</v>
      </c>
      <c r="D474" s="27">
        <v>3319</v>
      </c>
      <c r="E474" s="32">
        <v>327</v>
      </c>
      <c r="F474" s="25">
        <v>2</v>
      </c>
      <c r="G474" s="28">
        <v>2</v>
      </c>
      <c r="H474" s="28">
        <v>81433</v>
      </c>
      <c r="I474" s="28" t="s">
        <v>17</v>
      </c>
      <c r="J474" s="28">
        <v>82229165</v>
      </c>
      <c r="K474" s="38" t="s">
        <v>1751</v>
      </c>
      <c r="L474" t="s">
        <v>1760</v>
      </c>
      <c r="M474" s="39">
        <v>399900</v>
      </c>
      <c r="N474" s="30">
        <v>0.9</v>
      </c>
      <c r="O474" s="33">
        <f t="shared" si="8"/>
        <v>39989.999999999993</v>
      </c>
      <c r="P474" s="28" t="s">
        <v>0</v>
      </c>
    </row>
    <row r="475" spans="1:16" x14ac:dyDescent="0.3">
      <c r="A475" s="32" t="s">
        <v>3213</v>
      </c>
      <c r="B475" s="40">
        <v>46093</v>
      </c>
      <c r="C475" s="40">
        <v>46098</v>
      </c>
      <c r="D475" s="27">
        <v>3319</v>
      </c>
      <c r="E475" s="32">
        <v>327</v>
      </c>
      <c r="F475" s="25">
        <v>2</v>
      </c>
      <c r="G475" s="28">
        <v>2</v>
      </c>
      <c r="H475" s="28">
        <v>81433</v>
      </c>
      <c r="I475" s="28" t="s">
        <v>17</v>
      </c>
      <c r="J475" s="28">
        <v>82229174</v>
      </c>
      <c r="K475" s="38" t="s">
        <v>1751</v>
      </c>
      <c r="L475" t="s">
        <v>1761</v>
      </c>
      <c r="M475" s="39">
        <v>399900</v>
      </c>
      <c r="N475" s="30">
        <v>0.9</v>
      </c>
      <c r="O475" s="33">
        <f t="shared" si="8"/>
        <v>39989.999999999993</v>
      </c>
      <c r="P475" s="28" t="s">
        <v>0</v>
      </c>
    </row>
    <row r="476" spans="1:16" x14ac:dyDescent="0.3">
      <c r="A476" s="32" t="s">
        <v>3213</v>
      </c>
      <c r="B476" s="40">
        <v>46093</v>
      </c>
      <c r="C476" s="40">
        <v>46098</v>
      </c>
      <c r="D476" s="27">
        <v>3319</v>
      </c>
      <c r="E476" s="32">
        <v>327</v>
      </c>
      <c r="F476" s="25">
        <v>2</v>
      </c>
      <c r="G476" s="28">
        <v>1</v>
      </c>
      <c r="H476" s="28">
        <v>81433</v>
      </c>
      <c r="I476" s="28" t="s">
        <v>17</v>
      </c>
      <c r="J476" s="28">
        <v>81268491</v>
      </c>
      <c r="K476" s="38" t="s">
        <v>1625</v>
      </c>
      <c r="L476" t="s">
        <v>1626</v>
      </c>
      <c r="M476" s="39">
        <v>239900</v>
      </c>
      <c r="N476" s="30">
        <v>0.9</v>
      </c>
      <c r="O476" s="33">
        <f t="shared" si="8"/>
        <v>23989.999999999996</v>
      </c>
      <c r="P476" s="28" t="s">
        <v>0</v>
      </c>
    </row>
    <row r="477" spans="1:16" x14ac:dyDescent="0.3">
      <c r="A477" s="32" t="s">
        <v>3213</v>
      </c>
      <c r="B477" s="40">
        <v>46093</v>
      </c>
      <c r="C477" s="40">
        <v>46098</v>
      </c>
      <c r="D477" s="27">
        <v>3319</v>
      </c>
      <c r="E477" s="32">
        <v>327</v>
      </c>
      <c r="F477" s="25">
        <v>2</v>
      </c>
      <c r="G477" s="28">
        <v>1</v>
      </c>
      <c r="H477" s="28">
        <v>81433</v>
      </c>
      <c r="I477" s="28" t="s">
        <v>17</v>
      </c>
      <c r="J477" s="28">
        <v>81268508</v>
      </c>
      <c r="K477" s="38" t="s">
        <v>1625</v>
      </c>
      <c r="L477" t="s">
        <v>1627</v>
      </c>
      <c r="M477" s="39">
        <v>239900</v>
      </c>
      <c r="N477" s="30">
        <v>0.9</v>
      </c>
      <c r="O477" s="33">
        <f t="shared" si="8"/>
        <v>23989.999999999996</v>
      </c>
      <c r="P477" s="28" t="s">
        <v>0</v>
      </c>
    </row>
    <row r="478" spans="1:16" x14ac:dyDescent="0.3">
      <c r="A478" s="32" t="s">
        <v>3213</v>
      </c>
      <c r="B478" s="40">
        <v>46093</v>
      </c>
      <c r="C478" s="40">
        <v>46098</v>
      </c>
      <c r="D478" s="27">
        <v>3319</v>
      </c>
      <c r="E478" s="32">
        <v>327</v>
      </c>
      <c r="F478" s="25">
        <v>2</v>
      </c>
      <c r="G478" s="28">
        <v>1</v>
      </c>
      <c r="H478" s="28">
        <v>81433</v>
      </c>
      <c r="I478" s="28" t="s">
        <v>17</v>
      </c>
      <c r="J478" s="28">
        <v>81268517</v>
      </c>
      <c r="K478" s="38" t="s">
        <v>1625</v>
      </c>
      <c r="L478" t="s">
        <v>1628</v>
      </c>
      <c r="M478" s="39">
        <v>239900</v>
      </c>
      <c r="N478" s="30">
        <v>0.9</v>
      </c>
      <c r="O478" s="33">
        <f t="shared" si="8"/>
        <v>23989.999999999996</v>
      </c>
      <c r="P478" s="28" t="s">
        <v>0</v>
      </c>
    </row>
    <row r="479" spans="1:16" x14ac:dyDescent="0.3">
      <c r="A479" s="32" t="s">
        <v>3213</v>
      </c>
      <c r="B479" s="40">
        <v>46093</v>
      </c>
      <c r="C479" s="40">
        <v>46098</v>
      </c>
      <c r="D479" s="27">
        <v>3319</v>
      </c>
      <c r="E479" s="32">
        <v>327</v>
      </c>
      <c r="F479" s="25">
        <v>2</v>
      </c>
      <c r="G479" s="28">
        <v>1</v>
      </c>
      <c r="H479" s="28">
        <v>81433</v>
      </c>
      <c r="I479" s="28" t="s">
        <v>17</v>
      </c>
      <c r="J479" s="28">
        <v>81268526</v>
      </c>
      <c r="K479" s="38" t="s">
        <v>1625</v>
      </c>
      <c r="L479" t="s">
        <v>1629</v>
      </c>
      <c r="M479" s="39">
        <v>239900</v>
      </c>
      <c r="N479" s="30">
        <v>0.9</v>
      </c>
      <c r="O479" s="33">
        <f t="shared" si="8"/>
        <v>23989.999999999996</v>
      </c>
      <c r="P479" s="28" t="s">
        <v>0</v>
      </c>
    </row>
    <row r="480" spans="1:16" x14ac:dyDescent="0.3">
      <c r="A480" s="32" t="s">
        <v>3213</v>
      </c>
      <c r="B480" s="40">
        <v>46093</v>
      </c>
      <c r="C480" s="40">
        <v>46098</v>
      </c>
      <c r="D480" s="27">
        <v>3319</v>
      </c>
      <c r="E480" s="32">
        <v>327</v>
      </c>
      <c r="F480" s="25">
        <v>2</v>
      </c>
      <c r="G480" s="28">
        <v>1</v>
      </c>
      <c r="H480" s="28">
        <v>81433</v>
      </c>
      <c r="I480" s="28" t="s">
        <v>17</v>
      </c>
      <c r="J480" s="28">
        <v>81268535</v>
      </c>
      <c r="K480" s="38" t="s">
        <v>1625</v>
      </c>
      <c r="L480" t="s">
        <v>1630</v>
      </c>
      <c r="M480" s="39">
        <v>239900</v>
      </c>
      <c r="N480" s="30">
        <v>0.9</v>
      </c>
      <c r="O480" s="33">
        <f t="shared" si="8"/>
        <v>23989.999999999996</v>
      </c>
      <c r="P480" s="28" t="s">
        <v>0</v>
      </c>
    </row>
    <row r="481" spans="1:16" x14ac:dyDescent="0.3">
      <c r="A481" s="32" t="s">
        <v>3213</v>
      </c>
      <c r="B481" s="40">
        <v>46093</v>
      </c>
      <c r="C481" s="40">
        <v>46098</v>
      </c>
      <c r="D481" s="27">
        <v>3319</v>
      </c>
      <c r="E481" s="32">
        <v>327</v>
      </c>
      <c r="F481" s="25">
        <v>2</v>
      </c>
      <c r="G481" s="28">
        <v>1</v>
      </c>
      <c r="H481" s="28">
        <v>81433</v>
      </c>
      <c r="I481" s="28" t="s">
        <v>17</v>
      </c>
      <c r="J481" s="28">
        <v>81268544</v>
      </c>
      <c r="K481" s="38" t="s">
        <v>1625</v>
      </c>
      <c r="L481" t="s">
        <v>1631</v>
      </c>
      <c r="M481" s="39">
        <v>239900</v>
      </c>
      <c r="N481" s="30">
        <v>0.9</v>
      </c>
      <c r="O481" s="33">
        <f t="shared" si="8"/>
        <v>23989.999999999996</v>
      </c>
      <c r="P481" s="28" t="s">
        <v>0</v>
      </c>
    </row>
    <row r="482" spans="1:16" x14ac:dyDescent="0.3">
      <c r="A482" s="32" t="s">
        <v>3213</v>
      </c>
      <c r="B482" s="40">
        <v>46093</v>
      </c>
      <c r="C482" s="40">
        <v>46098</v>
      </c>
      <c r="D482" s="27">
        <v>3319</v>
      </c>
      <c r="E482" s="32">
        <v>327</v>
      </c>
      <c r="F482" s="25">
        <v>2</v>
      </c>
      <c r="G482" s="28">
        <v>1</v>
      </c>
      <c r="H482" s="28">
        <v>81433</v>
      </c>
      <c r="I482" s="28" t="s">
        <v>17</v>
      </c>
      <c r="J482" s="28">
        <v>81268553</v>
      </c>
      <c r="K482" s="38" t="s">
        <v>1625</v>
      </c>
      <c r="L482" t="s">
        <v>1632</v>
      </c>
      <c r="M482" s="39">
        <v>239900</v>
      </c>
      <c r="N482" s="30">
        <v>0.9</v>
      </c>
      <c r="O482" s="33">
        <f t="shared" si="8"/>
        <v>23989.999999999996</v>
      </c>
      <c r="P482" s="28" t="s">
        <v>0</v>
      </c>
    </row>
    <row r="483" spans="1:16" x14ac:dyDescent="0.3">
      <c r="A483" s="32" t="s">
        <v>3213</v>
      </c>
      <c r="B483" s="40">
        <v>46093</v>
      </c>
      <c r="C483" s="40">
        <v>46098</v>
      </c>
      <c r="D483" s="27">
        <v>3319</v>
      </c>
      <c r="E483" s="32">
        <v>327</v>
      </c>
      <c r="F483" s="25">
        <v>2</v>
      </c>
      <c r="G483" s="28">
        <v>1</v>
      </c>
      <c r="H483" s="28">
        <v>81433</v>
      </c>
      <c r="I483" s="28" t="s">
        <v>17</v>
      </c>
      <c r="J483" s="28">
        <v>81268562</v>
      </c>
      <c r="K483" s="38" t="s">
        <v>1625</v>
      </c>
      <c r="L483" t="s">
        <v>1633</v>
      </c>
      <c r="M483" s="39">
        <v>239900</v>
      </c>
      <c r="N483" s="30">
        <v>0.9</v>
      </c>
      <c r="O483" s="33">
        <f t="shared" si="8"/>
        <v>23989.999999999996</v>
      </c>
      <c r="P483" s="28" t="s">
        <v>0</v>
      </c>
    </row>
    <row r="484" spans="1:16" x14ac:dyDescent="0.3">
      <c r="A484" s="32" t="s">
        <v>3213</v>
      </c>
      <c r="B484" s="40">
        <v>46093</v>
      </c>
      <c r="C484" s="40">
        <v>46098</v>
      </c>
      <c r="D484" s="27">
        <v>3319</v>
      </c>
      <c r="E484" s="32">
        <v>327</v>
      </c>
      <c r="F484" s="25">
        <v>2</v>
      </c>
      <c r="G484" s="28">
        <v>1</v>
      </c>
      <c r="H484" s="28">
        <v>81433</v>
      </c>
      <c r="I484" s="28" t="s">
        <v>17</v>
      </c>
      <c r="J484" s="28">
        <v>81268571</v>
      </c>
      <c r="K484" s="38" t="s">
        <v>1625</v>
      </c>
      <c r="L484" t="s">
        <v>1634</v>
      </c>
      <c r="M484" s="39">
        <v>239900</v>
      </c>
      <c r="N484" s="30">
        <v>0.9</v>
      </c>
      <c r="O484" s="33">
        <f t="shared" si="8"/>
        <v>23989.999999999996</v>
      </c>
      <c r="P484" s="28" t="s">
        <v>0</v>
      </c>
    </row>
    <row r="485" spans="1:16" x14ac:dyDescent="0.3">
      <c r="A485" s="32" t="s">
        <v>3213</v>
      </c>
      <c r="B485" s="40">
        <v>46093</v>
      </c>
      <c r="C485" s="40">
        <v>46098</v>
      </c>
      <c r="D485" s="27">
        <v>3319</v>
      </c>
      <c r="E485" s="32">
        <v>327</v>
      </c>
      <c r="F485" s="25">
        <v>2</v>
      </c>
      <c r="G485" s="28">
        <v>1</v>
      </c>
      <c r="H485" s="28">
        <v>81433</v>
      </c>
      <c r="I485" s="28" t="s">
        <v>17</v>
      </c>
      <c r="J485" s="28">
        <v>81268580</v>
      </c>
      <c r="K485" s="38" t="s">
        <v>1625</v>
      </c>
      <c r="L485" t="s">
        <v>1635</v>
      </c>
      <c r="M485" s="39">
        <v>239900</v>
      </c>
      <c r="N485" s="30">
        <v>0.9</v>
      </c>
      <c r="O485" s="33">
        <f t="shared" si="8"/>
        <v>23989.999999999996</v>
      </c>
      <c r="P485" s="28" t="s">
        <v>0</v>
      </c>
    </row>
    <row r="486" spans="1:16" x14ac:dyDescent="0.3">
      <c r="A486" s="32" t="s">
        <v>3213</v>
      </c>
      <c r="B486" s="40">
        <v>46093</v>
      </c>
      <c r="C486" s="40">
        <v>46098</v>
      </c>
      <c r="D486" s="27">
        <v>3319</v>
      </c>
      <c r="E486" s="32">
        <v>327</v>
      </c>
      <c r="F486" s="25">
        <v>2</v>
      </c>
      <c r="G486" s="28">
        <v>1</v>
      </c>
      <c r="H486" s="28">
        <v>81433</v>
      </c>
      <c r="I486" s="28" t="s">
        <v>17</v>
      </c>
      <c r="J486" s="28">
        <v>13833560</v>
      </c>
      <c r="K486" s="38" t="s">
        <v>1659</v>
      </c>
      <c r="L486" t="s">
        <v>1660</v>
      </c>
      <c r="M486" s="39">
        <v>279900</v>
      </c>
      <c r="N486" s="30">
        <v>0.9</v>
      </c>
      <c r="O486" s="33">
        <f t="shared" si="8"/>
        <v>27989.999999999993</v>
      </c>
      <c r="P486" s="28" t="s">
        <v>0</v>
      </c>
    </row>
    <row r="487" spans="1:16" x14ac:dyDescent="0.3">
      <c r="A487" s="32" t="s">
        <v>3213</v>
      </c>
      <c r="B487" s="40">
        <v>46093</v>
      </c>
      <c r="C487" s="40">
        <v>46098</v>
      </c>
      <c r="D487" s="27">
        <v>3319</v>
      </c>
      <c r="E487" s="32">
        <v>327</v>
      </c>
      <c r="F487" s="25">
        <v>2</v>
      </c>
      <c r="G487" s="28">
        <v>1</v>
      </c>
      <c r="H487" s="28">
        <v>81433</v>
      </c>
      <c r="I487" s="28" t="s">
        <v>17</v>
      </c>
      <c r="J487" s="28">
        <v>13833579</v>
      </c>
      <c r="K487" s="38" t="s">
        <v>1659</v>
      </c>
      <c r="L487" t="s">
        <v>1661</v>
      </c>
      <c r="M487" s="39">
        <v>279900</v>
      </c>
      <c r="N487" s="30">
        <v>0.9</v>
      </c>
      <c r="O487" s="33">
        <f t="shared" si="8"/>
        <v>27989.999999999993</v>
      </c>
      <c r="P487" s="28" t="s">
        <v>0</v>
      </c>
    </row>
    <row r="488" spans="1:16" x14ac:dyDescent="0.3">
      <c r="A488" s="32" t="s">
        <v>3213</v>
      </c>
      <c r="B488" s="40">
        <v>46093</v>
      </c>
      <c r="C488" s="40">
        <v>46098</v>
      </c>
      <c r="D488" s="27">
        <v>3319</v>
      </c>
      <c r="E488" s="32">
        <v>327</v>
      </c>
      <c r="F488" s="25">
        <v>2</v>
      </c>
      <c r="G488" s="28">
        <v>1</v>
      </c>
      <c r="H488" s="28">
        <v>81433</v>
      </c>
      <c r="I488" s="28" t="s">
        <v>17</v>
      </c>
      <c r="J488" s="28">
        <v>13833588</v>
      </c>
      <c r="K488" s="38" t="s">
        <v>1659</v>
      </c>
      <c r="L488" t="s">
        <v>1662</v>
      </c>
      <c r="M488" s="39">
        <v>279900</v>
      </c>
      <c r="N488" s="30">
        <v>0.9</v>
      </c>
      <c r="O488" s="33">
        <f t="shared" si="8"/>
        <v>27989.999999999993</v>
      </c>
      <c r="P488" s="28" t="s">
        <v>0</v>
      </c>
    </row>
    <row r="489" spans="1:16" x14ac:dyDescent="0.3">
      <c r="A489" s="32" t="s">
        <v>3213</v>
      </c>
      <c r="B489" s="40">
        <v>46093</v>
      </c>
      <c r="C489" s="40">
        <v>46098</v>
      </c>
      <c r="D489" s="27">
        <v>3319</v>
      </c>
      <c r="E489" s="32">
        <v>327</v>
      </c>
      <c r="F489" s="25">
        <v>2</v>
      </c>
      <c r="G489" s="28">
        <v>1</v>
      </c>
      <c r="H489" s="28">
        <v>81433</v>
      </c>
      <c r="I489" s="28" t="s">
        <v>17</v>
      </c>
      <c r="J489" s="28">
        <v>13833597</v>
      </c>
      <c r="K489" s="38" t="s">
        <v>1659</v>
      </c>
      <c r="L489" t="s">
        <v>1663</v>
      </c>
      <c r="M489" s="39">
        <v>279900</v>
      </c>
      <c r="N489" s="30">
        <v>0.9</v>
      </c>
      <c r="O489" s="33">
        <f t="shared" si="8"/>
        <v>27989.999999999993</v>
      </c>
      <c r="P489" s="28" t="s">
        <v>0</v>
      </c>
    </row>
    <row r="490" spans="1:16" x14ac:dyDescent="0.3">
      <c r="A490" s="32" t="s">
        <v>3213</v>
      </c>
      <c r="B490" s="40">
        <v>46093</v>
      </c>
      <c r="C490" s="40">
        <v>46098</v>
      </c>
      <c r="D490" s="27">
        <v>3319</v>
      </c>
      <c r="E490" s="32">
        <v>327</v>
      </c>
      <c r="F490" s="25">
        <v>2</v>
      </c>
      <c r="G490" s="28">
        <v>1</v>
      </c>
      <c r="H490" s="28">
        <v>81433</v>
      </c>
      <c r="I490" s="28" t="s">
        <v>17</v>
      </c>
      <c r="J490" s="28">
        <v>13833604</v>
      </c>
      <c r="K490" s="38" t="s">
        <v>1659</v>
      </c>
      <c r="L490" t="s">
        <v>1664</v>
      </c>
      <c r="M490" s="39">
        <v>279900</v>
      </c>
      <c r="N490" s="30">
        <v>0.9</v>
      </c>
      <c r="O490" s="33">
        <f t="shared" si="8"/>
        <v>27989.999999999993</v>
      </c>
      <c r="P490" s="28" t="s">
        <v>0</v>
      </c>
    </row>
    <row r="491" spans="1:16" x14ac:dyDescent="0.3">
      <c r="A491" s="32" t="s">
        <v>3213</v>
      </c>
      <c r="B491" s="40">
        <v>46093</v>
      </c>
      <c r="C491" s="40">
        <v>46098</v>
      </c>
      <c r="D491" s="27">
        <v>3319</v>
      </c>
      <c r="E491" s="32">
        <v>327</v>
      </c>
      <c r="F491" s="25">
        <v>2</v>
      </c>
      <c r="G491" s="28">
        <v>1</v>
      </c>
      <c r="H491" s="28">
        <v>81433</v>
      </c>
      <c r="I491" s="28" t="s">
        <v>17</v>
      </c>
      <c r="J491" s="28">
        <v>13833613</v>
      </c>
      <c r="K491" s="38" t="s">
        <v>1659</v>
      </c>
      <c r="L491" t="s">
        <v>1665</v>
      </c>
      <c r="M491" s="39">
        <v>279900</v>
      </c>
      <c r="N491" s="30">
        <v>0.9</v>
      </c>
      <c r="O491" s="33">
        <f t="shared" si="8"/>
        <v>27989.999999999993</v>
      </c>
      <c r="P491" s="28" t="s">
        <v>0</v>
      </c>
    </row>
    <row r="492" spans="1:16" x14ac:dyDescent="0.3">
      <c r="A492" s="32" t="s">
        <v>3213</v>
      </c>
      <c r="B492" s="40">
        <v>46093</v>
      </c>
      <c r="C492" s="40">
        <v>46098</v>
      </c>
      <c r="D492" s="27">
        <v>3319</v>
      </c>
      <c r="E492" s="32">
        <v>327</v>
      </c>
      <c r="F492" s="25">
        <v>2</v>
      </c>
      <c r="G492" s="28">
        <v>1</v>
      </c>
      <c r="H492" s="28">
        <v>81433</v>
      </c>
      <c r="I492" s="28" t="s">
        <v>17</v>
      </c>
      <c r="J492" s="28">
        <v>13833622</v>
      </c>
      <c r="K492" s="38" t="s">
        <v>1659</v>
      </c>
      <c r="L492" t="s">
        <v>1666</v>
      </c>
      <c r="M492" s="39">
        <v>279900</v>
      </c>
      <c r="N492" s="30">
        <v>0.9</v>
      </c>
      <c r="O492" s="33">
        <f t="shared" si="8"/>
        <v>27989.999999999993</v>
      </c>
      <c r="P492" s="28" t="s">
        <v>0</v>
      </c>
    </row>
    <row r="493" spans="1:16" x14ac:dyDescent="0.3">
      <c r="A493" s="32" t="s">
        <v>3213</v>
      </c>
      <c r="B493" s="40">
        <v>46093</v>
      </c>
      <c r="C493" s="40">
        <v>46098</v>
      </c>
      <c r="D493" s="27">
        <v>3319</v>
      </c>
      <c r="E493" s="32">
        <v>327</v>
      </c>
      <c r="F493" s="25">
        <v>2</v>
      </c>
      <c r="G493" s="28">
        <v>1</v>
      </c>
      <c r="H493" s="28">
        <v>81433</v>
      </c>
      <c r="I493" s="28" t="s">
        <v>17</v>
      </c>
      <c r="J493" s="28">
        <v>13833631</v>
      </c>
      <c r="K493" s="38" t="s">
        <v>1659</v>
      </c>
      <c r="L493" t="s">
        <v>1667</v>
      </c>
      <c r="M493" s="39">
        <v>279900</v>
      </c>
      <c r="N493" s="30">
        <v>0.9</v>
      </c>
      <c r="O493" s="33">
        <f t="shared" si="8"/>
        <v>27989.999999999993</v>
      </c>
      <c r="P493" s="28" t="s">
        <v>0</v>
      </c>
    </row>
    <row r="494" spans="1:16" x14ac:dyDescent="0.3">
      <c r="A494" s="32" t="s">
        <v>3213</v>
      </c>
      <c r="B494" s="40">
        <v>46093</v>
      </c>
      <c r="C494" s="40">
        <v>46098</v>
      </c>
      <c r="D494" s="27">
        <v>3319</v>
      </c>
      <c r="E494" s="32">
        <v>327</v>
      </c>
      <c r="F494" s="25">
        <v>2</v>
      </c>
      <c r="G494" s="28">
        <v>1</v>
      </c>
      <c r="H494" s="28">
        <v>81433</v>
      </c>
      <c r="I494" s="28" t="s">
        <v>17</v>
      </c>
      <c r="J494" s="28">
        <v>13833640</v>
      </c>
      <c r="K494" s="38" t="s">
        <v>1659</v>
      </c>
      <c r="L494" t="s">
        <v>1668</v>
      </c>
      <c r="M494" s="39">
        <v>279900</v>
      </c>
      <c r="N494" s="30">
        <v>0.9</v>
      </c>
      <c r="O494" s="33">
        <f t="shared" si="8"/>
        <v>27989.999999999993</v>
      </c>
      <c r="P494" s="28" t="s">
        <v>0</v>
      </c>
    </row>
    <row r="495" spans="1:16" x14ac:dyDescent="0.3">
      <c r="A495" s="32" t="s">
        <v>3213</v>
      </c>
      <c r="B495" s="40">
        <v>46093</v>
      </c>
      <c r="C495" s="40">
        <v>46098</v>
      </c>
      <c r="D495" s="27">
        <v>3319</v>
      </c>
      <c r="E495" s="32">
        <v>327</v>
      </c>
      <c r="F495" s="25">
        <v>2</v>
      </c>
      <c r="G495" s="28">
        <v>1</v>
      </c>
      <c r="H495" s="28">
        <v>81433</v>
      </c>
      <c r="I495" s="28" t="s">
        <v>17</v>
      </c>
      <c r="J495" s="28">
        <v>13833659</v>
      </c>
      <c r="K495" s="38" t="s">
        <v>1659</v>
      </c>
      <c r="L495" t="s">
        <v>1669</v>
      </c>
      <c r="M495" s="39">
        <v>279900</v>
      </c>
      <c r="N495" s="30">
        <v>0.9</v>
      </c>
      <c r="O495" s="33">
        <f t="shared" si="8"/>
        <v>27989.999999999993</v>
      </c>
      <c r="P495" s="28" t="s">
        <v>0</v>
      </c>
    </row>
    <row r="496" spans="1:16" x14ac:dyDescent="0.3">
      <c r="A496" s="32" t="s">
        <v>3213</v>
      </c>
      <c r="B496" s="40">
        <v>46093</v>
      </c>
      <c r="C496" s="40">
        <v>46098</v>
      </c>
      <c r="D496" s="27">
        <v>3319</v>
      </c>
      <c r="E496" s="32">
        <v>327</v>
      </c>
      <c r="F496" s="25">
        <v>2</v>
      </c>
      <c r="G496" s="28">
        <v>1</v>
      </c>
      <c r="H496" s="28">
        <v>81778</v>
      </c>
      <c r="I496" s="28" t="s">
        <v>17</v>
      </c>
      <c r="J496" s="28">
        <v>82228237</v>
      </c>
      <c r="K496" s="38" t="s">
        <v>1670</v>
      </c>
      <c r="L496" t="s">
        <v>1676</v>
      </c>
      <c r="M496" s="39">
        <v>279900</v>
      </c>
      <c r="N496" s="30">
        <v>0.9</v>
      </c>
      <c r="O496" s="33">
        <f t="shared" si="8"/>
        <v>27989.999999999993</v>
      </c>
      <c r="P496" s="28" t="s">
        <v>0</v>
      </c>
    </row>
    <row r="497" spans="1:16" x14ac:dyDescent="0.3">
      <c r="A497" s="32" t="s">
        <v>3213</v>
      </c>
      <c r="B497" s="40">
        <v>46093</v>
      </c>
      <c r="C497" s="40">
        <v>46098</v>
      </c>
      <c r="D497" s="27">
        <v>3319</v>
      </c>
      <c r="E497" s="32">
        <v>327</v>
      </c>
      <c r="F497" s="25">
        <v>2</v>
      </c>
      <c r="G497" s="28">
        <v>1</v>
      </c>
      <c r="H497" s="28">
        <v>81778</v>
      </c>
      <c r="I497" s="28" t="s">
        <v>17</v>
      </c>
      <c r="J497" s="28">
        <v>82228246</v>
      </c>
      <c r="K497" s="38" t="s">
        <v>1670</v>
      </c>
      <c r="L497" t="s">
        <v>1677</v>
      </c>
      <c r="M497" s="39">
        <v>279900</v>
      </c>
      <c r="N497" s="30">
        <v>0.9</v>
      </c>
      <c r="O497" s="33">
        <f t="shared" si="8"/>
        <v>27989.999999999993</v>
      </c>
      <c r="P497" s="28" t="s">
        <v>0</v>
      </c>
    </row>
    <row r="498" spans="1:16" x14ac:dyDescent="0.3">
      <c r="A498" s="32" t="s">
        <v>3213</v>
      </c>
      <c r="B498" s="40">
        <v>46093</v>
      </c>
      <c r="C498" s="40">
        <v>46098</v>
      </c>
      <c r="D498" s="27">
        <v>3319</v>
      </c>
      <c r="E498" s="32">
        <v>327</v>
      </c>
      <c r="F498" s="25">
        <v>2</v>
      </c>
      <c r="G498" s="28">
        <v>1</v>
      </c>
      <c r="H498" s="28">
        <v>81778</v>
      </c>
      <c r="I498" s="28" t="s">
        <v>17</v>
      </c>
      <c r="J498" s="28">
        <v>82228255</v>
      </c>
      <c r="K498" s="38" t="s">
        <v>1670</v>
      </c>
      <c r="L498" t="s">
        <v>1678</v>
      </c>
      <c r="M498" s="39">
        <v>279900</v>
      </c>
      <c r="N498" s="30">
        <v>0.9</v>
      </c>
      <c r="O498" s="33">
        <f t="shared" si="8"/>
        <v>27989.999999999993</v>
      </c>
      <c r="P498" s="28" t="s">
        <v>0</v>
      </c>
    </row>
    <row r="499" spans="1:16" x14ac:dyDescent="0.3">
      <c r="A499" s="32" t="s">
        <v>3213</v>
      </c>
      <c r="B499" s="40">
        <v>46093</v>
      </c>
      <c r="C499" s="40">
        <v>46098</v>
      </c>
      <c r="D499" s="27">
        <v>3319</v>
      </c>
      <c r="E499" s="32">
        <v>327</v>
      </c>
      <c r="F499" s="25">
        <v>2</v>
      </c>
      <c r="G499" s="28">
        <v>1</v>
      </c>
      <c r="H499" s="28">
        <v>81778</v>
      </c>
      <c r="I499" s="28" t="s">
        <v>17</v>
      </c>
      <c r="J499" s="28">
        <v>82228264</v>
      </c>
      <c r="K499" s="38" t="s">
        <v>1670</v>
      </c>
      <c r="L499" t="s">
        <v>1679</v>
      </c>
      <c r="M499" s="39">
        <v>279900</v>
      </c>
      <c r="N499" s="30">
        <v>0.9</v>
      </c>
      <c r="O499" s="33">
        <f t="shared" si="8"/>
        <v>27989.999999999993</v>
      </c>
      <c r="P499" s="28" t="s">
        <v>0</v>
      </c>
    </row>
    <row r="500" spans="1:16" x14ac:dyDescent="0.3">
      <c r="A500" s="32" t="s">
        <v>3213</v>
      </c>
      <c r="B500" s="40">
        <v>46093</v>
      </c>
      <c r="C500" s="40">
        <v>46098</v>
      </c>
      <c r="D500" s="27">
        <v>3319</v>
      </c>
      <c r="E500" s="32">
        <v>327</v>
      </c>
      <c r="F500" s="25">
        <v>2</v>
      </c>
      <c r="G500" s="28">
        <v>1</v>
      </c>
      <c r="H500" s="28">
        <v>81778</v>
      </c>
      <c r="I500" s="28" t="s">
        <v>17</v>
      </c>
      <c r="J500" s="28">
        <v>82228273</v>
      </c>
      <c r="K500" s="38" t="s">
        <v>1670</v>
      </c>
      <c r="L500" t="s">
        <v>1680</v>
      </c>
      <c r="M500" s="39">
        <v>279900</v>
      </c>
      <c r="N500" s="30">
        <v>0.9</v>
      </c>
      <c r="O500" s="33">
        <f t="shared" si="8"/>
        <v>27989.999999999993</v>
      </c>
      <c r="P500" s="28" t="s">
        <v>0</v>
      </c>
    </row>
    <row r="501" spans="1:16" x14ac:dyDescent="0.3">
      <c r="A501" s="32" t="s">
        <v>3213</v>
      </c>
      <c r="B501" s="26">
        <v>46093</v>
      </c>
      <c r="C501" s="26">
        <v>46098</v>
      </c>
      <c r="D501" s="27">
        <v>3319</v>
      </c>
      <c r="E501" s="6">
        <v>327</v>
      </c>
      <c r="F501" s="25">
        <v>2</v>
      </c>
      <c r="G501" s="28">
        <v>1</v>
      </c>
      <c r="H501" s="28">
        <v>81433</v>
      </c>
      <c r="I501" s="28" t="s">
        <v>17</v>
      </c>
      <c r="J501" s="28">
        <v>13838841</v>
      </c>
      <c r="K501" s="38" t="s">
        <v>31</v>
      </c>
      <c r="L501" t="s">
        <v>1708</v>
      </c>
      <c r="M501" s="39">
        <v>279900</v>
      </c>
      <c r="N501" s="30">
        <v>0.9</v>
      </c>
      <c r="O501" s="33">
        <f t="shared" si="8"/>
        <v>27989.999999999993</v>
      </c>
      <c r="P501" s="28" t="s">
        <v>0</v>
      </c>
    </row>
    <row r="502" spans="1:16" x14ac:dyDescent="0.3">
      <c r="A502" s="32" t="s">
        <v>3213</v>
      </c>
      <c r="B502" s="26">
        <v>46093</v>
      </c>
      <c r="C502" s="26">
        <v>46098</v>
      </c>
      <c r="D502" s="27">
        <v>3319</v>
      </c>
      <c r="E502" s="6">
        <v>327</v>
      </c>
      <c r="F502" s="25">
        <v>2</v>
      </c>
      <c r="G502" s="28">
        <v>1</v>
      </c>
      <c r="H502" s="28">
        <v>81433</v>
      </c>
      <c r="I502" s="28" t="s">
        <v>17</v>
      </c>
      <c r="J502" s="28">
        <v>13838869</v>
      </c>
      <c r="K502" s="38" t="s">
        <v>31</v>
      </c>
      <c r="L502" t="s">
        <v>1710</v>
      </c>
      <c r="M502" s="39">
        <v>279900</v>
      </c>
      <c r="N502" s="30">
        <v>0.9</v>
      </c>
      <c r="O502" s="33">
        <f t="shared" si="8"/>
        <v>27989.999999999993</v>
      </c>
      <c r="P502" s="28" t="s">
        <v>0</v>
      </c>
    </row>
    <row r="503" spans="1:16" x14ac:dyDescent="0.3">
      <c r="A503" s="32" t="s">
        <v>3213</v>
      </c>
      <c r="B503" s="26">
        <v>46093</v>
      </c>
      <c r="C503" s="26">
        <v>46098</v>
      </c>
      <c r="D503" s="27">
        <v>3319</v>
      </c>
      <c r="E503" s="6">
        <v>327</v>
      </c>
      <c r="F503" s="25">
        <v>2</v>
      </c>
      <c r="G503" s="28">
        <v>1</v>
      </c>
      <c r="H503" s="28">
        <v>81433</v>
      </c>
      <c r="I503" s="28" t="s">
        <v>17</v>
      </c>
      <c r="J503" s="28">
        <v>13838878</v>
      </c>
      <c r="K503" s="38" t="s">
        <v>31</v>
      </c>
      <c r="L503" t="s">
        <v>1711</v>
      </c>
      <c r="M503" s="39">
        <v>279900</v>
      </c>
      <c r="N503" s="30">
        <v>0.9</v>
      </c>
      <c r="O503" s="33">
        <f t="shared" si="8"/>
        <v>27989.999999999993</v>
      </c>
      <c r="P503" s="28" t="s">
        <v>0</v>
      </c>
    </row>
    <row r="504" spans="1:16" x14ac:dyDescent="0.3">
      <c r="A504" s="32" t="s">
        <v>3213</v>
      </c>
      <c r="B504" s="26">
        <v>46093</v>
      </c>
      <c r="C504" s="26">
        <v>46098</v>
      </c>
      <c r="D504" s="27">
        <v>3319</v>
      </c>
      <c r="E504" s="6">
        <v>327</v>
      </c>
      <c r="F504" s="25">
        <v>2</v>
      </c>
      <c r="G504" s="28">
        <v>1</v>
      </c>
      <c r="H504" s="28">
        <v>81778</v>
      </c>
      <c r="I504" s="28" t="s">
        <v>17</v>
      </c>
      <c r="J504" s="28">
        <v>13838234</v>
      </c>
      <c r="K504" s="38" t="s">
        <v>19</v>
      </c>
      <c r="L504" t="s">
        <v>20</v>
      </c>
      <c r="M504" s="39">
        <v>259900</v>
      </c>
      <c r="N504" s="30">
        <v>0.9</v>
      </c>
      <c r="O504" s="33">
        <f t="shared" si="8"/>
        <v>25989.999999999993</v>
      </c>
      <c r="P504" s="28" t="s">
        <v>0</v>
      </c>
    </row>
    <row r="505" spans="1:16" x14ac:dyDescent="0.3">
      <c r="A505" s="32" t="s">
        <v>3213</v>
      </c>
      <c r="B505" s="26">
        <v>46093</v>
      </c>
      <c r="C505" s="26">
        <v>46098</v>
      </c>
      <c r="D505" s="27">
        <v>3319</v>
      </c>
      <c r="E505" s="6">
        <v>327</v>
      </c>
      <c r="F505" s="25">
        <v>2</v>
      </c>
      <c r="G505" s="28">
        <v>1</v>
      </c>
      <c r="H505" s="28">
        <v>81778</v>
      </c>
      <c r="I505" s="28" t="s">
        <v>17</v>
      </c>
      <c r="J505" s="28">
        <v>13838243</v>
      </c>
      <c r="K505" s="38" t="s">
        <v>19</v>
      </c>
      <c r="L505" t="s">
        <v>21</v>
      </c>
      <c r="M505" s="39">
        <v>259900</v>
      </c>
      <c r="N505" s="30">
        <v>0.9</v>
      </c>
      <c r="O505" s="33">
        <f t="shared" si="8"/>
        <v>25989.999999999993</v>
      </c>
      <c r="P505" s="28" t="s">
        <v>0</v>
      </c>
    </row>
    <row r="506" spans="1:16" x14ac:dyDescent="0.3">
      <c r="A506" s="32" t="s">
        <v>3213</v>
      </c>
      <c r="B506" s="26">
        <v>46093</v>
      </c>
      <c r="C506" s="26">
        <v>46098</v>
      </c>
      <c r="D506" s="27">
        <v>3319</v>
      </c>
      <c r="E506" s="6">
        <v>327</v>
      </c>
      <c r="F506" s="25">
        <v>2</v>
      </c>
      <c r="G506" s="28">
        <v>1</v>
      </c>
      <c r="H506" s="28">
        <v>81778</v>
      </c>
      <c r="I506" s="28" t="s">
        <v>17</v>
      </c>
      <c r="J506" s="28">
        <v>13838252</v>
      </c>
      <c r="K506" s="38" t="s">
        <v>19</v>
      </c>
      <c r="L506" t="s">
        <v>22</v>
      </c>
      <c r="M506" s="39">
        <v>259900</v>
      </c>
      <c r="N506" s="30">
        <v>0.9</v>
      </c>
      <c r="O506" s="33">
        <f t="shared" si="8"/>
        <v>25989.999999999993</v>
      </c>
      <c r="P506" s="28" t="s">
        <v>0</v>
      </c>
    </row>
    <row r="507" spans="1:16" x14ac:dyDescent="0.3">
      <c r="A507" s="32" t="s">
        <v>3213</v>
      </c>
      <c r="B507" s="26">
        <v>46093</v>
      </c>
      <c r="C507" s="26">
        <v>46098</v>
      </c>
      <c r="D507" s="27">
        <v>3319</v>
      </c>
      <c r="E507" s="6">
        <v>327</v>
      </c>
      <c r="F507" s="25">
        <v>2</v>
      </c>
      <c r="G507" s="28">
        <v>1</v>
      </c>
      <c r="H507" s="28">
        <v>81778</v>
      </c>
      <c r="I507" s="28" t="s">
        <v>17</v>
      </c>
      <c r="J507" s="28">
        <v>13838261</v>
      </c>
      <c r="K507" s="38" t="s">
        <v>19</v>
      </c>
      <c r="L507" t="s">
        <v>23</v>
      </c>
      <c r="M507" s="39">
        <v>259900</v>
      </c>
      <c r="N507" s="30">
        <v>0.9</v>
      </c>
      <c r="O507" s="33">
        <f t="shared" si="8"/>
        <v>25989.999999999993</v>
      </c>
      <c r="P507" s="28" t="s">
        <v>0</v>
      </c>
    </row>
    <row r="508" spans="1:16" x14ac:dyDescent="0.3">
      <c r="A508" s="32" t="s">
        <v>3213</v>
      </c>
      <c r="B508" s="26">
        <v>46093</v>
      </c>
      <c r="C508" s="26">
        <v>46098</v>
      </c>
      <c r="D508" s="27">
        <v>3319</v>
      </c>
      <c r="E508" s="6">
        <v>327</v>
      </c>
      <c r="F508" s="25">
        <v>2</v>
      </c>
      <c r="G508" s="28">
        <v>1</v>
      </c>
      <c r="H508" s="28">
        <v>81778</v>
      </c>
      <c r="I508" s="28" t="s">
        <v>17</v>
      </c>
      <c r="J508" s="28">
        <v>13838289</v>
      </c>
      <c r="K508" s="38" t="s">
        <v>19</v>
      </c>
      <c r="L508" t="s">
        <v>25</v>
      </c>
      <c r="M508" s="39">
        <v>259900</v>
      </c>
      <c r="N508" s="30">
        <v>0.9</v>
      </c>
      <c r="O508" s="33">
        <f t="shared" si="8"/>
        <v>25989.999999999993</v>
      </c>
      <c r="P508" s="28" t="s">
        <v>0</v>
      </c>
    </row>
    <row r="509" spans="1:16" x14ac:dyDescent="0.3">
      <c r="A509" s="32" t="s">
        <v>3213</v>
      </c>
      <c r="B509" s="26">
        <v>46093</v>
      </c>
      <c r="C509" s="26">
        <v>46098</v>
      </c>
      <c r="D509" s="27">
        <v>3319</v>
      </c>
      <c r="E509" s="6">
        <v>327</v>
      </c>
      <c r="F509" s="25">
        <v>2</v>
      </c>
      <c r="G509" s="28">
        <v>1</v>
      </c>
      <c r="H509" s="28">
        <v>81778</v>
      </c>
      <c r="I509" s="28" t="s">
        <v>17</v>
      </c>
      <c r="J509" s="28">
        <v>13838298</v>
      </c>
      <c r="K509" s="38" t="s">
        <v>19</v>
      </c>
      <c r="L509" t="s">
        <v>26</v>
      </c>
      <c r="M509" s="39">
        <v>259900</v>
      </c>
      <c r="N509" s="30">
        <v>0.9</v>
      </c>
      <c r="O509" s="33">
        <f t="shared" si="8"/>
        <v>25989.999999999993</v>
      </c>
      <c r="P509" s="28" t="s">
        <v>0</v>
      </c>
    </row>
    <row r="510" spans="1:16" x14ac:dyDescent="0.3">
      <c r="A510" s="32" t="s">
        <v>3213</v>
      </c>
      <c r="B510" s="26">
        <v>46093</v>
      </c>
      <c r="C510" s="26">
        <v>46098</v>
      </c>
      <c r="D510" s="27">
        <v>3319</v>
      </c>
      <c r="E510" s="6">
        <v>327</v>
      </c>
      <c r="F510" s="25">
        <v>2</v>
      </c>
      <c r="G510" s="28">
        <v>1</v>
      </c>
      <c r="H510" s="28">
        <v>81778</v>
      </c>
      <c r="I510" s="28" t="s">
        <v>17</v>
      </c>
      <c r="J510" s="28">
        <v>13838305</v>
      </c>
      <c r="K510" s="38" t="s">
        <v>19</v>
      </c>
      <c r="L510" t="s">
        <v>27</v>
      </c>
      <c r="M510" s="39">
        <v>259900</v>
      </c>
      <c r="N510" s="30">
        <v>0.9</v>
      </c>
      <c r="O510" s="33">
        <f t="shared" si="8"/>
        <v>25989.999999999993</v>
      </c>
      <c r="P510" s="28" t="s">
        <v>0</v>
      </c>
    </row>
    <row r="511" spans="1:16" x14ac:dyDescent="0.3">
      <c r="A511" s="32" t="s">
        <v>3213</v>
      </c>
      <c r="B511" s="26">
        <v>46093</v>
      </c>
      <c r="C511" s="26">
        <v>46098</v>
      </c>
      <c r="D511" s="27">
        <v>3319</v>
      </c>
      <c r="E511" s="6">
        <v>327</v>
      </c>
      <c r="F511" s="25">
        <v>2</v>
      </c>
      <c r="G511" s="28">
        <v>1</v>
      </c>
      <c r="H511" s="28">
        <v>81778</v>
      </c>
      <c r="I511" s="28" t="s">
        <v>17</v>
      </c>
      <c r="J511" s="28">
        <v>13838314</v>
      </c>
      <c r="K511" s="38" t="s">
        <v>19</v>
      </c>
      <c r="L511" t="s">
        <v>28</v>
      </c>
      <c r="M511" s="39">
        <v>259900</v>
      </c>
      <c r="N511" s="30">
        <v>0.9</v>
      </c>
      <c r="O511" s="33">
        <f t="shared" si="8"/>
        <v>25989.999999999993</v>
      </c>
      <c r="P511" s="28" t="s">
        <v>0</v>
      </c>
    </row>
    <row r="512" spans="1:16" x14ac:dyDescent="0.3">
      <c r="A512" s="32" t="s">
        <v>3213</v>
      </c>
      <c r="B512" s="26">
        <v>46093</v>
      </c>
      <c r="C512" s="26">
        <v>46098</v>
      </c>
      <c r="D512" s="27">
        <v>3319</v>
      </c>
      <c r="E512" s="6">
        <v>327</v>
      </c>
      <c r="F512" s="25">
        <v>2</v>
      </c>
      <c r="G512" s="28">
        <v>1</v>
      </c>
      <c r="H512" s="28">
        <v>81778</v>
      </c>
      <c r="I512" s="28" t="s">
        <v>17</v>
      </c>
      <c r="J512" s="28">
        <v>13838323</v>
      </c>
      <c r="K512" s="38" t="s">
        <v>19</v>
      </c>
      <c r="L512" t="s">
        <v>29</v>
      </c>
      <c r="M512" s="39">
        <v>259900</v>
      </c>
      <c r="N512" s="30">
        <v>0.9</v>
      </c>
      <c r="O512" s="33">
        <f t="shared" si="8"/>
        <v>25989.999999999993</v>
      </c>
      <c r="P512" s="28" t="s">
        <v>0</v>
      </c>
    </row>
    <row r="513" spans="1:16" x14ac:dyDescent="0.3">
      <c r="A513" s="32" t="s">
        <v>3213</v>
      </c>
      <c r="B513" s="26">
        <v>46093</v>
      </c>
      <c r="C513" s="26">
        <v>46098</v>
      </c>
      <c r="D513" s="27">
        <v>3319</v>
      </c>
      <c r="E513" s="6">
        <v>327</v>
      </c>
      <c r="F513" s="25">
        <v>2</v>
      </c>
      <c r="G513" s="28">
        <v>1</v>
      </c>
      <c r="H513" s="28">
        <v>81433</v>
      </c>
      <c r="I513" s="28" t="s">
        <v>17</v>
      </c>
      <c r="J513" s="28">
        <v>82228880</v>
      </c>
      <c r="K513" s="38" t="s">
        <v>1681</v>
      </c>
      <c r="L513" t="s">
        <v>1682</v>
      </c>
      <c r="M513" s="39">
        <v>279900</v>
      </c>
      <c r="N513" s="30">
        <v>0.9</v>
      </c>
      <c r="O513" s="33">
        <f t="shared" si="8"/>
        <v>27989.999999999993</v>
      </c>
      <c r="P513" s="28" t="s">
        <v>0</v>
      </c>
    </row>
    <row r="514" spans="1:16" x14ac:dyDescent="0.3">
      <c r="A514" s="32" t="s">
        <v>3213</v>
      </c>
      <c r="B514" s="26">
        <v>46093</v>
      </c>
      <c r="C514" s="26">
        <v>46098</v>
      </c>
      <c r="D514" s="27">
        <v>3319</v>
      </c>
      <c r="E514" s="6">
        <v>327</v>
      </c>
      <c r="F514" s="25">
        <v>2</v>
      </c>
      <c r="G514" s="28">
        <v>1</v>
      </c>
      <c r="H514" s="28">
        <v>81433</v>
      </c>
      <c r="I514" s="28" t="s">
        <v>17</v>
      </c>
      <c r="J514" s="28">
        <v>82228899</v>
      </c>
      <c r="K514" s="38" t="s">
        <v>1681</v>
      </c>
      <c r="L514" t="s">
        <v>1683</v>
      </c>
      <c r="M514" s="39">
        <v>279900</v>
      </c>
      <c r="N514" s="30">
        <v>0.9</v>
      </c>
      <c r="O514" s="33">
        <f t="shared" si="8"/>
        <v>27989.999999999993</v>
      </c>
      <c r="P514" s="28" t="s">
        <v>0</v>
      </c>
    </row>
    <row r="515" spans="1:16" x14ac:dyDescent="0.3">
      <c r="A515" s="32" t="s">
        <v>3213</v>
      </c>
      <c r="B515" s="26">
        <v>46093</v>
      </c>
      <c r="C515" s="26">
        <v>46098</v>
      </c>
      <c r="D515" s="27">
        <v>3319</v>
      </c>
      <c r="E515" s="6">
        <v>327</v>
      </c>
      <c r="F515" s="25">
        <v>2</v>
      </c>
      <c r="G515" s="28">
        <v>1</v>
      </c>
      <c r="H515" s="28">
        <v>81433</v>
      </c>
      <c r="I515" s="28" t="s">
        <v>17</v>
      </c>
      <c r="J515" s="28">
        <v>82228915</v>
      </c>
      <c r="K515" s="38" t="s">
        <v>1681</v>
      </c>
      <c r="L515" t="s">
        <v>1685</v>
      </c>
      <c r="M515" s="39">
        <v>279900</v>
      </c>
      <c r="N515" s="30">
        <v>0.9</v>
      </c>
      <c r="O515" s="33">
        <f t="shared" si="8"/>
        <v>27989.999999999993</v>
      </c>
      <c r="P515" s="28" t="s">
        <v>0</v>
      </c>
    </row>
    <row r="516" spans="1:16" x14ac:dyDescent="0.3">
      <c r="A516" s="32" t="s">
        <v>3213</v>
      </c>
      <c r="B516" s="26">
        <v>46093</v>
      </c>
      <c r="C516" s="26">
        <v>46098</v>
      </c>
      <c r="D516" s="27">
        <v>3319</v>
      </c>
      <c r="E516" s="6">
        <v>327</v>
      </c>
      <c r="F516" s="25">
        <v>2</v>
      </c>
      <c r="G516" s="28">
        <v>1</v>
      </c>
      <c r="H516" s="28">
        <v>81433</v>
      </c>
      <c r="I516" s="28" t="s">
        <v>17</v>
      </c>
      <c r="J516" s="28">
        <v>82228924</v>
      </c>
      <c r="K516" s="38" t="s">
        <v>1681</v>
      </c>
      <c r="L516" t="s">
        <v>1686</v>
      </c>
      <c r="M516" s="39">
        <v>279900</v>
      </c>
      <c r="N516" s="30">
        <v>0.9</v>
      </c>
      <c r="O516" s="33">
        <f t="shared" si="8"/>
        <v>27989.999999999993</v>
      </c>
      <c r="P516" s="28" t="s">
        <v>0</v>
      </c>
    </row>
    <row r="517" spans="1:16" x14ac:dyDescent="0.3">
      <c r="A517" s="32" t="s">
        <v>3213</v>
      </c>
      <c r="B517" s="26">
        <v>46093</v>
      </c>
      <c r="C517" s="26">
        <v>46098</v>
      </c>
      <c r="D517" s="27">
        <v>3319</v>
      </c>
      <c r="E517" s="6">
        <v>327</v>
      </c>
      <c r="F517" s="25">
        <v>2</v>
      </c>
      <c r="G517" s="28">
        <v>1</v>
      </c>
      <c r="H517" s="28">
        <v>81433</v>
      </c>
      <c r="I517" s="28" t="s">
        <v>17</v>
      </c>
      <c r="J517" s="28">
        <v>82228933</v>
      </c>
      <c r="K517" s="38" t="s">
        <v>1681</v>
      </c>
      <c r="L517" t="s">
        <v>1687</v>
      </c>
      <c r="M517" s="39">
        <v>279900</v>
      </c>
      <c r="N517" s="30">
        <v>0.9</v>
      </c>
      <c r="O517" s="33">
        <f t="shared" si="8"/>
        <v>27989.999999999993</v>
      </c>
      <c r="P517" s="28" t="s">
        <v>0</v>
      </c>
    </row>
    <row r="518" spans="1:16" x14ac:dyDescent="0.3">
      <c r="A518" s="32" t="s">
        <v>3213</v>
      </c>
      <c r="B518" s="26">
        <v>46093</v>
      </c>
      <c r="C518" s="26">
        <v>46098</v>
      </c>
      <c r="D518" s="27">
        <v>3319</v>
      </c>
      <c r="E518" s="6">
        <v>327</v>
      </c>
      <c r="F518" s="25">
        <v>2</v>
      </c>
      <c r="G518" s="28">
        <v>1</v>
      </c>
      <c r="H518" s="28">
        <v>81433</v>
      </c>
      <c r="I518" s="28" t="s">
        <v>17</v>
      </c>
      <c r="J518" s="28">
        <v>82228942</v>
      </c>
      <c r="K518" s="38" t="s">
        <v>1681</v>
      </c>
      <c r="L518" t="s">
        <v>1688</v>
      </c>
      <c r="M518" s="39">
        <v>279900</v>
      </c>
      <c r="N518" s="30">
        <v>0.9</v>
      </c>
      <c r="O518" s="33">
        <f t="shared" si="8"/>
        <v>27989.999999999993</v>
      </c>
      <c r="P518" s="28" t="s">
        <v>0</v>
      </c>
    </row>
    <row r="519" spans="1:16" x14ac:dyDescent="0.3">
      <c r="A519" s="32" t="s">
        <v>3213</v>
      </c>
      <c r="B519" s="26">
        <v>46093</v>
      </c>
      <c r="C519" s="26">
        <v>46098</v>
      </c>
      <c r="D519" s="27">
        <v>3319</v>
      </c>
      <c r="E519" s="6">
        <v>327</v>
      </c>
      <c r="F519" s="25">
        <v>2</v>
      </c>
      <c r="G519" s="28">
        <v>1</v>
      </c>
      <c r="H519" s="28">
        <v>81433</v>
      </c>
      <c r="I519" s="28" t="s">
        <v>17</v>
      </c>
      <c r="J519" s="28">
        <v>82228951</v>
      </c>
      <c r="K519" s="38" t="s">
        <v>1681</v>
      </c>
      <c r="L519" t="s">
        <v>1689</v>
      </c>
      <c r="M519" s="39">
        <v>279900</v>
      </c>
      <c r="N519" s="30">
        <v>0.9</v>
      </c>
      <c r="O519" s="33">
        <f t="shared" si="8"/>
        <v>27989.999999999993</v>
      </c>
      <c r="P519" s="28" t="s">
        <v>0</v>
      </c>
    </row>
    <row r="520" spans="1:16" x14ac:dyDescent="0.3">
      <c r="A520" s="32" t="s">
        <v>3213</v>
      </c>
      <c r="B520" s="26">
        <v>46093</v>
      </c>
      <c r="C520" s="26">
        <v>46098</v>
      </c>
      <c r="D520" s="27">
        <v>3319</v>
      </c>
      <c r="E520" s="6">
        <v>327</v>
      </c>
      <c r="F520" s="25">
        <v>2</v>
      </c>
      <c r="G520" s="28">
        <v>1</v>
      </c>
      <c r="H520" s="28">
        <v>81433</v>
      </c>
      <c r="I520" s="28" t="s">
        <v>17</v>
      </c>
      <c r="J520" s="28">
        <v>82228960</v>
      </c>
      <c r="K520" s="38" t="s">
        <v>1681</v>
      </c>
      <c r="L520" t="s">
        <v>1690</v>
      </c>
      <c r="M520" s="39">
        <v>279900</v>
      </c>
      <c r="N520" s="30">
        <v>0.9</v>
      </c>
      <c r="O520" s="33">
        <f t="shared" si="8"/>
        <v>27989.999999999993</v>
      </c>
      <c r="P520" s="28" t="s">
        <v>0</v>
      </c>
    </row>
    <row r="521" spans="1:16" x14ac:dyDescent="0.3">
      <c r="A521" s="32" t="s">
        <v>3213</v>
      </c>
      <c r="B521" s="26">
        <v>46093</v>
      </c>
      <c r="C521" s="26">
        <v>46098</v>
      </c>
      <c r="D521" s="27">
        <v>3319</v>
      </c>
      <c r="E521" s="6">
        <v>327</v>
      </c>
      <c r="F521" s="25">
        <v>2</v>
      </c>
      <c r="G521" s="28">
        <v>1</v>
      </c>
      <c r="H521" s="28">
        <v>81433</v>
      </c>
      <c r="I521" s="28" t="s">
        <v>17</v>
      </c>
      <c r="J521" s="28">
        <v>82228979</v>
      </c>
      <c r="K521" s="38" t="s">
        <v>1681</v>
      </c>
      <c r="L521" t="s">
        <v>1691</v>
      </c>
      <c r="M521" s="39">
        <v>279900</v>
      </c>
      <c r="N521" s="30">
        <v>0.9</v>
      </c>
      <c r="O521" s="33">
        <f t="shared" si="8"/>
        <v>27989.999999999993</v>
      </c>
      <c r="P521" s="28" t="s">
        <v>0</v>
      </c>
    </row>
    <row r="522" spans="1:16" x14ac:dyDescent="0.3">
      <c r="A522" s="32" t="s">
        <v>3213</v>
      </c>
      <c r="B522" s="26">
        <v>46093</v>
      </c>
      <c r="C522" s="26">
        <v>46098</v>
      </c>
      <c r="D522" s="27">
        <v>3319</v>
      </c>
      <c r="E522" s="6">
        <v>327</v>
      </c>
      <c r="F522" s="25">
        <v>2</v>
      </c>
      <c r="G522" s="28">
        <v>1</v>
      </c>
      <c r="H522" s="28">
        <v>81778</v>
      </c>
      <c r="I522" s="28" t="s">
        <v>17</v>
      </c>
      <c r="J522" s="28">
        <v>13838190</v>
      </c>
      <c r="K522" s="38" t="s">
        <v>1838</v>
      </c>
      <c r="L522" t="s">
        <v>1840</v>
      </c>
      <c r="M522" s="39">
        <v>279900</v>
      </c>
      <c r="N522" s="30">
        <v>0.9</v>
      </c>
      <c r="O522" s="33">
        <f t="shared" si="8"/>
        <v>27989.999999999993</v>
      </c>
      <c r="P522" s="28" t="s">
        <v>0</v>
      </c>
    </row>
    <row r="523" spans="1:16" x14ac:dyDescent="0.3">
      <c r="A523" s="32" t="s">
        <v>3213</v>
      </c>
      <c r="B523" s="26">
        <v>46093</v>
      </c>
      <c r="C523" s="26">
        <v>46098</v>
      </c>
      <c r="D523" s="27">
        <v>3319</v>
      </c>
      <c r="E523" s="6">
        <v>327</v>
      </c>
      <c r="F523" s="25">
        <v>2</v>
      </c>
      <c r="G523" s="28">
        <v>1</v>
      </c>
      <c r="H523" s="28">
        <v>81778</v>
      </c>
      <c r="I523" s="28" t="s">
        <v>17</v>
      </c>
      <c r="J523" s="28">
        <v>13838216</v>
      </c>
      <c r="K523" s="38" t="s">
        <v>1838</v>
      </c>
      <c r="L523" t="s">
        <v>1842</v>
      </c>
      <c r="M523" s="39">
        <v>279900</v>
      </c>
      <c r="N523" s="30">
        <v>0.9</v>
      </c>
      <c r="O523" s="33">
        <f t="shared" si="8"/>
        <v>27989.999999999993</v>
      </c>
      <c r="P523" s="28" t="s">
        <v>0</v>
      </c>
    </row>
    <row r="524" spans="1:16" x14ac:dyDescent="0.3">
      <c r="A524" s="32" t="s">
        <v>3213</v>
      </c>
      <c r="B524" s="26">
        <v>46093</v>
      </c>
      <c r="C524" s="26">
        <v>46098</v>
      </c>
      <c r="D524" s="27">
        <v>3319</v>
      </c>
      <c r="E524" s="6">
        <v>327</v>
      </c>
      <c r="F524" s="25">
        <v>2</v>
      </c>
      <c r="G524" s="28">
        <v>1</v>
      </c>
      <c r="H524" s="28">
        <v>81778</v>
      </c>
      <c r="I524" s="28" t="s">
        <v>17</v>
      </c>
      <c r="J524" s="28">
        <v>13838225</v>
      </c>
      <c r="K524" s="38" t="s">
        <v>1838</v>
      </c>
      <c r="L524" t="s">
        <v>1843</v>
      </c>
      <c r="M524" s="39">
        <v>279900</v>
      </c>
      <c r="N524" s="30">
        <v>0.9</v>
      </c>
      <c r="O524" s="33">
        <f t="shared" si="8"/>
        <v>27989.999999999993</v>
      </c>
      <c r="P524" s="28" t="s">
        <v>0</v>
      </c>
    </row>
    <row r="525" spans="1:16" x14ac:dyDescent="0.3">
      <c r="A525" s="32" t="s">
        <v>3213</v>
      </c>
      <c r="B525" s="26">
        <v>46093</v>
      </c>
      <c r="C525" s="26">
        <v>46098</v>
      </c>
      <c r="D525" s="27">
        <v>3319</v>
      </c>
      <c r="E525" s="25">
        <v>327</v>
      </c>
      <c r="F525" s="25">
        <v>2</v>
      </c>
      <c r="G525" s="28">
        <v>1</v>
      </c>
      <c r="H525" s="28">
        <v>80700</v>
      </c>
      <c r="I525" s="28" t="s">
        <v>17</v>
      </c>
      <c r="J525" s="28">
        <v>15473080</v>
      </c>
      <c r="K525" t="s">
        <v>30</v>
      </c>
      <c r="L525" t="s">
        <v>1713</v>
      </c>
      <c r="M525" s="39">
        <v>199900</v>
      </c>
      <c r="N525" s="30">
        <v>0.9</v>
      </c>
      <c r="O525" s="33">
        <f t="shared" ref="O525:O543" si="9">M525*(1-N525)</f>
        <v>19989.999999999996</v>
      </c>
      <c r="P525" s="28" t="s">
        <v>0</v>
      </c>
    </row>
    <row r="526" spans="1:16" x14ac:dyDescent="0.3">
      <c r="A526" s="32" t="s">
        <v>3213</v>
      </c>
      <c r="B526" s="26">
        <v>46093</v>
      </c>
      <c r="C526" s="26">
        <v>46098</v>
      </c>
      <c r="D526" s="27">
        <v>3319</v>
      </c>
      <c r="E526" s="25">
        <v>327</v>
      </c>
      <c r="F526" s="25">
        <v>2</v>
      </c>
      <c r="G526" s="28">
        <v>1</v>
      </c>
      <c r="H526" s="28">
        <v>80700</v>
      </c>
      <c r="I526" s="28" t="s">
        <v>17</v>
      </c>
      <c r="J526" s="28">
        <v>15473099</v>
      </c>
      <c r="K526" t="s">
        <v>30</v>
      </c>
      <c r="L526" t="s">
        <v>1714</v>
      </c>
      <c r="M526" s="39">
        <v>199900</v>
      </c>
      <c r="N526" s="30">
        <v>0.9</v>
      </c>
      <c r="O526" s="33">
        <f t="shared" si="9"/>
        <v>19989.999999999996</v>
      </c>
      <c r="P526" s="28" t="s">
        <v>0</v>
      </c>
    </row>
    <row r="527" spans="1:16" x14ac:dyDescent="0.3">
      <c r="A527" s="32" t="s">
        <v>3213</v>
      </c>
      <c r="B527" s="26">
        <v>46093</v>
      </c>
      <c r="C527" s="26">
        <v>46098</v>
      </c>
      <c r="D527" s="27">
        <v>3319</v>
      </c>
      <c r="E527" s="25">
        <v>327</v>
      </c>
      <c r="F527" s="25">
        <v>2</v>
      </c>
      <c r="G527" s="28">
        <v>1</v>
      </c>
      <c r="H527" s="28">
        <v>80700</v>
      </c>
      <c r="I527" s="28" t="s">
        <v>17</v>
      </c>
      <c r="J527" s="28">
        <v>15473106</v>
      </c>
      <c r="K527" t="s">
        <v>30</v>
      </c>
      <c r="L527" t="s">
        <v>1715</v>
      </c>
      <c r="M527" s="39">
        <v>199900</v>
      </c>
      <c r="N527" s="30">
        <v>0.9</v>
      </c>
      <c r="O527" s="33">
        <f t="shared" si="9"/>
        <v>19989.999999999996</v>
      </c>
      <c r="P527" s="28" t="s">
        <v>0</v>
      </c>
    </row>
    <row r="528" spans="1:16" x14ac:dyDescent="0.3">
      <c r="A528" s="32" t="s">
        <v>3213</v>
      </c>
      <c r="B528" s="26">
        <v>46093</v>
      </c>
      <c r="C528" s="26">
        <v>46098</v>
      </c>
      <c r="D528" s="27">
        <v>3319</v>
      </c>
      <c r="E528" s="25">
        <v>327</v>
      </c>
      <c r="F528" s="25">
        <v>2</v>
      </c>
      <c r="G528" s="28">
        <v>1</v>
      </c>
      <c r="H528" s="28">
        <v>80700</v>
      </c>
      <c r="I528" s="28" t="s">
        <v>17</v>
      </c>
      <c r="J528" s="28">
        <v>15473115</v>
      </c>
      <c r="K528" t="s">
        <v>30</v>
      </c>
      <c r="L528" t="s">
        <v>1716</v>
      </c>
      <c r="M528" s="39">
        <v>199900</v>
      </c>
      <c r="N528" s="30">
        <v>0.9</v>
      </c>
      <c r="O528" s="33">
        <f t="shared" si="9"/>
        <v>19989.999999999996</v>
      </c>
      <c r="P528" s="28" t="s">
        <v>0</v>
      </c>
    </row>
    <row r="529" spans="1:16" x14ac:dyDescent="0.3">
      <c r="A529" s="32" t="s">
        <v>3213</v>
      </c>
      <c r="B529" s="26">
        <v>46093</v>
      </c>
      <c r="C529" s="26">
        <v>46098</v>
      </c>
      <c r="D529" s="27">
        <v>3319</v>
      </c>
      <c r="E529" s="25">
        <v>327</v>
      </c>
      <c r="F529" s="25">
        <v>2</v>
      </c>
      <c r="G529" s="28">
        <v>1</v>
      </c>
      <c r="H529" s="28">
        <v>80700</v>
      </c>
      <c r="I529" s="28" t="s">
        <v>17</v>
      </c>
      <c r="J529" s="28">
        <v>15473124</v>
      </c>
      <c r="K529" t="s">
        <v>30</v>
      </c>
      <c r="L529" t="s">
        <v>1717</v>
      </c>
      <c r="M529" s="39">
        <v>199900</v>
      </c>
      <c r="N529" s="30">
        <v>0.9</v>
      </c>
      <c r="O529" s="33">
        <f t="shared" si="9"/>
        <v>19989.999999999996</v>
      </c>
      <c r="P529" s="28" t="s">
        <v>0</v>
      </c>
    </row>
    <row r="530" spans="1:16" x14ac:dyDescent="0.3">
      <c r="A530" s="32" t="s">
        <v>3213</v>
      </c>
      <c r="B530" s="26">
        <v>46093</v>
      </c>
      <c r="C530" s="26">
        <v>46098</v>
      </c>
      <c r="D530" s="27">
        <v>3319</v>
      </c>
      <c r="E530" s="25">
        <v>327</v>
      </c>
      <c r="F530" s="25">
        <v>2</v>
      </c>
      <c r="G530" s="28">
        <v>1</v>
      </c>
      <c r="H530" s="28">
        <v>81778</v>
      </c>
      <c r="I530" s="28" t="s">
        <v>17</v>
      </c>
      <c r="J530" s="28">
        <v>14187418</v>
      </c>
      <c r="K530" t="s">
        <v>1785</v>
      </c>
      <c r="L530" t="s">
        <v>1786</v>
      </c>
      <c r="M530" s="39">
        <v>199900</v>
      </c>
      <c r="N530" s="30">
        <v>0.9</v>
      </c>
      <c r="O530" s="33">
        <f t="shared" si="9"/>
        <v>19989.999999999996</v>
      </c>
      <c r="P530" s="28" t="s">
        <v>0</v>
      </c>
    </row>
    <row r="531" spans="1:16" x14ac:dyDescent="0.3">
      <c r="A531" s="32" t="s">
        <v>3213</v>
      </c>
      <c r="B531" s="26">
        <v>46093</v>
      </c>
      <c r="C531" s="26">
        <v>46098</v>
      </c>
      <c r="D531" s="27">
        <v>3319</v>
      </c>
      <c r="E531" s="25">
        <v>327</v>
      </c>
      <c r="F531" s="25">
        <v>2</v>
      </c>
      <c r="G531" s="28">
        <v>1</v>
      </c>
      <c r="H531" s="28">
        <v>81778</v>
      </c>
      <c r="I531" s="28" t="s">
        <v>17</v>
      </c>
      <c r="J531" s="28">
        <v>14187427</v>
      </c>
      <c r="K531" t="s">
        <v>1785</v>
      </c>
      <c r="L531" t="s">
        <v>1787</v>
      </c>
      <c r="M531" s="39">
        <v>199900</v>
      </c>
      <c r="N531" s="30">
        <v>0.9</v>
      </c>
      <c r="O531" s="33">
        <f t="shared" si="9"/>
        <v>19989.999999999996</v>
      </c>
      <c r="P531" s="28" t="s">
        <v>0</v>
      </c>
    </row>
    <row r="532" spans="1:16" x14ac:dyDescent="0.3">
      <c r="A532" s="32" t="s">
        <v>3213</v>
      </c>
      <c r="B532" s="26">
        <v>46093</v>
      </c>
      <c r="C532" s="26">
        <v>46098</v>
      </c>
      <c r="D532" s="27">
        <v>3319</v>
      </c>
      <c r="E532" s="25">
        <v>327</v>
      </c>
      <c r="F532" s="25">
        <v>2</v>
      </c>
      <c r="G532" s="28">
        <v>1</v>
      </c>
      <c r="H532" s="28">
        <v>81778</v>
      </c>
      <c r="I532" s="28" t="s">
        <v>17</v>
      </c>
      <c r="J532" s="28">
        <v>14187436</v>
      </c>
      <c r="K532" t="s">
        <v>1785</v>
      </c>
      <c r="L532" t="s">
        <v>1788</v>
      </c>
      <c r="M532" s="39">
        <v>199900</v>
      </c>
      <c r="N532" s="30">
        <v>0.9</v>
      </c>
      <c r="O532" s="33">
        <f t="shared" si="9"/>
        <v>19989.999999999996</v>
      </c>
      <c r="P532" s="28" t="s">
        <v>0</v>
      </c>
    </row>
    <row r="533" spans="1:16" x14ac:dyDescent="0.3">
      <c r="A533" s="32" t="s">
        <v>3213</v>
      </c>
      <c r="B533" s="26">
        <v>46093</v>
      </c>
      <c r="C533" s="26">
        <v>46098</v>
      </c>
      <c r="D533" s="27">
        <v>3319</v>
      </c>
      <c r="E533" s="25">
        <v>327</v>
      </c>
      <c r="F533" s="25">
        <v>2</v>
      </c>
      <c r="G533" s="28">
        <v>1</v>
      </c>
      <c r="H533" s="28">
        <v>81778</v>
      </c>
      <c r="I533" s="28" t="s">
        <v>17</v>
      </c>
      <c r="J533" s="28">
        <v>14187445</v>
      </c>
      <c r="K533" t="s">
        <v>1785</v>
      </c>
      <c r="L533" t="s">
        <v>1789</v>
      </c>
      <c r="M533" s="39">
        <v>199900</v>
      </c>
      <c r="N533" s="30">
        <v>0.9</v>
      </c>
      <c r="O533" s="33">
        <f t="shared" si="9"/>
        <v>19989.999999999996</v>
      </c>
      <c r="P533" s="28" t="s">
        <v>0</v>
      </c>
    </row>
    <row r="534" spans="1:16" x14ac:dyDescent="0.3">
      <c r="A534" s="32" t="s">
        <v>3213</v>
      </c>
      <c r="B534" s="26">
        <v>46093</v>
      </c>
      <c r="C534" s="26">
        <v>46098</v>
      </c>
      <c r="D534" s="27">
        <v>3319</v>
      </c>
      <c r="E534" s="25">
        <v>327</v>
      </c>
      <c r="F534" s="25">
        <v>2</v>
      </c>
      <c r="G534" s="28">
        <v>1</v>
      </c>
      <c r="H534" s="28">
        <v>81778</v>
      </c>
      <c r="I534" s="28" t="s">
        <v>17</v>
      </c>
      <c r="J534" s="28">
        <v>14187454</v>
      </c>
      <c r="K534" t="s">
        <v>1785</v>
      </c>
      <c r="L534" t="s">
        <v>1790</v>
      </c>
      <c r="M534" s="39">
        <v>199900</v>
      </c>
      <c r="N534" s="30">
        <v>0.9</v>
      </c>
      <c r="O534" s="33">
        <f t="shared" si="9"/>
        <v>19989.999999999996</v>
      </c>
      <c r="P534" s="28" t="s">
        <v>0</v>
      </c>
    </row>
    <row r="535" spans="1:16" x14ac:dyDescent="0.3">
      <c r="A535" s="32" t="s">
        <v>3213</v>
      </c>
      <c r="B535" s="26">
        <v>46093</v>
      </c>
      <c r="C535" s="26">
        <v>46098</v>
      </c>
      <c r="D535" s="27">
        <v>3319</v>
      </c>
      <c r="E535" s="25">
        <v>327</v>
      </c>
      <c r="F535" s="25">
        <v>2</v>
      </c>
      <c r="G535" s="28">
        <v>1</v>
      </c>
      <c r="H535" s="28">
        <v>81778</v>
      </c>
      <c r="I535" s="28" t="s">
        <v>17</v>
      </c>
      <c r="J535" s="28">
        <v>14187463</v>
      </c>
      <c r="K535" t="s">
        <v>1791</v>
      </c>
      <c r="L535" t="s">
        <v>1792</v>
      </c>
      <c r="M535" s="39">
        <v>199900</v>
      </c>
      <c r="N535" s="30">
        <v>0.9</v>
      </c>
      <c r="O535" s="33">
        <f t="shared" si="9"/>
        <v>19989.999999999996</v>
      </c>
      <c r="P535" s="28" t="s">
        <v>0</v>
      </c>
    </row>
    <row r="536" spans="1:16" x14ac:dyDescent="0.3">
      <c r="A536" s="32" t="s">
        <v>3213</v>
      </c>
      <c r="B536" s="26">
        <v>46093</v>
      </c>
      <c r="C536" s="26">
        <v>46098</v>
      </c>
      <c r="D536" s="27">
        <v>3319</v>
      </c>
      <c r="E536" s="25">
        <v>327</v>
      </c>
      <c r="F536" s="25">
        <v>2</v>
      </c>
      <c r="G536" s="28">
        <v>1</v>
      </c>
      <c r="H536" s="28">
        <v>81778</v>
      </c>
      <c r="I536" s="28" t="s">
        <v>17</v>
      </c>
      <c r="J536" s="28">
        <v>14187472</v>
      </c>
      <c r="K536" t="s">
        <v>1791</v>
      </c>
      <c r="L536" t="s">
        <v>1793</v>
      </c>
      <c r="M536" s="39">
        <v>199900</v>
      </c>
      <c r="N536" s="30">
        <v>0.9</v>
      </c>
      <c r="O536" s="33">
        <f t="shared" si="9"/>
        <v>19989.999999999996</v>
      </c>
      <c r="P536" s="28" t="s">
        <v>0</v>
      </c>
    </row>
    <row r="537" spans="1:16" x14ac:dyDescent="0.3">
      <c r="A537" s="32" t="s">
        <v>3213</v>
      </c>
      <c r="B537" s="26">
        <v>46093</v>
      </c>
      <c r="C537" s="26">
        <v>46098</v>
      </c>
      <c r="D537" s="27">
        <v>3319</v>
      </c>
      <c r="E537" s="25">
        <v>327</v>
      </c>
      <c r="F537" s="25">
        <v>2</v>
      </c>
      <c r="G537" s="28">
        <v>1</v>
      </c>
      <c r="H537" s="28">
        <v>81778</v>
      </c>
      <c r="I537" s="28" t="s">
        <v>17</v>
      </c>
      <c r="J537" s="28">
        <v>14187481</v>
      </c>
      <c r="K537" t="s">
        <v>1791</v>
      </c>
      <c r="L537" t="s">
        <v>1794</v>
      </c>
      <c r="M537" s="39">
        <v>199900</v>
      </c>
      <c r="N537" s="30">
        <v>0.9</v>
      </c>
      <c r="O537" s="33">
        <f t="shared" si="9"/>
        <v>19989.999999999996</v>
      </c>
      <c r="P537" s="28" t="s">
        <v>0</v>
      </c>
    </row>
    <row r="538" spans="1:16" x14ac:dyDescent="0.3">
      <c r="A538" s="32" t="s">
        <v>3213</v>
      </c>
      <c r="B538" s="26">
        <v>46093</v>
      </c>
      <c r="C538" s="26">
        <v>46098</v>
      </c>
      <c r="D538" s="27">
        <v>3319</v>
      </c>
      <c r="E538" s="25">
        <v>327</v>
      </c>
      <c r="F538" s="25">
        <v>2</v>
      </c>
      <c r="G538" s="28">
        <v>1</v>
      </c>
      <c r="H538" s="28">
        <v>81778</v>
      </c>
      <c r="I538" s="28" t="s">
        <v>17</v>
      </c>
      <c r="J538" s="28">
        <v>14187490</v>
      </c>
      <c r="K538" t="s">
        <v>1791</v>
      </c>
      <c r="L538" t="s">
        <v>1795</v>
      </c>
      <c r="M538" s="39">
        <v>199900</v>
      </c>
      <c r="N538" s="30">
        <v>0.9</v>
      </c>
      <c r="O538" s="33">
        <f t="shared" si="9"/>
        <v>19989.999999999996</v>
      </c>
      <c r="P538" s="28" t="s">
        <v>0</v>
      </c>
    </row>
    <row r="539" spans="1:16" x14ac:dyDescent="0.3">
      <c r="A539" s="32" t="s">
        <v>3213</v>
      </c>
      <c r="B539" s="26">
        <v>46093</v>
      </c>
      <c r="C539" s="26">
        <v>46098</v>
      </c>
      <c r="D539" s="27">
        <v>3319</v>
      </c>
      <c r="E539" s="25">
        <v>327</v>
      </c>
      <c r="F539" s="25">
        <v>2</v>
      </c>
      <c r="G539" s="28">
        <v>1</v>
      </c>
      <c r="H539" s="28">
        <v>81778</v>
      </c>
      <c r="I539" s="28" t="s">
        <v>17</v>
      </c>
      <c r="J539" s="28">
        <v>14187507</v>
      </c>
      <c r="K539" t="s">
        <v>1791</v>
      </c>
      <c r="L539" t="s">
        <v>1796</v>
      </c>
      <c r="M539" s="39">
        <v>199900</v>
      </c>
      <c r="N539" s="30">
        <v>0.9</v>
      </c>
      <c r="O539" s="33">
        <f t="shared" si="9"/>
        <v>19989.999999999996</v>
      </c>
      <c r="P539" s="28" t="s">
        <v>0</v>
      </c>
    </row>
    <row r="540" spans="1:16" x14ac:dyDescent="0.3">
      <c r="A540" s="32" t="s">
        <v>3213</v>
      </c>
      <c r="B540" s="26">
        <v>46093</v>
      </c>
      <c r="C540" s="26">
        <v>46098</v>
      </c>
      <c r="D540" s="25">
        <v>3319</v>
      </c>
      <c r="E540" s="25">
        <v>327</v>
      </c>
      <c r="F540" s="25">
        <v>2</v>
      </c>
      <c r="G540" s="28">
        <v>1</v>
      </c>
      <c r="H540" s="28">
        <v>80700</v>
      </c>
      <c r="I540" s="28" t="s">
        <v>17</v>
      </c>
      <c r="J540" s="28">
        <v>27023427</v>
      </c>
      <c r="K540" t="s">
        <v>2081</v>
      </c>
      <c r="L540" t="s">
        <v>2084</v>
      </c>
      <c r="M540" s="37">
        <v>159900</v>
      </c>
      <c r="N540" s="30">
        <v>0.9</v>
      </c>
      <c r="O540" s="33">
        <f t="shared" si="9"/>
        <v>15989.999999999996</v>
      </c>
      <c r="P540" s="28" t="s">
        <v>0</v>
      </c>
    </row>
    <row r="541" spans="1:16" x14ac:dyDescent="0.3">
      <c r="A541" s="32" t="s">
        <v>3213</v>
      </c>
      <c r="B541" s="26">
        <v>46093</v>
      </c>
      <c r="C541" s="26">
        <v>46098</v>
      </c>
      <c r="D541" s="25">
        <v>3319</v>
      </c>
      <c r="E541" s="25">
        <v>327</v>
      </c>
      <c r="F541" s="25">
        <v>2</v>
      </c>
      <c r="G541" s="28">
        <v>1</v>
      </c>
      <c r="H541" s="28">
        <v>80700</v>
      </c>
      <c r="I541" s="28" t="s">
        <v>17</v>
      </c>
      <c r="J541" s="28">
        <v>27023436</v>
      </c>
      <c r="K541" t="s">
        <v>2081</v>
      </c>
      <c r="L541" t="s">
        <v>2089</v>
      </c>
      <c r="M541" s="37">
        <v>159900</v>
      </c>
      <c r="N541" s="30">
        <v>0.9</v>
      </c>
      <c r="O541" s="33">
        <f t="shared" si="9"/>
        <v>15989.999999999996</v>
      </c>
      <c r="P541" s="28" t="s">
        <v>0</v>
      </c>
    </row>
    <row r="542" spans="1:16" x14ac:dyDescent="0.3">
      <c r="A542" s="32" t="s">
        <v>3213</v>
      </c>
      <c r="B542" s="26">
        <v>46093</v>
      </c>
      <c r="C542" s="26">
        <v>46098</v>
      </c>
      <c r="D542" s="25">
        <v>3319</v>
      </c>
      <c r="E542" s="25">
        <v>327</v>
      </c>
      <c r="F542" s="25">
        <v>2</v>
      </c>
      <c r="G542" s="28">
        <v>1</v>
      </c>
      <c r="H542" s="28">
        <v>80700</v>
      </c>
      <c r="I542" s="28" t="s">
        <v>17</v>
      </c>
      <c r="J542" s="28">
        <v>27023445</v>
      </c>
      <c r="K542" t="s">
        <v>2081</v>
      </c>
      <c r="L542" t="s">
        <v>2090</v>
      </c>
      <c r="M542" s="37">
        <v>159900</v>
      </c>
      <c r="N542" s="30">
        <v>0.9</v>
      </c>
      <c r="O542" s="33">
        <f t="shared" si="9"/>
        <v>15989.999999999996</v>
      </c>
      <c r="P542" s="28" t="s">
        <v>0</v>
      </c>
    </row>
    <row r="543" spans="1:16" x14ac:dyDescent="0.3">
      <c r="A543" s="32" t="s">
        <v>3213</v>
      </c>
      <c r="B543" s="26">
        <v>46093</v>
      </c>
      <c r="C543" s="26">
        <v>46098</v>
      </c>
      <c r="D543" s="25">
        <v>3319</v>
      </c>
      <c r="E543" s="25">
        <v>327</v>
      </c>
      <c r="F543" s="25">
        <v>2</v>
      </c>
      <c r="G543" s="28">
        <v>1</v>
      </c>
      <c r="H543" s="28">
        <v>80700</v>
      </c>
      <c r="I543" s="28" t="s">
        <v>17</v>
      </c>
      <c r="J543" s="28">
        <v>27023418</v>
      </c>
      <c r="K543" t="s">
        <v>2081</v>
      </c>
      <c r="L543" t="s">
        <v>2095</v>
      </c>
      <c r="M543" s="37">
        <v>159900</v>
      </c>
      <c r="N543" s="30">
        <v>0.9</v>
      </c>
      <c r="O543" s="33">
        <f t="shared" si="9"/>
        <v>15989.999999999996</v>
      </c>
      <c r="P543" s="28" t="s">
        <v>0</v>
      </c>
    </row>
  </sheetData>
  <autoFilter ref="A1:P500" xr:uid="{00000000-0009-0000-0000-000004000000}"/>
  <phoneticPr fontId="14" type="noConversion"/>
  <conditionalFormatting sqref="J1">
    <cfRule type="duplicateValues" dxfId="253" priority="53"/>
    <cfRule type="duplicateValues" dxfId="252" priority="52"/>
    <cfRule type="duplicateValues" dxfId="251" priority="51"/>
    <cfRule type="duplicateValues" dxfId="250" priority="50"/>
  </conditionalFormatting>
  <conditionalFormatting sqref="J1:J251 J544:J1048576">
    <cfRule type="duplicateValues" dxfId="249" priority="48"/>
    <cfRule type="duplicateValues" dxfId="248" priority="49"/>
  </conditionalFormatting>
  <conditionalFormatting sqref="J2:J123">
    <cfRule type="duplicateValues" dxfId="247" priority="55"/>
  </conditionalFormatting>
  <conditionalFormatting sqref="J2:J251 J544:J1048576">
    <cfRule type="duplicateValues" dxfId="246" priority="54"/>
  </conditionalFormatting>
  <conditionalFormatting sqref="J252:J255">
    <cfRule type="duplicateValues" dxfId="245" priority="47"/>
  </conditionalFormatting>
  <conditionalFormatting sqref="J256:J265">
    <cfRule type="duplicateValues" dxfId="244" priority="46"/>
    <cfRule type="duplicateValues" dxfId="243" priority="45"/>
  </conditionalFormatting>
  <conditionalFormatting sqref="J256:J275 J286:J500">
    <cfRule type="duplicateValues" dxfId="242" priority="20"/>
  </conditionalFormatting>
  <conditionalFormatting sqref="J266:J275">
    <cfRule type="duplicateValues" dxfId="241" priority="43"/>
    <cfRule type="duplicateValues" dxfId="240" priority="44"/>
    <cfRule type="duplicateValues" dxfId="239" priority="42"/>
    <cfRule type="duplicateValues" dxfId="238" priority="41"/>
  </conditionalFormatting>
  <conditionalFormatting sqref="J276:J285">
    <cfRule type="duplicateValues" dxfId="237" priority="19"/>
  </conditionalFormatting>
  <conditionalFormatting sqref="J341:J350">
    <cfRule type="duplicateValues" dxfId="236" priority="40"/>
  </conditionalFormatting>
  <conditionalFormatting sqref="J341:J355">
    <cfRule type="duplicateValues" dxfId="235" priority="39"/>
  </conditionalFormatting>
  <conditionalFormatting sqref="J351:J355">
    <cfRule type="duplicateValues" dxfId="234" priority="38"/>
    <cfRule type="duplicateValues" dxfId="233" priority="37"/>
  </conditionalFormatting>
  <conditionalFormatting sqref="J356:J365">
    <cfRule type="duplicateValues" dxfId="232" priority="34"/>
    <cfRule type="duplicateValues" dxfId="231" priority="35"/>
  </conditionalFormatting>
  <conditionalFormatting sqref="J356:J385">
    <cfRule type="duplicateValues" dxfId="230" priority="36"/>
  </conditionalFormatting>
  <conditionalFormatting sqref="J366:J385">
    <cfRule type="duplicateValues" dxfId="229" priority="33"/>
  </conditionalFormatting>
  <conditionalFormatting sqref="J386:J390">
    <cfRule type="duplicateValues" dxfId="228" priority="32"/>
    <cfRule type="duplicateValues" dxfId="227" priority="31"/>
  </conditionalFormatting>
  <conditionalFormatting sqref="J391:J425">
    <cfRule type="duplicateValues" dxfId="226" priority="28"/>
    <cfRule type="duplicateValues" dxfId="225" priority="29"/>
    <cfRule type="duplicateValues" dxfId="224" priority="30"/>
  </conditionalFormatting>
  <conditionalFormatting sqref="J426:J445">
    <cfRule type="duplicateValues" dxfId="223" priority="27"/>
    <cfRule type="duplicateValues" dxfId="222" priority="26"/>
    <cfRule type="duplicateValues" dxfId="221" priority="25"/>
  </conditionalFormatting>
  <conditionalFormatting sqref="J446:J475">
    <cfRule type="duplicateValues" dxfId="220" priority="24"/>
    <cfRule type="duplicateValues" dxfId="219" priority="23"/>
  </conditionalFormatting>
  <conditionalFormatting sqref="J476:J500">
    <cfRule type="duplicateValues" dxfId="218" priority="22"/>
    <cfRule type="duplicateValues" dxfId="217" priority="21"/>
  </conditionalFormatting>
  <conditionalFormatting sqref="J501:J503">
    <cfRule type="duplicateValues" dxfId="216" priority="17"/>
  </conditionalFormatting>
  <conditionalFormatting sqref="J501:J524">
    <cfRule type="duplicateValues" dxfId="215" priority="18"/>
  </conditionalFormatting>
  <conditionalFormatting sqref="J504:J507">
    <cfRule type="duplicateValues" dxfId="214" priority="16"/>
    <cfRule type="duplicateValues" dxfId="213" priority="15"/>
    <cfRule type="duplicateValues" dxfId="212" priority="14"/>
  </conditionalFormatting>
  <conditionalFormatting sqref="J508:J512">
    <cfRule type="duplicateValues" dxfId="211" priority="12"/>
    <cfRule type="duplicateValues" dxfId="210" priority="11"/>
    <cfRule type="duplicateValues" dxfId="209" priority="13"/>
  </conditionalFormatting>
  <conditionalFormatting sqref="J513:J521">
    <cfRule type="duplicateValues" dxfId="208" priority="10"/>
    <cfRule type="duplicateValues" dxfId="207" priority="9"/>
  </conditionalFormatting>
  <conditionalFormatting sqref="J522:J524">
    <cfRule type="duplicateValues" dxfId="206" priority="8"/>
    <cfRule type="duplicateValues" dxfId="205" priority="7"/>
  </conditionalFormatting>
  <conditionalFormatting sqref="J525:J529">
    <cfRule type="duplicateValues" dxfId="204" priority="5"/>
  </conditionalFormatting>
  <conditionalFormatting sqref="J525:J539">
    <cfRule type="duplicateValues" dxfId="203" priority="6"/>
  </conditionalFormatting>
  <conditionalFormatting sqref="J530:J539">
    <cfRule type="duplicateValues" dxfId="202" priority="4"/>
    <cfRule type="duplicateValues" dxfId="201" priority="3"/>
  </conditionalFormatting>
  <conditionalFormatting sqref="J540:J542">
    <cfRule type="duplicateValues" dxfId="200" priority="2"/>
  </conditionalFormatting>
  <conditionalFormatting sqref="J540:J543">
    <cfRule type="duplicateValues" dxfId="199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BEF-76A8-4D3E-AD12-25997C8E6E73}">
  <dimension ref="A1:P113"/>
  <sheetViews>
    <sheetView zoomScale="85" zoomScaleNormal="85" workbookViewId="0">
      <selection activeCell="H23" sqref="H23"/>
    </sheetView>
  </sheetViews>
  <sheetFormatPr defaultRowHeight="14.4" x14ac:dyDescent="0.3"/>
  <cols>
    <col min="1" max="1" width="35.6640625" style="28" customWidth="1"/>
    <col min="2" max="3" width="11.6640625" customWidth="1"/>
    <col min="10" max="10" width="9.6640625" bestFit="1" customWidth="1"/>
    <col min="12" max="12" width="36" customWidth="1"/>
    <col min="13" max="13" width="15.5546875" style="37" customWidth="1"/>
    <col min="15" max="15" width="23.6640625" customWidth="1"/>
    <col min="16" max="16" width="15.332031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3219</v>
      </c>
      <c r="B2" s="26">
        <v>46093</v>
      </c>
      <c r="C2" s="26">
        <v>46098</v>
      </c>
      <c r="D2" s="27">
        <v>3319</v>
      </c>
      <c r="E2" s="25">
        <v>327</v>
      </c>
      <c r="F2" s="25">
        <v>2</v>
      </c>
      <c r="G2" s="28">
        <v>1</v>
      </c>
      <c r="H2" s="28">
        <v>80700</v>
      </c>
      <c r="I2" s="28" t="s">
        <v>17</v>
      </c>
      <c r="J2" s="28">
        <v>16270305</v>
      </c>
      <c r="K2" t="s">
        <v>2209</v>
      </c>
      <c r="L2" t="s">
        <v>2210</v>
      </c>
      <c r="M2" s="39">
        <v>199900</v>
      </c>
      <c r="N2" s="29" t="s">
        <v>2826</v>
      </c>
      <c r="O2" s="36" t="s">
        <v>3220</v>
      </c>
      <c r="P2" s="28" t="s">
        <v>2826</v>
      </c>
    </row>
    <row r="3" spans="1:16" x14ac:dyDescent="0.3">
      <c r="A3" s="25" t="s">
        <v>3219</v>
      </c>
      <c r="B3" s="26">
        <v>46093</v>
      </c>
      <c r="C3" s="26">
        <v>46098</v>
      </c>
      <c r="D3" s="27">
        <v>3319</v>
      </c>
      <c r="E3" s="25">
        <v>327</v>
      </c>
      <c r="F3" s="25">
        <v>2</v>
      </c>
      <c r="G3" s="28">
        <v>1</v>
      </c>
      <c r="H3" s="28">
        <v>80700</v>
      </c>
      <c r="I3" s="28" t="s">
        <v>17</v>
      </c>
      <c r="J3" s="28">
        <v>16270298</v>
      </c>
      <c r="K3" t="s">
        <v>2209</v>
      </c>
      <c r="L3" t="s">
        <v>2211</v>
      </c>
      <c r="M3" s="39">
        <v>179900</v>
      </c>
      <c r="N3" s="29" t="s">
        <v>2826</v>
      </c>
      <c r="O3" s="36" t="s">
        <v>3220</v>
      </c>
      <c r="P3" s="28" t="s">
        <v>2826</v>
      </c>
    </row>
    <row r="4" spans="1:16" x14ac:dyDescent="0.3">
      <c r="A4" s="25" t="s">
        <v>3219</v>
      </c>
      <c r="B4" s="26">
        <v>46093</v>
      </c>
      <c r="C4" s="26">
        <v>46098</v>
      </c>
      <c r="D4" s="27">
        <v>3319</v>
      </c>
      <c r="E4" s="25">
        <v>327</v>
      </c>
      <c r="F4" s="25">
        <v>2</v>
      </c>
      <c r="G4" s="28">
        <v>1</v>
      </c>
      <c r="H4" s="28">
        <v>80700</v>
      </c>
      <c r="I4" s="28" t="s">
        <v>17</v>
      </c>
      <c r="J4" s="28">
        <v>13838707</v>
      </c>
      <c r="K4" t="s">
        <v>2209</v>
      </c>
      <c r="L4" t="s">
        <v>2212</v>
      </c>
      <c r="M4" s="39">
        <v>179900</v>
      </c>
      <c r="N4" s="29" t="s">
        <v>2826</v>
      </c>
      <c r="O4" s="36" t="s">
        <v>3220</v>
      </c>
      <c r="P4" s="28" t="s">
        <v>2826</v>
      </c>
    </row>
    <row r="5" spans="1:16" x14ac:dyDescent="0.3">
      <c r="A5" s="25" t="s">
        <v>3219</v>
      </c>
      <c r="B5" s="26">
        <v>46093</v>
      </c>
      <c r="C5" s="26">
        <v>46098</v>
      </c>
      <c r="D5" s="27">
        <v>3319</v>
      </c>
      <c r="E5" s="25">
        <v>327</v>
      </c>
      <c r="F5" s="25">
        <v>2</v>
      </c>
      <c r="G5" s="28">
        <v>1</v>
      </c>
      <c r="H5" s="28">
        <v>80700</v>
      </c>
      <c r="I5" s="28" t="s">
        <v>17</v>
      </c>
      <c r="J5" s="28">
        <v>13838690</v>
      </c>
      <c r="K5" t="s">
        <v>2209</v>
      </c>
      <c r="L5" t="s">
        <v>2213</v>
      </c>
      <c r="M5" s="39">
        <v>179900</v>
      </c>
      <c r="N5" s="29" t="s">
        <v>2826</v>
      </c>
      <c r="O5" s="36" t="s">
        <v>3220</v>
      </c>
      <c r="P5" s="28" t="s">
        <v>2826</v>
      </c>
    </row>
    <row r="6" spans="1:16" x14ac:dyDescent="0.3">
      <c r="A6" s="25" t="s">
        <v>3219</v>
      </c>
      <c r="B6" s="26">
        <v>46093</v>
      </c>
      <c r="C6" s="26">
        <v>46098</v>
      </c>
      <c r="D6" s="27">
        <v>3319</v>
      </c>
      <c r="E6" s="25">
        <v>327</v>
      </c>
      <c r="F6" s="25">
        <v>2</v>
      </c>
      <c r="G6" s="28">
        <v>1</v>
      </c>
      <c r="H6" s="28">
        <v>80700</v>
      </c>
      <c r="I6" s="28" t="s">
        <v>17</v>
      </c>
      <c r="J6" s="28">
        <v>13838636</v>
      </c>
      <c r="K6" t="s">
        <v>2209</v>
      </c>
      <c r="L6" t="s">
        <v>2214</v>
      </c>
      <c r="M6" s="39">
        <v>179900</v>
      </c>
      <c r="N6" s="29" t="s">
        <v>2826</v>
      </c>
      <c r="O6" s="36" t="s">
        <v>3220</v>
      </c>
      <c r="P6" s="28" t="s">
        <v>2826</v>
      </c>
    </row>
    <row r="7" spans="1:16" x14ac:dyDescent="0.3">
      <c r="A7" s="25" t="s">
        <v>3219</v>
      </c>
      <c r="B7" s="26">
        <v>46093</v>
      </c>
      <c r="C7" s="26">
        <v>46098</v>
      </c>
      <c r="D7" s="27">
        <v>3319</v>
      </c>
      <c r="E7" s="25">
        <v>327</v>
      </c>
      <c r="F7" s="25">
        <v>2</v>
      </c>
      <c r="G7" s="28">
        <v>1</v>
      </c>
      <c r="H7" s="28">
        <v>80700</v>
      </c>
      <c r="I7" s="28" t="s">
        <v>17</v>
      </c>
      <c r="J7" s="28">
        <v>13838645</v>
      </c>
      <c r="K7" t="s">
        <v>2209</v>
      </c>
      <c r="L7" t="s">
        <v>2215</v>
      </c>
      <c r="M7" s="39">
        <v>179900</v>
      </c>
      <c r="N7" s="29" t="s">
        <v>2826</v>
      </c>
      <c r="O7" s="36" t="s">
        <v>3220</v>
      </c>
      <c r="P7" s="28" t="s">
        <v>2826</v>
      </c>
    </row>
    <row r="8" spans="1:16" x14ac:dyDescent="0.3">
      <c r="A8" s="25" t="s">
        <v>3219</v>
      </c>
      <c r="B8" s="26">
        <v>46093</v>
      </c>
      <c r="C8" s="26">
        <v>46098</v>
      </c>
      <c r="D8" s="27">
        <v>3319</v>
      </c>
      <c r="E8" s="25">
        <v>327</v>
      </c>
      <c r="F8" s="25">
        <v>2</v>
      </c>
      <c r="G8" s="28">
        <v>1</v>
      </c>
      <c r="H8" s="28">
        <v>80700</v>
      </c>
      <c r="I8" s="28" t="s">
        <v>17</v>
      </c>
      <c r="J8" s="28">
        <v>13838654</v>
      </c>
      <c r="K8" t="s">
        <v>2209</v>
      </c>
      <c r="L8" t="s">
        <v>2216</v>
      </c>
      <c r="M8" s="39">
        <v>179900</v>
      </c>
      <c r="N8" s="29" t="s">
        <v>2826</v>
      </c>
      <c r="O8" s="36" t="s">
        <v>3220</v>
      </c>
      <c r="P8" s="28" t="s">
        <v>2826</v>
      </c>
    </row>
    <row r="9" spans="1:16" x14ac:dyDescent="0.3">
      <c r="A9" s="25" t="s">
        <v>3219</v>
      </c>
      <c r="B9" s="26">
        <v>46093</v>
      </c>
      <c r="C9" s="26">
        <v>46098</v>
      </c>
      <c r="D9" s="27">
        <v>3319</v>
      </c>
      <c r="E9" s="25">
        <v>327</v>
      </c>
      <c r="F9" s="25">
        <v>2</v>
      </c>
      <c r="G9" s="28">
        <v>1</v>
      </c>
      <c r="H9" s="28">
        <v>80700</v>
      </c>
      <c r="I9" s="28" t="s">
        <v>17</v>
      </c>
      <c r="J9" s="28">
        <v>13838663</v>
      </c>
      <c r="K9" t="s">
        <v>2209</v>
      </c>
      <c r="L9" t="s">
        <v>2217</v>
      </c>
      <c r="M9" s="39">
        <v>179900</v>
      </c>
      <c r="N9" s="29" t="s">
        <v>2826</v>
      </c>
      <c r="O9" s="36" t="s">
        <v>3220</v>
      </c>
      <c r="P9" s="28" t="s">
        <v>2826</v>
      </c>
    </row>
    <row r="10" spans="1:16" x14ac:dyDescent="0.3">
      <c r="A10" s="25" t="s">
        <v>3219</v>
      </c>
      <c r="B10" s="26">
        <v>46093</v>
      </c>
      <c r="C10" s="26">
        <v>46098</v>
      </c>
      <c r="D10" s="27">
        <v>3319</v>
      </c>
      <c r="E10" s="25">
        <v>327</v>
      </c>
      <c r="F10" s="25">
        <v>2</v>
      </c>
      <c r="G10" s="28">
        <v>1</v>
      </c>
      <c r="H10" s="28">
        <v>80700</v>
      </c>
      <c r="I10" s="28" t="s">
        <v>17</v>
      </c>
      <c r="J10" s="28">
        <v>13838672</v>
      </c>
      <c r="K10" t="s">
        <v>2209</v>
      </c>
      <c r="L10" t="s">
        <v>2218</v>
      </c>
      <c r="M10" s="39">
        <v>179900</v>
      </c>
      <c r="N10" s="29" t="s">
        <v>2826</v>
      </c>
      <c r="O10" s="36" t="s">
        <v>3220</v>
      </c>
      <c r="P10" s="28" t="s">
        <v>2826</v>
      </c>
    </row>
    <row r="11" spans="1:16" x14ac:dyDescent="0.3">
      <c r="A11" s="25" t="s">
        <v>3219</v>
      </c>
      <c r="B11" s="26">
        <v>46093</v>
      </c>
      <c r="C11" s="26">
        <v>46098</v>
      </c>
      <c r="D11" s="27">
        <v>3319</v>
      </c>
      <c r="E11" s="25">
        <v>327</v>
      </c>
      <c r="F11" s="25">
        <v>2</v>
      </c>
      <c r="G11" s="28">
        <v>1</v>
      </c>
      <c r="H11" s="28">
        <v>80700</v>
      </c>
      <c r="I11" s="28" t="s">
        <v>17</v>
      </c>
      <c r="J11" s="28">
        <v>13838681</v>
      </c>
      <c r="K11" t="s">
        <v>2209</v>
      </c>
      <c r="L11" t="s">
        <v>2219</v>
      </c>
      <c r="M11" s="39">
        <v>179900</v>
      </c>
      <c r="N11" s="29" t="s">
        <v>2826</v>
      </c>
      <c r="O11" s="36" t="s">
        <v>3220</v>
      </c>
      <c r="P11" s="28" t="s">
        <v>2826</v>
      </c>
    </row>
    <row r="12" spans="1:16" x14ac:dyDescent="0.3">
      <c r="A12" s="25" t="s">
        <v>3219</v>
      </c>
      <c r="B12" s="26">
        <v>46093</v>
      </c>
      <c r="C12" s="26">
        <v>46098</v>
      </c>
      <c r="D12" s="25">
        <v>3319</v>
      </c>
      <c r="E12" s="25">
        <v>327</v>
      </c>
      <c r="F12" s="25">
        <v>2</v>
      </c>
      <c r="G12" s="28">
        <v>1</v>
      </c>
      <c r="H12" s="28">
        <v>80700</v>
      </c>
      <c r="I12" s="28" t="s">
        <v>17</v>
      </c>
      <c r="J12" s="28">
        <v>18476125</v>
      </c>
      <c r="K12" t="s">
        <v>2037</v>
      </c>
      <c r="L12" t="s">
        <v>2038</v>
      </c>
      <c r="M12" s="39">
        <v>159900</v>
      </c>
      <c r="N12" s="29" t="s">
        <v>2826</v>
      </c>
      <c r="O12" s="36" t="s">
        <v>3220</v>
      </c>
      <c r="P12" s="28" t="s">
        <v>2826</v>
      </c>
    </row>
    <row r="13" spans="1:16" x14ac:dyDescent="0.3">
      <c r="A13" s="25" t="s">
        <v>3219</v>
      </c>
      <c r="B13" s="26">
        <v>46093</v>
      </c>
      <c r="C13" s="26">
        <v>46098</v>
      </c>
      <c r="D13" s="25">
        <v>3319</v>
      </c>
      <c r="E13" s="25">
        <v>327</v>
      </c>
      <c r="F13" s="25">
        <v>2</v>
      </c>
      <c r="G13" s="28">
        <v>1</v>
      </c>
      <c r="H13" s="28">
        <v>80700</v>
      </c>
      <c r="I13" s="28" t="s">
        <v>17</v>
      </c>
      <c r="J13" s="28">
        <v>18476134</v>
      </c>
      <c r="K13" t="s">
        <v>2037</v>
      </c>
      <c r="L13" t="s">
        <v>2039</v>
      </c>
      <c r="M13" s="39">
        <v>159900</v>
      </c>
      <c r="N13" s="29" t="s">
        <v>2826</v>
      </c>
      <c r="O13" s="36" t="s">
        <v>3220</v>
      </c>
      <c r="P13" s="28" t="s">
        <v>2826</v>
      </c>
    </row>
    <row r="14" spans="1:16" x14ac:dyDescent="0.3">
      <c r="A14" s="25" t="s">
        <v>3219</v>
      </c>
      <c r="B14" s="26">
        <v>46093</v>
      </c>
      <c r="C14" s="26">
        <v>46098</v>
      </c>
      <c r="D14" s="25">
        <v>3319</v>
      </c>
      <c r="E14" s="25">
        <v>327</v>
      </c>
      <c r="F14" s="25">
        <v>2</v>
      </c>
      <c r="G14" s="28">
        <v>1</v>
      </c>
      <c r="H14" s="28">
        <v>80700</v>
      </c>
      <c r="I14" s="28" t="s">
        <v>17</v>
      </c>
      <c r="J14" s="28">
        <v>18476143</v>
      </c>
      <c r="K14" t="s">
        <v>2037</v>
      </c>
      <c r="L14" t="s">
        <v>2040</v>
      </c>
      <c r="M14" s="39">
        <v>159900</v>
      </c>
      <c r="N14" s="29" t="s">
        <v>2826</v>
      </c>
      <c r="O14" s="36" t="s">
        <v>3220</v>
      </c>
      <c r="P14" s="28" t="s">
        <v>2826</v>
      </c>
    </row>
    <row r="15" spans="1:16" x14ac:dyDescent="0.3">
      <c r="A15" s="25" t="s">
        <v>3219</v>
      </c>
      <c r="B15" s="26">
        <v>46093</v>
      </c>
      <c r="C15" s="26">
        <v>46098</v>
      </c>
      <c r="D15" s="25">
        <v>3319</v>
      </c>
      <c r="E15" s="25">
        <v>327</v>
      </c>
      <c r="F15" s="25">
        <v>2</v>
      </c>
      <c r="G15" s="28">
        <v>1</v>
      </c>
      <c r="H15" s="28">
        <v>80700</v>
      </c>
      <c r="I15" s="28" t="s">
        <v>17</v>
      </c>
      <c r="J15" s="28">
        <v>18476152</v>
      </c>
      <c r="K15" t="s">
        <v>2037</v>
      </c>
      <c r="L15" t="s">
        <v>2041</v>
      </c>
      <c r="M15" s="39">
        <v>159900</v>
      </c>
      <c r="N15" s="29" t="s">
        <v>2826</v>
      </c>
      <c r="O15" s="36" t="s">
        <v>3220</v>
      </c>
      <c r="P15" s="28" t="s">
        <v>2826</v>
      </c>
    </row>
    <row r="16" spans="1:16" x14ac:dyDescent="0.3">
      <c r="A16" s="25" t="s">
        <v>3219</v>
      </c>
      <c r="B16" s="26">
        <v>46093</v>
      </c>
      <c r="C16" s="26">
        <v>46098</v>
      </c>
      <c r="D16" s="25">
        <v>3319</v>
      </c>
      <c r="E16" s="25">
        <v>327</v>
      </c>
      <c r="F16" s="25">
        <v>2</v>
      </c>
      <c r="G16" s="28">
        <v>1</v>
      </c>
      <c r="H16" s="28">
        <v>80700</v>
      </c>
      <c r="I16" s="28" t="s">
        <v>17</v>
      </c>
      <c r="J16" s="28">
        <v>18476170</v>
      </c>
      <c r="K16" t="s">
        <v>2042</v>
      </c>
      <c r="L16" t="s">
        <v>2043</v>
      </c>
      <c r="M16" s="39">
        <v>159900</v>
      </c>
      <c r="N16" s="29" t="s">
        <v>2826</v>
      </c>
      <c r="O16" s="36" t="s">
        <v>3220</v>
      </c>
      <c r="P16" s="28" t="s">
        <v>2826</v>
      </c>
    </row>
    <row r="17" spans="1:16" x14ac:dyDescent="0.3">
      <c r="A17" s="25" t="s">
        <v>3219</v>
      </c>
      <c r="B17" s="26">
        <v>46093</v>
      </c>
      <c r="C17" s="26">
        <v>46098</v>
      </c>
      <c r="D17" s="25">
        <v>3319</v>
      </c>
      <c r="E17" s="25">
        <v>327</v>
      </c>
      <c r="F17" s="25">
        <v>2</v>
      </c>
      <c r="G17" s="28">
        <v>1</v>
      </c>
      <c r="H17" s="28">
        <v>80700</v>
      </c>
      <c r="I17" s="28" t="s">
        <v>17</v>
      </c>
      <c r="J17" s="28">
        <v>18476189</v>
      </c>
      <c r="K17" t="s">
        <v>2042</v>
      </c>
      <c r="L17" t="s">
        <v>2044</v>
      </c>
      <c r="M17" s="39">
        <v>159900</v>
      </c>
      <c r="N17" s="29" t="s">
        <v>2826</v>
      </c>
      <c r="O17" s="36" t="s">
        <v>3220</v>
      </c>
      <c r="P17" s="28" t="s">
        <v>2826</v>
      </c>
    </row>
    <row r="18" spans="1:16" x14ac:dyDescent="0.3">
      <c r="A18" s="25" t="s">
        <v>3219</v>
      </c>
      <c r="B18" s="26">
        <v>46093</v>
      </c>
      <c r="C18" s="26">
        <v>46098</v>
      </c>
      <c r="D18" s="25">
        <v>3319</v>
      </c>
      <c r="E18" s="25">
        <v>327</v>
      </c>
      <c r="F18" s="25">
        <v>2</v>
      </c>
      <c r="G18" s="28">
        <v>1</v>
      </c>
      <c r="H18" s="28">
        <v>80700</v>
      </c>
      <c r="I18" s="28" t="s">
        <v>17</v>
      </c>
      <c r="J18" s="28">
        <v>18476198</v>
      </c>
      <c r="K18" t="s">
        <v>2042</v>
      </c>
      <c r="L18" t="s">
        <v>2045</v>
      </c>
      <c r="M18" s="39">
        <v>159900</v>
      </c>
      <c r="N18" s="29" t="s">
        <v>2826</v>
      </c>
      <c r="O18" s="36" t="s">
        <v>3220</v>
      </c>
      <c r="P18" s="28" t="s">
        <v>2826</v>
      </c>
    </row>
    <row r="19" spans="1:16" x14ac:dyDescent="0.3">
      <c r="A19" s="25" t="s">
        <v>3219</v>
      </c>
      <c r="B19" s="26">
        <v>46093</v>
      </c>
      <c r="C19" s="26">
        <v>46098</v>
      </c>
      <c r="D19" s="25">
        <v>3319</v>
      </c>
      <c r="E19" s="25">
        <v>327</v>
      </c>
      <c r="F19" s="25">
        <v>2</v>
      </c>
      <c r="G19" s="28">
        <v>1</v>
      </c>
      <c r="H19" s="28">
        <v>80700</v>
      </c>
      <c r="I19" s="28" t="s">
        <v>17</v>
      </c>
      <c r="J19" s="28">
        <v>18476205</v>
      </c>
      <c r="K19" t="s">
        <v>2042</v>
      </c>
      <c r="L19" t="s">
        <v>2046</v>
      </c>
      <c r="M19" s="39">
        <v>159900</v>
      </c>
      <c r="N19" s="29" t="s">
        <v>2826</v>
      </c>
      <c r="O19" s="36" t="s">
        <v>3220</v>
      </c>
      <c r="P19" s="28" t="s">
        <v>2826</v>
      </c>
    </row>
    <row r="20" spans="1:16" x14ac:dyDescent="0.3">
      <c r="A20" s="25" t="s">
        <v>3219</v>
      </c>
      <c r="B20" s="26">
        <v>46093</v>
      </c>
      <c r="C20" s="26">
        <v>46098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18476509</v>
      </c>
      <c r="K20" t="s">
        <v>2069</v>
      </c>
      <c r="L20" t="s">
        <v>2070</v>
      </c>
      <c r="M20" s="39">
        <v>199900</v>
      </c>
      <c r="N20" s="29" t="s">
        <v>2826</v>
      </c>
      <c r="O20" s="36" t="s">
        <v>3220</v>
      </c>
      <c r="P20" s="28" t="s">
        <v>2826</v>
      </c>
    </row>
    <row r="21" spans="1:16" x14ac:dyDescent="0.3">
      <c r="A21" s="25" t="s">
        <v>3219</v>
      </c>
      <c r="B21" s="26">
        <v>46093</v>
      </c>
      <c r="C21" s="26">
        <v>46098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18476572</v>
      </c>
      <c r="K21" t="s">
        <v>2069</v>
      </c>
      <c r="L21" t="s">
        <v>2071</v>
      </c>
      <c r="M21" s="39">
        <v>199900</v>
      </c>
      <c r="N21" s="29" t="s">
        <v>2826</v>
      </c>
      <c r="O21" s="36" t="s">
        <v>3220</v>
      </c>
      <c r="P21" s="28" t="s">
        <v>2826</v>
      </c>
    </row>
    <row r="22" spans="1:16" x14ac:dyDescent="0.3">
      <c r="A22" s="25" t="s">
        <v>3219</v>
      </c>
      <c r="B22" s="26">
        <v>46093</v>
      </c>
      <c r="C22" s="26">
        <v>46098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18476590</v>
      </c>
      <c r="K22" t="s">
        <v>2069</v>
      </c>
      <c r="L22" t="s">
        <v>2072</v>
      </c>
      <c r="M22" s="39">
        <v>199900</v>
      </c>
      <c r="N22" s="29" t="s">
        <v>2826</v>
      </c>
      <c r="O22" s="36" t="s">
        <v>3220</v>
      </c>
      <c r="P22" s="28" t="s">
        <v>2826</v>
      </c>
    </row>
    <row r="23" spans="1:16" x14ac:dyDescent="0.3">
      <c r="A23" s="25" t="s">
        <v>3219</v>
      </c>
      <c r="B23" s="26">
        <v>46093</v>
      </c>
      <c r="C23" s="26">
        <v>46098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18476607</v>
      </c>
      <c r="K23" t="s">
        <v>2069</v>
      </c>
      <c r="L23" t="s">
        <v>2073</v>
      </c>
      <c r="M23" s="39">
        <v>199900</v>
      </c>
      <c r="N23" s="29" t="s">
        <v>2826</v>
      </c>
      <c r="O23" s="36" t="s">
        <v>3220</v>
      </c>
      <c r="P23" s="28" t="s">
        <v>2826</v>
      </c>
    </row>
    <row r="24" spans="1:16" x14ac:dyDescent="0.3">
      <c r="A24" s="25" t="s">
        <v>3219</v>
      </c>
      <c r="B24" s="26">
        <v>46093</v>
      </c>
      <c r="C24" s="26">
        <v>46098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18476616</v>
      </c>
      <c r="K24" t="s">
        <v>2069</v>
      </c>
      <c r="L24" t="s">
        <v>2074</v>
      </c>
      <c r="M24" s="39">
        <v>199900</v>
      </c>
      <c r="N24" s="29" t="s">
        <v>2826</v>
      </c>
      <c r="O24" s="36" t="s">
        <v>3220</v>
      </c>
      <c r="P24" s="28" t="s">
        <v>2826</v>
      </c>
    </row>
    <row r="25" spans="1:16" x14ac:dyDescent="0.3">
      <c r="A25" s="25" t="s">
        <v>3219</v>
      </c>
      <c r="B25" s="26">
        <v>46093</v>
      </c>
      <c r="C25" s="26">
        <v>46098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18476625</v>
      </c>
      <c r="K25" t="s">
        <v>2075</v>
      </c>
      <c r="L25" t="s">
        <v>2076</v>
      </c>
      <c r="M25" s="39">
        <v>199900</v>
      </c>
      <c r="N25" s="29" t="s">
        <v>2826</v>
      </c>
      <c r="O25" s="36" t="s">
        <v>3220</v>
      </c>
      <c r="P25" s="28" t="s">
        <v>2826</v>
      </c>
    </row>
    <row r="26" spans="1:16" x14ac:dyDescent="0.3">
      <c r="A26" s="25" t="s">
        <v>3219</v>
      </c>
      <c r="B26" s="26">
        <v>46093</v>
      </c>
      <c r="C26" s="26">
        <v>46098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18476705</v>
      </c>
      <c r="K26" t="s">
        <v>2075</v>
      </c>
      <c r="L26" t="s">
        <v>2077</v>
      </c>
      <c r="M26" s="39">
        <v>199900</v>
      </c>
      <c r="N26" s="29" t="s">
        <v>2826</v>
      </c>
      <c r="O26" s="36" t="s">
        <v>3220</v>
      </c>
      <c r="P26" s="28" t="s">
        <v>2826</v>
      </c>
    </row>
    <row r="27" spans="1:16" x14ac:dyDescent="0.3">
      <c r="A27" s="25" t="s">
        <v>3219</v>
      </c>
      <c r="B27" s="26">
        <v>46093</v>
      </c>
      <c r="C27" s="26">
        <v>46098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18476714</v>
      </c>
      <c r="K27" t="s">
        <v>2075</v>
      </c>
      <c r="L27" t="s">
        <v>2078</v>
      </c>
      <c r="M27" s="39">
        <v>199900</v>
      </c>
      <c r="N27" s="29" t="s">
        <v>2826</v>
      </c>
      <c r="O27" s="36" t="s">
        <v>3220</v>
      </c>
      <c r="P27" s="28" t="s">
        <v>2826</v>
      </c>
    </row>
    <row r="28" spans="1:16" x14ac:dyDescent="0.3">
      <c r="A28" s="25" t="s">
        <v>3219</v>
      </c>
      <c r="B28" s="26">
        <v>46093</v>
      </c>
      <c r="C28" s="26">
        <v>46098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18476741</v>
      </c>
      <c r="K28" t="s">
        <v>2075</v>
      </c>
      <c r="L28" t="s">
        <v>2079</v>
      </c>
      <c r="M28" s="39">
        <v>199900</v>
      </c>
      <c r="N28" s="29" t="s">
        <v>2826</v>
      </c>
      <c r="O28" s="36" t="s">
        <v>3220</v>
      </c>
      <c r="P28" s="28" t="s">
        <v>2826</v>
      </c>
    </row>
    <row r="29" spans="1:16" x14ac:dyDescent="0.3">
      <c r="A29" s="25" t="s">
        <v>3219</v>
      </c>
      <c r="B29" s="26">
        <v>46093</v>
      </c>
      <c r="C29" s="26">
        <v>46098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18476750</v>
      </c>
      <c r="K29" t="s">
        <v>2075</v>
      </c>
      <c r="L29" t="s">
        <v>2080</v>
      </c>
      <c r="M29" s="39">
        <v>199900</v>
      </c>
      <c r="N29" s="29" t="s">
        <v>2826</v>
      </c>
      <c r="O29" s="36" t="s">
        <v>3220</v>
      </c>
      <c r="P29" s="28" t="s">
        <v>2826</v>
      </c>
    </row>
    <row r="30" spans="1:16" x14ac:dyDescent="0.3">
      <c r="A30" s="25" t="s">
        <v>3219</v>
      </c>
      <c r="B30" s="26">
        <v>46093</v>
      </c>
      <c r="C30" s="26">
        <v>46098</v>
      </c>
      <c r="D30" s="25">
        <v>3319</v>
      </c>
      <c r="E30" s="25">
        <v>327</v>
      </c>
      <c r="F30" s="25">
        <v>2</v>
      </c>
      <c r="G30" s="28">
        <v>1</v>
      </c>
      <c r="H30" s="28">
        <v>80700</v>
      </c>
      <c r="I30" s="28" t="s">
        <v>17</v>
      </c>
      <c r="J30" s="28">
        <v>18476214</v>
      </c>
      <c r="K30" t="s">
        <v>2047</v>
      </c>
      <c r="L30" t="s">
        <v>2048</v>
      </c>
      <c r="M30" s="39">
        <v>159900</v>
      </c>
      <c r="N30" s="29" t="s">
        <v>2826</v>
      </c>
      <c r="O30" s="36" t="s">
        <v>3220</v>
      </c>
      <c r="P30" s="28" t="s">
        <v>2826</v>
      </c>
    </row>
    <row r="31" spans="1:16" x14ac:dyDescent="0.3">
      <c r="A31" s="25" t="s">
        <v>3219</v>
      </c>
      <c r="B31" s="26">
        <v>46093</v>
      </c>
      <c r="C31" s="26">
        <v>46098</v>
      </c>
      <c r="D31" s="25">
        <v>3319</v>
      </c>
      <c r="E31" s="25">
        <v>327</v>
      </c>
      <c r="F31" s="25">
        <v>2</v>
      </c>
      <c r="G31" s="28">
        <v>1</v>
      </c>
      <c r="H31" s="28">
        <v>80700</v>
      </c>
      <c r="I31" s="28" t="s">
        <v>17</v>
      </c>
      <c r="J31" s="28">
        <v>18476223</v>
      </c>
      <c r="K31" t="s">
        <v>2047</v>
      </c>
      <c r="L31" t="s">
        <v>2049</v>
      </c>
      <c r="M31" s="39">
        <v>159900</v>
      </c>
      <c r="N31" s="29" t="s">
        <v>2826</v>
      </c>
      <c r="O31" s="36" t="s">
        <v>3220</v>
      </c>
      <c r="P31" s="28" t="s">
        <v>2826</v>
      </c>
    </row>
    <row r="32" spans="1:16" x14ac:dyDescent="0.3">
      <c r="A32" s="25" t="s">
        <v>3219</v>
      </c>
      <c r="B32" s="26">
        <v>46093</v>
      </c>
      <c r="C32" s="26">
        <v>46098</v>
      </c>
      <c r="D32" s="25">
        <v>3319</v>
      </c>
      <c r="E32" s="25">
        <v>327</v>
      </c>
      <c r="F32" s="25">
        <v>2</v>
      </c>
      <c r="G32" s="28">
        <v>1</v>
      </c>
      <c r="H32" s="28">
        <v>80700</v>
      </c>
      <c r="I32" s="28" t="s">
        <v>17</v>
      </c>
      <c r="J32" s="28">
        <v>18476232</v>
      </c>
      <c r="K32" t="s">
        <v>2047</v>
      </c>
      <c r="L32" t="s">
        <v>2050</v>
      </c>
      <c r="M32" s="39">
        <v>159900</v>
      </c>
      <c r="N32" s="29" t="s">
        <v>2826</v>
      </c>
      <c r="O32" s="36" t="s">
        <v>3220</v>
      </c>
      <c r="P32" s="28" t="s">
        <v>2826</v>
      </c>
    </row>
    <row r="33" spans="1:16" x14ac:dyDescent="0.3">
      <c r="A33" s="25" t="s">
        <v>3219</v>
      </c>
      <c r="B33" s="26">
        <v>46093</v>
      </c>
      <c r="C33" s="26">
        <v>46098</v>
      </c>
      <c r="D33" s="25">
        <v>3319</v>
      </c>
      <c r="E33" s="25">
        <v>327</v>
      </c>
      <c r="F33" s="25">
        <v>2</v>
      </c>
      <c r="G33" s="28">
        <v>1</v>
      </c>
      <c r="H33" s="28">
        <v>80700</v>
      </c>
      <c r="I33" s="28" t="s">
        <v>17</v>
      </c>
      <c r="J33" s="28">
        <v>18476241</v>
      </c>
      <c r="K33" t="s">
        <v>2047</v>
      </c>
      <c r="L33" t="s">
        <v>2051</v>
      </c>
      <c r="M33" s="39">
        <v>159900</v>
      </c>
      <c r="N33" s="29" t="s">
        <v>2826</v>
      </c>
      <c r="O33" s="36" t="s">
        <v>3220</v>
      </c>
      <c r="P33" s="28" t="s">
        <v>2826</v>
      </c>
    </row>
    <row r="34" spans="1:16" x14ac:dyDescent="0.3">
      <c r="A34" s="25" t="s">
        <v>3219</v>
      </c>
      <c r="B34" s="26">
        <v>46093</v>
      </c>
      <c r="C34" s="26">
        <v>46098</v>
      </c>
      <c r="D34" s="27">
        <v>3319</v>
      </c>
      <c r="E34" s="25">
        <v>327</v>
      </c>
      <c r="F34" s="25">
        <v>2</v>
      </c>
      <c r="G34" s="28">
        <v>1</v>
      </c>
      <c r="H34" s="28">
        <v>80700</v>
      </c>
      <c r="I34" s="28" t="s">
        <v>17</v>
      </c>
      <c r="J34" s="28">
        <v>82228380</v>
      </c>
      <c r="K34" t="s">
        <v>1692</v>
      </c>
      <c r="L34" t="s">
        <v>1696</v>
      </c>
      <c r="M34" s="39">
        <v>199900</v>
      </c>
      <c r="N34" s="29" t="s">
        <v>2826</v>
      </c>
      <c r="O34" s="36" t="s">
        <v>3220</v>
      </c>
      <c r="P34" s="28" t="s">
        <v>2826</v>
      </c>
    </row>
    <row r="35" spans="1:16" x14ac:dyDescent="0.3">
      <c r="A35" s="25" t="s">
        <v>3219</v>
      </c>
      <c r="B35" s="26">
        <v>46093</v>
      </c>
      <c r="C35" s="26">
        <v>46098</v>
      </c>
      <c r="D35" s="27">
        <v>3319</v>
      </c>
      <c r="E35" s="25">
        <v>327</v>
      </c>
      <c r="F35" s="25">
        <v>2</v>
      </c>
      <c r="G35" s="28">
        <v>1</v>
      </c>
      <c r="H35" s="28">
        <v>80700</v>
      </c>
      <c r="I35" s="28" t="s">
        <v>17</v>
      </c>
      <c r="J35" s="28">
        <v>82228399</v>
      </c>
      <c r="K35" t="s">
        <v>1692</v>
      </c>
      <c r="L35" t="s">
        <v>1697</v>
      </c>
      <c r="M35" s="39">
        <v>199900</v>
      </c>
      <c r="N35" s="29" t="s">
        <v>2826</v>
      </c>
      <c r="O35" s="36" t="s">
        <v>3220</v>
      </c>
      <c r="P35" s="28" t="s">
        <v>2826</v>
      </c>
    </row>
    <row r="36" spans="1:16" x14ac:dyDescent="0.3">
      <c r="A36" s="25" t="s">
        <v>3219</v>
      </c>
      <c r="B36" s="26">
        <v>46093</v>
      </c>
      <c r="C36" s="26">
        <v>46098</v>
      </c>
      <c r="D36" s="27">
        <v>3319</v>
      </c>
      <c r="E36" s="25">
        <v>327</v>
      </c>
      <c r="F36" s="25">
        <v>2</v>
      </c>
      <c r="G36" s="28">
        <v>1</v>
      </c>
      <c r="H36" s="28">
        <v>80700</v>
      </c>
      <c r="I36" s="28" t="s">
        <v>17</v>
      </c>
      <c r="J36" s="28">
        <v>82228406</v>
      </c>
      <c r="K36" t="s">
        <v>1692</v>
      </c>
      <c r="L36" t="s">
        <v>1698</v>
      </c>
      <c r="M36" s="39">
        <v>199900</v>
      </c>
      <c r="N36" s="29" t="s">
        <v>2826</v>
      </c>
      <c r="O36" s="36" t="s">
        <v>3220</v>
      </c>
      <c r="P36" s="28" t="s">
        <v>2826</v>
      </c>
    </row>
    <row r="37" spans="1:16" x14ac:dyDescent="0.3">
      <c r="A37" s="25" t="s">
        <v>3219</v>
      </c>
      <c r="B37" s="26">
        <v>46093</v>
      </c>
      <c r="C37" s="26">
        <v>46098</v>
      </c>
      <c r="D37" s="27">
        <v>3319</v>
      </c>
      <c r="E37" s="25">
        <v>327</v>
      </c>
      <c r="F37" s="25">
        <v>2</v>
      </c>
      <c r="G37" s="28">
        <v>1</v>
      </c>
      <c r="H37" s="28">
        <v>80700</v>
      </c>
      <c r="I37" s="28" t="s">
        <v>17</v>
      </c>
      <c r="J37" s="28">
        <v>82228415</v>
      </c>
      <c r="K37" t="s">
        <v>1692</v>
      </c>
      <c r="L37" t="s">
        <v>1699</v>
      </c>
      <c r="M37" s="39">
        <v>199900</v>
      </c>
      <c r="N37" s="29" t="s">
        <v>2826</v>
      </c>
      <c r="O37" s="36" t="s">
        <v>3220</v>
      </c>
      <c r="P37" s="28" t="s">
        <v>2826</v>
      </c>
    </row>
    <row r="38" spans="1:16" x14ac:dyDescent="0.3">
      <c r="A38" s="25" t="s">
        <v>3219</v>
      </c>
      <c r="B38" s="26">
        <v>46093</v>
      </c>
      <c r="C38" s="26">
        <v>46098</v>
      </c>
      <c r="D38" s="27">
        <v>3319</v>
      </c>
      <c r="E38" s="25">
        <v>327</v>
      </c>
      <c r="F38" s="25">
        <v>2</v>
      </c>
      <c r="G38" s="28">
        <v>1</v>
      </c>
      <c r="H38" s="28">
        <v>80700</v>
      </c>
      <c r="I38" s="28" t="s">
        <v>17</v>
      </c>
      <c r="J38" s="28">
        <v>82228424</v>
      </c>
      <c r="K38" t="s">
        <v>1692</v>
      </c>
      <c r="L38" t="s">
        <v>1700</v>
      </c>
      <c r="M38" s="39">
        <v>199900</v>
      </c>
      <c r="N38" s="29" t="s">
        <v>2826</v>
      </c>
      <c r="O38" s="36" t="s">
        <v>3220</v>
      </c>
      <c r="P38" s="28" t="s">
        <v>2826</v>
      </c>
    </row>
    <row r="39" spans="1:16" x14ac:dyDescent="0.3">
      <c r="A39" s="25" t="s">
        <v>3219</v>
      </c>
      <c r="B39" s="26">
        <v>46093</v>
      </c>
      <c r="C39" s="26">
        <v>46098</v>
      </c>
      <c r="D39" s="28">
        <v>3319</v>
      </c>
      <c r="E39" s="2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18476376</v>
      </c>
      <c r="K39" t="s">
        <v>2108</v>
      </c>
      <c r="L39" t="s">
        <v>2109</v>
      </c>
      <c r="M39" s="37">
        <v>199900</v>
      </c>
      <c r="N39" s="29" t="s">
        <v>2826</v>
      </c>
      <c r="O39" s="36" t="s">
        <v>3220</v>
      </c>
      <c r="P39" s="28" t="s">
        <v>2826</v>
      </c>
    </row>
    <row r="40" spans="1:16" x14ac:dyDescent="0.3">
      <c r="A40" s="25" t="s">
        <v>3219</v>
      </c>
      <c r="B40" s="26">
        <v>46093</v>
      </c>
      <c r="C40" s="26">
        <v>46098</v>
      </c>
      <c r="D40" s="28">
        <v>3319</v>
      </c>
      <c r="E40" s="2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18476385</v>
      </c>
      <c r="K40" t="s">
        <v>2108</v>
      </c>
      <c r="L40" t="s">
        <v>2110</v>
      </c>
      <c r="M40" s="37">
        <v>199900</v>
      </c>
      <c r="N40" s="29" t="s">
        <v>2826</v>
      </c>
      <c r="O40" s="36" t="s">
        <v>3220</v>
      </c>
      <c r="P40" s="28" t="s">
        <v>2826</v>
      </c>
    </row>
    <row r="41" spans="1:16" x14ac:dyDescent="0.3">
      <c r="A41" s="25" t="s">
        <v>3219</v>
      </c>
      <c r="B41" s="26">
        <v>46093</v>
      </c>
      <c r="C41" s="26">
        <v>46098</v>
      </c>
      <c r="D41" s="28">
        <v>3319</v>
      </c>
      <c r="E41" s="2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18476410</v>
      </c>
      <c r="K41" t="s">
        <v>2108</v>
      </c>
      <c r="L41" t="s">
        <v>2111</v>
      </c>
      <c r="M41" s="37">
        <v>199900</v>
      </c>
      <c r="N41" s="29" t="s">
        <v>2826</v>
      </c>
      <c r="O41" s="36" t="s">
        <v>3220</v>
      </c>
      <c r="P41" s="28" t="s">
        <v>2826</v>
      </c>
    </row>
    <row r="42" spans="1:16" x14ac:dyDescent="0.3">
      <c r="A42" s="25" t="s">
        <v>3219</v>
      </c>
      <c r="B42" s="26">
        <v>46093</v>
      </c>
      <c r="C42" s="26">
        <v>46098</v>
      </c>
      <c r="D42" s="28">
        <v>3319</v>
      </c>
      <c r="E42" s="2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18476438</v>
      </c>
      <c r="K42" t="s">
        <v>2108</v>
      </c>
      <c r="L42" t="s">
        <v>2112</v>
      </c>
      <c r="M42" s="37">
        <v>199900</v>
      </c>
      <c r="N42" s="29" t="s">
        <v>2826</v>
      </c>
      <c r="O42" s="36" t="s">
        <v>3220</v>
      </c>
      <c r="P42" s="28" t="s">
        <v>2826</v>
      </c>
    </row>
    <row r="43" spans="1:16" x14ac:dyDescent="0.3">
      <c r="A43" s="25" t="s">
        <v>3219</v>
      </c>
      <c r="B43" s="26">
        <v>46093</v>
      </c>
      <c r="C43" s="26">
        <v>46098</v>
      </c>
      <c r="D43" s="28">
        <v>3319</v>
      </c>
      <c r="E43" s="2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18476447</v>
      </c>
      <c r="K43" t="s">
        <v>2108</v>
      </c>
      <c r="L43" t="s">
        <v>2113</v>
      </c>
      <c r="M43" s="37">
        <v>199900</v>
      </c>
      <c r="N43" s="29" t="s">
        <v>2826</v>
      </c>
      <c r="O43" s="36" t="s">
        <v>3220</v>
      </c>
      <c r="P43" s="28" t="s">
        <v>2826</v>
      </c>
    </row>
    <row r="44" spans="1:16" x14ac:dyDescent="0.3">
      <c r="A44" s="25" t="s">
        <v>3219</v>
      </c>
      <c r="B44" s="26">
        <v>46093</v>
      </c>
      <c r="C44" s="26">
        <v>46098</v>
      </c>
      <c r="D44" s="28">
        <v>3319</v>
      </c>
      <c r="E44" s="2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15806176</v>
      </c>
      <c r="K44" t="s">
        <v>2124</v>
      </c>
      <c r="L44" t="s">
        <v>2125</v>
      </c>
      <c r="M44" s="37">
        <v>199900</v>
      </c>
      <c r="N44" s="29" t="s">
        <v>2826</v>
      </c>
      <c r="O44" s="36" t="s">
        <v>3220</v>
      </c>
      <c r="P44" s="28" t="s">
        <v>2826</v>
      </c>
    </row>
    <row r="45" spans="1:16" x14ac:dyDescent="0.3">
      <c r="A45" s="25" t="s">
        <v>3219</v>
      </c>
      <c r="B45" s="26">
        <v>46093</v>
      </c>
      <c r="C45" s="26">
        <v>46098</v>
      </c>
      <c r="D45" s="28">
        <v>3319</v>
      </c>
      <c r="E45" s="2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15806185</v>
      </c>
      <c r="K45" t="s">
        <v>2124</v>
      </c>
      <c r="L45" t="s">
        <v>2126</v>
      </c>
      <c r="M45" s="37">
        <v>199900</v>
      </c>
      <c r="N45" s="29" t="s">
        <v>2826</v>
      </c>
      <c r="O45" s="36" t="s">
        <v>3220</v>
      </c>
      <c r="P45" s="28" t="s">
        <v>2826</v>
      </c>
    </row>
    <row r="46" spans="1:16" x14ac:dyDescent="0.3">
      <c r="A46" s="25" t="s">
        <v>3219</v>
      </c>
      <c r="B46" s="26">
        <v>46093</v>
      </c>
      <c r="C46" s="26">
        <v>46098</v>
      </c>
      <c r="D46" s="28">
        <v>3319</v>
      </c>
      <c r="E46" s="2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15806194</v>
      </c>
      <c r="K46" t="s">
        <v>2124</v>
      </c>
      <c r="L46" t="s">
        <v>2127</v>
      </c>
      <c r="M46" s="37">
        <v>199900</v>
      </c>
      <c r="N46" s="29" t="s">
        <v>2826</v>
      </c>
      <c r="O46" s="36" t="s">
        <v>3220</v>
      </c>
      <c r="P46" s="28" t="s">
        <v>2826</v>
      </c>
    </row>
    <row r="47" spans="1:16" x14ac:dyDescent="0.3">
      <c r="A47" s="25" t="s">
        <v>3219</v>
      </c>
      <c r="B47" s="26">
        <v>46093</v>
      </c>
      <c r="C47" s="26">
        <v>46098</v>
      </c>
      <c r="D47" s="28">
        <v>3319</v>
      </c>
      <c r="E47" s="2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15806201</v>
      </c>
      <c r="K47" t="s">
        <v>2124</v>
      </c>
      <c r="L47" t="s">
        <v>2128</v>
      </c>
      <c r="M47" s="37">
        <v>199900</v>
      </c>
      <c r="N47" s="29" t="s">
        <v>2826</v>
      </c>
      <c r="O47" s="36" t="s">
        <v>3220</v>
      </c>
      <c r="P47" s="28" t="s">
        <v>2826</v>
      </c>
    </row>
    <row r="48" spans="1:16" x14ac:dyDescent="0.3">
      <c r="A48" s="25" t="s">
        <v>3219</v>
      </c>
      <c r="B48" s="26">
        <v>46093</v>
      </c>
      <c r="C48" s="26">
        <v>46098</v>
      </c>
      <c r="D48" s="28">
        <v>3319</v>
      </c>
      <c r="E48" s="2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15806167</v>
      </c>
      <c r="K48" t="s">
        <v>2124</v>
      </c>
      <c r="L48" t="s">
        <v>2135</v>
      </c>
      <c r="M48" s="37">
        <v>199900</v>
      </c>
      <c r="N48" s="29" t="s">
        <v>2826</v>
      </c>
      <c r="O48" s="36" t="s">
        <v>3220</v>
      </c>
      <c r="P48" s="28" t="s">
        <v>2826</v>
      </c>
    </row>
    <row r="49" spans="1:16" x14ac:dyDescent="0.3">
      <c r="A49" s="25" t="s">
        <v>3219</v>
      </c>
      <c r="B49" s="26">
        <v>46093</v>
      </c>
      <c r="C49" s="26">
        <v>46098</v>
      </c>
      <c r="D49" s="27">
        <v>3319</v>
      </c>
      <c r="E49" s="25">
        <v>327</v>
      </c>
      <c r="F49" s="27">
        <v>2</v>
      </c>
      <c r="G49" s="28">
        <v>1</v>
      </c>
      <c r="H49" s="28">
        <v>80700</v>
      </c>
      <c r="I49" s="28" t="s">
        <v>17</v>
      </c>
      <c r="J49" s="28">
        <v>15909805</v>
      </c>
      <c r="K49" t="s">
        <v>2220</v>
      </c>
      <c r="L49" t="s">
        <v>2236</v>
      </c>
      <c r="M49" s="37">
        <v>199900</v>
      </c>
      <c r="N49" s="29" t="s">
        <v>2826</v>
      </c>
      <c r="O49" s="36" t="s">
        <v>3220</v>
      </c>
      <c r="P49" s="28" t="s">
        <v>2826</v>
      </c>
    </row>
    <row r="50" spans="1:16" x14ac:dyDescent="0.3">
      <c r="A50" s="25" t="s">
        <v>3219</v>
      </c>
      <c r="B50" s="26">
        <v>46093</v>
      </c>
      <c r="C50" s="26">
        <v>46098</v>
      </c>
      <c r="D50" s="27">
        <v>3319</v>
      </c>
      <c r="E50" s="25">
        <v>327</v>
      </c>
      <c r="F50" s="27">
        <v>2</v>
      </c>
      <c r="G50" s="28">
        <v>1</v>
      </c>
      <c r="H50" s="28">
        <v>80700</v>
      </c>
      <c r="I50" s="28" t="s">
        <v>17</v>
      </c>
      <c r="J50" s="28">
        <v>15909814</v>
      </c>
      <c r="K50" t="s">
        <v>2220</v>
      </c>
      <c r="L50" t="s">
        <v>2237</v>
      </c>
      <c r="M50" s="37">
        <v>199900</v>
      </c>
      <c r="N50" s="29" t="s">
        <v>2826</v>
      </c>
      <c r="O50" s="36" t="s">
        <v>3220</v>
      </c>
      <c r="P50" s="28" t="s">
        <v>2826</v>
      </c>
    </row>
    <row r="51" spans="1:16" x14ac:dyDescent="0.3">
      <c r="A51" s="25" t="s">
        <v>3219</v>
      </c>
      <c r="B51" s="26">
        <v>46093</v>
      </c>
      <c r="C51" s="26">
        <v>46098</v>
      </c>
      <c r="D51" s="27">
        <v>3319</v>
      </c>
      <c r="E51" s="25">
        <v>327</v>
      </c>
      <c r="F51" s="27">
        <v>2</v>
      </c>
      <c r="G51" s="28">
        <v>1</v>
      </c>
      <c r="H51" s="28">
        <v>80700</v>
      </c>
      <c r="I51" s="28" t="s">
        <v>17</v>
      </c>
      <c r="J51" s="28">
        <v>15909823</v>
      </c>
      <c r="K51" t="s">
        <v>2220</v>
      </c>
      <c r="L51" t="s">
        <v>2238</v>
      </c>
      <c r="M51" s="37">
        <v>199900</v>
      </c>
      <c r="N51" s="29" t="s">
        <v>2826</v>
      </c>
      <c r="O51" s="36" t="s">
        <v>3220</v>
      </c>
      <c r="P51" s="28" t="s">
        <v>2826</v>
      </c>
    </row>
    <row r="52" spans="1:16" x14ac:dyDescent="0.3">
      <c r="A52" s="25" t="s">
        <v>3219</v>
      </c>
      <c r="B52" s="26">
        <v>46093</v>
      </c>
      <c r="C52" s="26">
        <v>46098</v>
      </c>
      <c r="D52" s="27">
        <v>3319</v>
      </c>
      <c r="E52" s="25">
        <v>327</v>
      </c>
      <c r="F52" s="27">
        <v>2</v>
      </c>
      <c r="G52" s="28">
        <v>1</v>
      </c>
      <c r="H52" s="28">
        <v>80700</v>
      </c>
      <c r="I52" s="28" t="s">
        <v>17</v>
      </c>
      <c r="J52" s="28">
        <v>15909832</v>
      </c>
      <c r="K52" t="s">
        <v>2220</v>
      </c>
      <c r="L52" t="s">
        <v>2239</v>
      </c>
      <c r="M52" s="37">
        <v>199900</v>
      </c>
      <c r="N52" s="29" t="s">
        <v>2826</v>
      </c>
      <c r="O52" s="36" t="s">
        <v>3220</v>
      </c>
      <c r="P52" s="28" t="s">
        <v>2826</v>
      </c>
    </row>
    <row r="53" spans="1:16" x14ac:dyDescent="0.3">
      <c r="A53" s="25" t="s">
        <v>3219</v>
      </c>
      <c r="B53" s="26">
        <v>46093</v>
      </c>
      <c r="C53" s="26">
        <v>46098</v>
      </c>
      <c r="D53" s="27">
        <v>3319</v>
      </c>
      <c r="E53" s="25">
        <v>327</v>
      </c>
      <c r="F53" s="27">
        <v>2</v>
      </c>
      <c r="G53" s="28">
        <v>1</v>
      </c>
      <c r="H53" s="28">
        <v>80700</v>
      </c>
      <c r="I53" s="28" t="s">
        <v>17</v>
      </c>
      <c r="J53" s="28">
        <v>15909841</v>
      </c>
      <c r="K53" t="s">
        <v>2220</v>
      </c>
      <c r="L53" t="s">
        <v>2240</v>
      </c>
      <c r="M53" s="37">
        <v>199900</v>
      </c>
      <c r="N53" s="29" t="s">
        <v>2826</v>
      </c>
      <c r="O53" s="36" t="s">
        <v>3220</v>
      </c>
      <c r="P53" s="28" t="s">
        <v>2826</v>
      </c>
    </row>
    <row r="54" spans="1:16" x14ac:dyDescent="0.3">
      <c r="A54" s="25" t="s">
        <v>3219</v>
      </c>
      <c r="B54" s="26">
        <v>46093</v>
      </c>
      <c r="C54" s="26">
        <v>46098</v>
      </c>
      <c r="D54" s="27">
        <v>3319</v>
      </c>
      <c r="E54" s="25">
        <v>327</v>
      </c>
      <c r="F54" s="27">
        <v>2</v>
      </c>
      <c r="G54" s="28">
        <v>1</v>
      </c>
      <c r="H54" s="28">
        <v>80700</v>
      </c>
      <c r="I54" s="28" t="s">
        <v>17</v>
      </c>
      <c r="J54" s="28">
        <v>15909798</v>
      </c>
      <c r="K54" t="s">
        <v>2220</v>
      </c>
      <c r="L54" t="s">
        <v>2235</v>
      </c>
      <c r="M54" s="37">
        <v>199900</v>
      </c>
      <c r="N54" s="29" t="s">
        <v>2826</v>
      </c>
      <c r="O54" s="36" t="s">
        <v>3220</v>
      </c>
      <c r="P54" s="28" t="s">
        <v>2826</v>
      </c>
    </row>
    <row r="55" spans="1:16" x14ac:dyDescent="0.3">
      <c r="A55" s="25" t="s">
        <v>3219</v>
      </c>
      <c r="B55" s="26">
        <v>46093</v>
      </c>
      <c r="C55" s="26">
        <v>46098</v>
      </c>
      <c r="D55" s="27">
        <v>3319</v>
      </c>
      <c r="E55" s="25">
        <v>327</v>
      </c>
      <c r="F55" s="27">
        <v>2</v>
      </c>
      <c r="G55" s="28">
        <v>1</v>
      </c>
      <c r="H55" s="28">
        <v>80700</v>
      </c>
      <c r="I55" s="28" t="s">
        <v>17</v>
      </c>
      <c r="J55" s="28">
        <v>15909789</v>
      </c>
      <c r="K55" t="s">
        <v>2220</v>
      </c>
      <c r="L55" t="s">
        <v>2234</v>
      </c>
      <c r="M55" s="37">
        <v>199900</v>
      </c>
      <c r="N55" s="29" t="s">
        <v>2826</v>
      </c>
      <c r="O55" s="36" t="s">
        <v>3220</v>
      </c>
      <c r="P55" s="28" t="s">
        <v>2826</v>
      </c>
    </row>
    <row r="56" spans="1:16" x14ac:dyDescent="0.3">
      <c r="A56" s="25" t="s">
        <v>3219</v>
      </c>
      <c r="B56" s="26">
        <v>46093</v>
      </c>
      <c r="C56" s="26">
        <v>46098</v>
      </c>
      <c r="D56" s="27">
        <v>3319</v>
      </c>
      <c r="E56" s="25">
        <v>327</v>
      </c>
      <c r="F56" s="27">
        <v>2</v>
      </c>
      <c r="G56" s="28">
        <v>1</v>
      </c>
      <c r="H56" s="28">
        <v>80700</v>
      </c>
      <c r="I56" s="28" t="s">
        <v>17</v>
      </c>
      <c r="J56" s="28">
        <v>15909752</v>
      </c>
      <c r="K56" t="s">
        <v>2220</v>
      </c>
      <c r="L56" t="s">
        <v>2231</v>
      </c>
      <c r="M56" s="37">
        <v>199900</v>
      </c>
      <c r="N56" s="29" t="s">
        <v>2826</v>
      </c>
      <c r="O56" s="36" t="s">
        <v>3220</v>
      </c>
      <c r="P56" s="28" t="s">
        <v>2826</v>
      </c>
    </row>
    <row r="57" spans="1:16" x14ac:dyDescent="0.3">
      <c r="A57" s="25" t="s">
        <v>3219</v>
      </c>
      <c r="B57" s="26">
        <v>46093</v>
      </c>
      <c r="C57" s="26">
        <v>46098</v>
      </c>
      <c r="D57" s="27">
        <v>3319</v>
      </c>
      <c r="E57" s="25">
        <v>327</v>
      </c>
      <c r="F57" s="27">
        <v>2</v>
      </c>
      <c r="G57" s="28">
        <v>1</v>
      </c>
      <c r="H57" s="28">
        <v>80700</v>
      </c>
      <c r="I57" s="28" t="s">
        <v>17</v>
      </c>
      <c r="J57" s="28">
        <v>15909761</v>
      </c>
      <c r="K57" t="s">
        <v>2220</v>
      </c>
      <c r="L57" t="s">
        <v>2232</v>
      </c>
      <c r="M57" s="37">
        <v>199900</v>
      </c>
      <c r="N57" s="29" t="s">
        <v>2826</v>
      </c>
      <c r="O57" s="36" t="s">
        <v>3220</v>
      </c>
      <c r="P57" s="28" t="s">
        <v>2826</v>
      </c>
    </row>
    <row r="58" spans="1:16" x14ac:dyDescent="0.3">
      <c r="A58" s="25" t="s">
        <v>3219</v>
      </c>
      <c r="B58" s="26">
        <v>46093</v>
      </c>
      <c r="C58" s="26">
        <v>46098</v>
      </c>
      <c r="D58" s="27">
        <v>3319</v>
      </c>
      <c r="E58" s="25">
        <v>327</v>
      </c>
      <c r="F58" s="27">
        <v>2</v>
      </c>
      <c r="G58" s="28">
        <v>1</v>
      </c>
      <c r="H58" s="28">
        <v>80700</v>
      </c>
      <c r="I58" s="28" t="s">
        <v>17</v>
      </c>
      <c r="J58" s="28">
        <v>15909770</v>
      </c>
      <c r="K58" t="s">
        <v>2220</v>
      </c>
      <c r="L58" t="s">
        <v>2233</v>
      </c>
      <c r="M58" s="37">
        <v>199900</v>
      </c>
      <c r="N58" s="29" t="s">
        <v>2826</v>
      </c>
      <c r="O58" s="36" t="s">
        <v>3220</v>
      </c>
      <c r="P58" s="28" t="s">
        <v>2826</v>
      </c>
    </row>
    <row r="59" spans="1:16" x14ac:dyDescent="0.3">
      <c r="A59" s="25" t="s">
        <v>3219</v>
      </c>
      <c r="B59" s="26">
        <v>46093</v>
      </c>
      <c r="C59" s="26">
        <v>46098</v>
      </c>
      <c r="D59" s="27">
        <v>3319</v>
      </c>
      <c r="E59" s="25">
        <v>327</v>
      </c>
      <c r="F59" s="27">
        <v>2</v>
      </c>
      <c r="G59" s="28">
        <v>1</v>
      </c>
      <c r="H59" s="28">
        <v>80700</v>
      </c>
      <c r="I59" s="28" t="s">
        <v>17</v>
      </c>
      <c r="J59">
        <v>13838949</v>
      </c>
      <c r="K59" t="s">
        <v>1268</v>
      </c>
      <c r="L59" t="s">
        <v>2713</v>
      </c>
      <c r="M59" s="37">
        <v>159900</v>
      </c>
      <c r="N59" s="29" t="s">
        <v>2826</v>
      </c>
      <c r="O59" s="36" t="s">
        <v>3220</v>
      </c>
      <c r="P59" s="28" t="s">
        <v>2826</v>
      </c>
    </row>
    <row r="60" spans="1:16" x14ac:dyDescent="0.3">
      <c r="A60" s="25" t="s">
        <v>3219</v>
      </c>
      <c r="B60" s="26">
        <v>46093</v>
      </c>
      <c r="C60" s="26">
        <v>46098</v>
      </c>
      <c r="D60" s="27">
        <v>3319</v>
      </c>
      <c r="E60" s="25">
        <v>327</v>
      </c>
      <c r="F60" s="27">
        <v>2</v>
      </c>
      <c r="G60" s="28">
        <v>1</v>
      </c>
      <c r="H60" s="28">
        <v>80700</v>
      </c>
      <c r="I60" s="28" t="s">
        <v>17</v>
      </c>
      <c r="J60">
        <v>13838958</v>
      </c>
      <c r="K60" t="s">
        <v>1268</v>
      </c>
      <c r="L60" t="s">
        <v>2714</v>
      </c>
      <c r="M60" s="37">
        <v>159900</v>
      </c>
      <c r="N60" s="29" t="s">
        <v>2826</v>
      </c>
      <c r="O60" s="36" t="s">
        <v>3220</v>
      </c>
      <c r="P60" s="28" t="s">
        <v>2826</v>
      </c>
    </row>
    <row r="61" spans="1:16" x14ac:dyDescent="0.3">
      <c r="A61" s="25" t="s">
        <v>3219</v>
      </c>
      <c r="B61" s="26">
        <v>46093</v>
      </c>
      <c r="C61" s="26">
        <v>46098</v>
      </c>
      <c r="D61" s="27">
        <v>3319</v>
      </c>
      <c r="E61" s="25">
        <v>327</v>
      </c>
      <c r="F61" s="27">
        <v>2</v>
      </c>
      <c r="G61" s="28">
        <v>1</v>
      </c>
      <c r="H61" s="28">
        <v>80700</v>
      </c>
      <c r="I61" s="28" t="s">
        <v>17</v>
      </c>
      <c r="J61">
        <v>13838967</v>
      </c>
      <c r="K61" t="s">
        <v>1268</v>
      </c>
      <c r="L61" t="s">
        <v>2715</v>
      </c>
      <c r="M61" s="37">
        <v>159900</v>
      </c>
      <c r="N61" s="29" t="s">
        <v>2826</v>
      </c>
      <c r="O61" s="36" t="s">
        <v>3220</v>
      </c>
      <c r="P61" s="28" t="s">
        <v>2826</v>
      </c>
    </row>
    <row r="62" spans="1:16" x14ac:dyDescent="0.3">
      <c r="A62" s="25" t="s">
        <v>3219</v>
      </c>
      <c r="B62" s="26">
        <v>46093</v>
      </c>
      <c r="C62" s="26">
        <v>46098</v>
      </c>
      <c r="D62" s="27">
        <v>3319</v>
      </c>
      <c r="E62" s="25">
        <v>327</v>
      </c>
      <c r="F62" s="27">
        <v>2</v>
      </c>
      <c r="G62" s="28">
        <v>1</v>
      </c>
      <c r="H62" s="28">
        <v>80700</v>
      </c>
      <c r="I62" s="28" t="s">
        <v>17</v>
      </c>
      <c r="J62">
        <v>13838976</v>
      </c>
      <c r="K62" t="s">
        <v>1268</v>
      </c>
      <c r="L62" t="s">
        <v>2716</v>
      </c>
      <c r="M62" s="37">
        <v>159900</v>
      </c>
      <c r="N62" s="29" t="s">
        <v>2826</v>
      </c>
      <c r="O62" s="36" t="s">
        <v>3220</v>
      </c>
      <c r="P62" s="28" t="s">
        <v>2826</v>
      </c>
    </row>
    <row r="63" spans="1:16" x14ac:dyDescent="0.3">
      <c r="A63" s="25" t="s">
        <v>3219</v>
      </c>
      <c r="B63" s="26">
        <v>46093</v>
      </c>
      <c r="C63" s="26">
        <v>46098</v>
      </c>
      <c r="D63" s="27">
        <v>3319</v>
      </c>
      <c r="E63" s="25">
        <v>327</v>
      </c>
      <c r="F63" s="27">
        <v>2</v>
      </c>
      <c r="G63" s="28">
        <v>1</v>
      </c>
      <c r="H63" s="28">
        <v>80700</v>
      </c>
      <c r="I63" s="28" t="s">
        <v>17</v>
      </c>
      <c r="J63">
        <v>13838752</v>
      </c>
      <c r="K63" t="s">
        <v>2717</v>
      </c>
      <c r="L63" t="s">
        <v>2718</v>
      </c>
      <c r="M63" s="37">
        <v>159900</v>
      </c>
      <c r="N63" s="29" t="s">
        <v>2826</v>
      </c>
      <c r="O63" s="36" t="s">
        <v>3220</v>
      </c>
      <c r="P63" s="28" t="s">
        <v>2826</v>
      </c>
    </row>
    <row r="64" spans="1:16" x14ac:dyDescent="0.3">
      <c r="A64" s="25" t="s">
        <v>3219</v>
      </c>
      <c r="B64" s="26">
        <v>46093</v>
      </c>
      <c r="C64" s="26">
        <v>46098</v>
      </c>
      <c r="D64" s="27">
        <v>3319</v>
      </c>
      <c r="E64" s="25">
        <v>327</v>
      </c>
      <c r="F64" s="27">
        <v>2</v>
      </c>
      <c r="G64" s="28">
        <v>1</v>
      </c>
      <c r="H64" s="28">
        <v>80700</v>
      </c>
      <c r="I64" s="28" t="s">
        <v>17</v>
      </c>
      <c r="J64">
        <v>13838761</v>
      </c>
      <c r="K64" t="s">
        <v>2717</v>
      </c>
      <c r="L64" t="s">
        <v>2719</v>
      </c>
      <c r="M64" s="37">
        <v>159900</v>
      </c>
      <c r="N64" s="29" t="s">
        <v>2826</v>
      </c>
      <c r="O64" s="36" t="s">
        <v>3220</v>
      </c>
      <c r="P64" s="28" t="s">
        <v>2826</v>
      </c>
    </row>
    <row r="65" spans="1:16" x14ac:dyDescent="0.3">
      <c r="A65" s="25" t="s">
        <v>3219</v>
      </c>
      <c r="B65" s="26">
        <v>46093</v>
      </c>
      <c r="C65" s="26">
        <v>46098</v>
      </c>
      <c r="D65" s="27">
        <v>3319</v>
      </c>
      <c r="E65" s="25">
        <v>327</v>
      </c>
      <c r="F65" s="27">
        <v>2</v>
      </c>
      <c r="G65" s="28">
        <v>1</v>
      </c>
      <c r="H65" s="28">
        <v>80700</v>
      </c>
      <c r="I65" s="28" t="s">
        <v>17</v>
      </c>
      <c r="J65">
        <v>13838770</v>
      </c>
      <c r="K65" t="s">
        <v>2717</v>
      </c>
      <c r="L65" t="s">
        <v>2720</v>
      </c>
      <c r="M65" s="37">
        <v>159900</v>
      </c>
      <c r="N65" s="29" t="s">
        <v>2826</v>
      </c>
      <c r="O65" s="36" t="s">
        <v>3220</v>
      </c>
      <c r="P65" s="28" t="s">
        <v>2826</v>
      </c>
    </row>
    <row r="66" spans="1:16" x14ac:dyDescent="0.3">
      <c r="A66" s="25" t="s">
        <v>3219</v>
      </c>
      <c r="B66" s="26">
        <v>46093</v>
      </c>
      <c r="C66" s="26">
        <v>46098</v>
      </c>
      <c r="D66" s="27">
        <v>3319</v>
      </c>
      <c r="E66" s="25">
        <v>327</v>
      </c>
      <c r="F66" s="27">
        <v>2</v>
      </c>
      <c r="G66" s="28">
        <v>1</v>
      </c>
      <c r="H66" s="28">
        <v>80700</v>
      </c>
      <c r="I66" s="28" t="s">
        <v>17</v>
      </c>
      <c r="J66">
        <v>13838789</v>
      </c>
      <c r="K66" t="s">
        <v>2717</v>
      </c>
      <c r="L66" t="s">
        <v>2721</v>
      </c>
      <c r="M66" s="37">
        <v>159900</v>
      </c>
      <c r="N66" s="29" t="s">
        <v>2826</v>
      </c>
      <c r="O66" s="36" t="s">
        <v>3220</v>
      </c>
      <c r="P66" s="28" t="s">
        <v>2826</v>
      </c>
    </row>
    <row r="67" spans="1:16" x14ac:dyDescent="0.3">
      <c r="A67" s="25" t="s">
        <v>3219</v>
      </c>
      <c r="B67" s="26">
        <v>46093</v>
      </c>
      <c r="C67" s="26">
        <v>46098</v>
      </c>
      <c r="D67" s="27">
        <v>3319</v>
      </c>
      <c r="E67" s="25">
        <v>327</v>
      </c>
      <c r="F67" s="27">
        <v>2</v>
      </c>
      <c r="G67" s="28">
        <v>1</v>
      </c>
      <c r="H67" s="28">
        <v>80700</v>
      </c>
      <c r="I67" s="28" t="s">
        <v>17</v>
      </c>
      <c r="J67">
        <v>13838716</v>
      </c>
      <c r="K67" t="s">
        <v>2717</v>
      </c>
      <c r="L67" t="s">
        <v>2722</v>
      </c>
      <c r="M67" s="37">
        <v>159900</v>
      </c>
      <c r="N67" s="29" t="s">
        <v>2826</v>
      </c>
      <c r="O67" s="36" t="s">
        <v>3220</v>
      </c>
      <c r="P67" s="28" t="s">
        <v>2826</v>
      </c>
    </row>
    <row r="68" spans="1:16" x14ac:dyDescent="0.3">
      <c r="A68" s="25" t="s">
        <v>3219</v>
      </c>
      <c r="B68" s="26">
        <v>46093</v>
      </c>
      <c r="C68" s="26">
        <v>46098</v>
      </c>
      <c r="D68" s="27">
        <v>3319</v>
      </c>
      <c r="E68" s="25">
        <v>327</v>
      </c>
      <c r="F68" s="27">
        <v>2</v>
      </c>
      <c r="G68" s="28">
        <v>1</v>
      </c>
      <c r="H68" s="28">
        <v>80700</v>
      </c>
      <c r="I68" s="28" t="s">
        <v>17</v>
      </c>
      <c r="J68">
        <v>13838725</v>
      </c>
      <c r="K68" t="s">
        <v>2717</v>
      </c>
      <c r="L68" t="s">
        <v>2723</v>
      </c>
      <c r="M68" s="37">
        <v>159900</v>
      </c>
      <c r="N68" s="29" t="s">
        <v>2826</v>
      </c>
      <c r="O68" s="36" t="s">
        <v>3220</v>
      </c>
      <c r="P68" s="28" t="s">
        <v>2826</v>
      </c>
    </row>
    <row r="69" spans="1:16" x14ac:dyDescent="0.3">
      <c r="A69" s="25" t="s">
        <v>3219</v>
      </c>
      <c r="B69" s="26">
        <v>46093</v>
      </c>
      <c r="C69" s="26">
        <v>46098</v>
      </c>
      <c r="D69" s="27">
        <v>3319</v>
      </c>
      <c r="E69" s="25">
        <v>327</v>
      </c>
      <c r="F69" s="27">
        <v>2</v>
      </c>
      <c r="G69" s="28">
        <v>1</v>
      </c>
      <c r="H69" s="28">
        <v>80700</v>
      </c>
      <c r="I69" s="28" t="s">
        <v>17</v>
      </c>
      <c r="J69">
        <v>13838734</v>
      </c>
      <c r="K69" t="s">
        <v>2717</v>
      </c>
      <c r="L69" t="s">
        <v>2724</v>
      </c>
      <c r="M69" s="37">
        <v>159900</v>
      </c>
      <c r="N69" s="29" t="s">
        <v>2826</v>
      </c>
      <c r="O69" s="36" t="s">
        <v>3220</v>
      </c>
      <c r="P69" s="28" t="s">
        <v>2826</v>
      </c>
    </row>
    <row r="70" spans="1:16" x14ac:dyDescent="0.3">
      <c r="A70" s="25" t="s">
        <v>3219</v>
      </c>
      <c r="B70" s="26">
        <v>46093</v>
      </c>
      <c r="C70" s="26">
        <v>46098</v>
      </c>
      <c r="D70" s="27">
        <v>3319</v>
      </c>
      <c r="E70" s="25">
        <v>327</v>
      </c>
      <c r="F70" s="27">
        <v>2</v>
      </c>
      <c r="G70" s="28">
        <v>1</v>
      </c>
      <c r="H70" s="28">
        <v>80700</v>
      </c>
      <c r="I70" s="28" t="s">
        <v>17</v>
      </c>
      <c r="J70">
        <v>13838743</v>
      </c>
      <c r="K70" t="s">
        <v>2717</v>
      </c>
      <c r="L70" t="s">
        <v>2725</v>
      </c>
      <c r="M70" s="37">
        <v>159900</v>
      </c>
      <c r="N70" s="29" t="s">
        <v>2826</v>
      </c>
      <c r="O70" s="36" t="s">
        <v>3220</v>
      </c>
      <c r="P70" s="28" t="s">
        <v>2826</v>
      </c>
    </row>
    <row r="71" spans="1:16" x14ac:dyDescent="0.3">
      <c r="A71" s="25" t="s">
        <v>3219</v>
      </c>
      <c r="B71" s="26">
        <v>46093</v>
      </c>
      <c r="C71" s="26">
        <v>46098</v>
      </c>
      <c r="D71" s="27">
        <v>3319</v>
      </c>
      <c r="E71" s="25">
        <v>327</v>
      </c>
      <c r="F71" s="27">
        <v>2</v>
      </c>
      <c r="G71" s="28">
        <v>1</v>
      </c>
      <c r="H71">
        <v>81778</v>
      </c>
      <c r="I71" s="28" t="s">
        <v>17</v>
      </c>
      <c r="J71">
        <v>13838485</v>
      </c>
      <c r="K71" t="s">
        <v>2726</v>
      </c>
      <c r="L71" t="s">
        <v>2727</v>
      </c>
      <c r="M71" s="37">
        <v>179900</v>
      </c>
      <c r="N71" s="29" t="s">
        <v>2826</v>
      </c>
      <c r="O71" s="36" t="s">
        <v>3220</v>
      </c>
      <c r="P71" s="28" t="s">
        <v>2826</v>
      </c>
    </row>
    <row r="72" spans="1:16" x14ac:dyDescent="0.3">
      <c r="A72" s="25" t="s">
        <v>3219</v>
      </c>
      <c r="B72" s="26">
        <v>46093</v>
      </c>
      <c r="C72" s="26">
        <v>46098</v>
      </c>
      <c r="D72" s="27">
        <v>3319</v>
      </c>
      <c r="E72" s="25">
        <v>327</v>
      </c>
      <c r="F72" s="27">
        <v>2</v>
      </c>
      <c r="G72" s="28">
        <v>1</v>
      </c>
      <c r="H72">
        <v>81778</v>
      </c>
      <c r="I72" s="28" t="s">
        <v>17</v>
      </c>
      <c r="J72">
        <v>13838494</v>
      </c>
      <c r="K72" t="s">
        <v>2726</v>
      </c>
      <c r="L72" t="s">
        <v>2728</v>
      </c>
      <c r="M72" s="37">
        <v>179900</v>
      </c>
      <c r="N72" s="29" t="s">
        <v>2826</v>
      </c>
      <c r="O72" s="36" t="s">
        <v>3220</v>
      </c>
      <c r="P72" s="28" t="s">
        <v>2826</v>
      </c>
    </row>
    <row r="73" spans="1:16" x14ac:dyDescent="0.3">
      <c r="A73" s="25" t="s">
        <v>3219</v>
      </c>
      <c r="B73" s="26">
        <v>46093</v>
      </c>
      <c r="C73" s="26">
        <v>46098</v>
      </c>
      <c r="D73" s="27">
        <v>3319</v>
      </c>
      <c r="E73" s="25">
        <v>327</v>
      </c>
      <c r="F73" s="27">
        <v>2</v>
      </c>
      <c r="G73" s="28">
        <v>1</v>
      </c>
      <c r="H73">
        <v>81778</v>
      </c>
      <c r="I73" s="28" t="s">
        <v>17</v>
      </c>
      <c r="J73">
        <v>13838501</v>
      </c>
      <c r="K73" t="s">
        <v>2726</v>
      </c>
      <c r="L73" t="s">
        <v>2729</v>
      </c>
      <c r="M73" s="37">
        <v>179900</v>
      </c>
      <c r="N73" s="29" t="s">
        <v>2826</v>
      </c>
      <c r="O73" s="36" t="s">
        <v>3220</v>
      </c>
      <c r="P73" s="28" t="s">
        <v>2826</v>
      </c>
    </row>
    <row r="74" spans="1:16" x14ac:dyDescent="0.3">
      <c r="A74" s="25" t="s">
        <v>3219</v>
      </c>
      <c r="B74" s="26">
        <v>46093</v>
      </c>
      <c r="C74" s="26">
        <v>46098</v>
      </c>
      <c r="D74" s="27">
        <v>3319</v>
      </c>
      <c r="E74" s="25">
        <v>327</v>
      </c>
      <c r="F74" s="27">
        <v>2</v>
      </c>
      <c r="G74" s="28">
        <v>1</v>
      </c>
      <c r="H74">
        <v>81778</v>
      </c>
      <c r="I74" s="28" t="s">
        <v>17</v>
      </c>
      <c r="J74">
        <v>13838510</v>
      </c>
      <c r="K74" t="s">
        <v>2726</v>
      </c>
      <c r="L74" t="s">
        <v>2730</v>
      </c>
      <c r="M74" s="37">
        <v>179900</v>
      </c>
      <c r="N74" s="29" t="s">
        <v>2826</v>
      </c>
      <c r="O74" s="36" t="s">
        <v>3220</v>
      </c>
      <c r="P74" s="28" t="s">
        <v>2826</v>
      </c>
    </row>
    <row r="75" spans="1:16" x14ac:dyDescent="0.3">
      <c r="A75" s="25" t="s">
        <v>3219</v>
      </c>
      <c r="B75" s="26">
        <v>46093</v>
      </c>
      <c r="C75" s="26">
        <v>46098</v>
      </c>
      <c r="D75" s="27">
        <v>3319</v>
      </c>
      <c r="E75" s="25">
        <v>327</v>
      </c>
      <c r="F75" s="27">
        <v>2</v>
      </c>
      <c r="G75" s="28">
        <v>1</v>
      </c>
      <c r="H75">
        <v>81778</v>
      </c>
      <c r="I75" s="28" t="s">
        <v>17</v>
      </c>
      <c r="J75">
        <v>13838529</v>
      </c>
      <c r="K75" t="s">
        <v>2726</v>
      </c>
      <c r="L75" t="s">
        <v>2731</v>
      </c>
      <c r="M75" s="37">
        <v>179900</v>
      </c>
      <c r="N75" s="29" t="s">
        <v>2826</v>
      </c>
      <c r="O75" s="36" t="s">
        <v>3220</v>
      </c>
      <c r="P75" s="28" t="s">
        <v>2826</v>
      </c>
    </row>
    <row r="76" spans="1:16" x14ac:dyDescent="0.3">
      <c r="A76" s="25" t="s">
        <v>3219</v>
      </c>
      <c r="B76" s="26">
        <v>46093</v>
      </c>
      <c r="C76" s="26">
        <v>46098</v>
      </c>
      <c r="D76" s="27">
        <v>3319</v>
      </c>
      <c r="E76" s="25">
        <v>327</v>
      </c>
      <c r="F76" s="27">
        <v>2</v>
      </c>
      <c r="G76" s="28">
        <v>1</v>
      </c>
      <c r="H76">
        <v>81778</v>
      </c>
      <c r="I76" s="28" t="s">
        <v>17</v>
      </c>
      <c r="J76">
        <v>13838430</v>
      </c>
      <c r="K76" t="s">
        <v>2726</v>
      </c>
      <c r="L76" t="s">
        <v>2732</v>
      </c>
      <c r="M76" s="37">
        <v>179900</v>
      </c>
      <c r="N76" s="29" t="s">
        <v>2826</v>
      </c>
      <c r="O76" s="36" t="s">
        <v>3220</v>
      </c>
      <c r="P76" s="28" t="s">
        <v>2826</v>
      </c>
    </row>
    <row r="77" spans="1:16" x14ac:dyDescent="0.3">
      <c r="A77" s="25" t="s">
        <v>3219</v>
      </c>
      <c r="B77" s="26">
        <v>46093</v>
      </c>
      <c r="C77" s="26">
        <v>46098</v>
      </c>
      <c r="D77" s="27">
        <v>3319</v>
      </c>
      <c r="E77" s="25">
        <v>327</v>
      </c>
      <c r="F77" s="27">
        <v>2</v>
      </c>
      <c r="G77" s="28">
        <v>1</v>
      </c>
      <c r="H77">
        <v>81778</v>
      </c>
      <c r="I77" s="28" t="s">
        <v>17</v>
      </c>
      <c r="J77">
        <v>13838449</v>
      </c>
      <c r="K77" t="s">
        <v>2726</v>
      </c>
      <c r="L77" t="s">
        <v>2733</v>
      </c>
      <c r="M77" s="37">
        <v>179900</v>
      </c>
      <c r="N77" s="29" t="s">
        <v>2826</v>
      </c>
      <c r="O77" s="36" t="s">
        <v>3220</v>
      </c>
      <c r="P77" s="28" t="s">
        <v>2826</v>
      </c>
    </row>
    <row r="78" spans="1:16" x14ac:dyDescent="0.3">
      <c r="A78" s="25" t="s">
        <v>3219</v>
      </c>
      <c r="B78" s="26">
        <v>46093</v>
      </c>
      <c r="C78" s="26">
        <v>46098</v>
      </c>
      <c r="D78" s="27">
        <v>3319</v>
      </c>
      <c r="E78" s="25">
        <v>327</v>
      </c>
      <c r="F78" s="27">
        <v>2</v>
      </c>
      <c r="G78" s="28">
        <v>1</v>
      </c>
      <c r="H78">
        <v>81778</v>
      </c>
      <c r="I78" s="28" t="s">
        <v>17</v>
      </c>
      <c r="J78">
        <v>13838458</v>
      </c>
      <c r="K78" t="s">
        <v>2726</v>
      </c>
      <c r="L78" t="s">
        <v>2734</v>
      </c>
      <c r="M78" s="37">
        <v>179900</v>
      </c>
      <c r="N78" s="29" t="s">
        <v>2826</v>
      </c>
      <c r="O78" s="36" t="s">
        <v>3220</v>
      </c>
      <c r="P78" s="28" t="s">
        <v>2826</v>
      </c>
    </row>
    <row r="79" spans="1:16" x14ac:dyDescent="0.3">
      <c r="A79" s="25" t="s">
        <v>3219</v>
      </c>
      <c r="B79" s="26">
        <v>46093</v>
      </c>
      <c r="C79" s="26">
        <v>46098</v>
      </c>
      <c r="D79" s="27">
        <v>3319</v>
      </c>
      <c r="E79" s="25">
        <v>327</v>
      </c>
      <c r="F79" s="27">
        <v>2</v>
      </c>
      <c r="G79" s="28">
        <v>1</v>
      </c>
      <c r="H79">
        <v>81778</v>
      </c>
      <c r="I79" s="28" t="s">
        <v>17</v>
      </c>
      <c r="J79">
        <v>13838467</v>
      </c>
      <c r="K79" t="s">
        <v>2726</v>
      </c>
      <c r="L79" t="s">
        <v>2735</v>
      </c>
      <c r="M79" s="37">
        <v>179900</v>
      </c>
      <c r="N79" s="29" t="s">
        <v>2826</v>
      </c>
      <c r="O79" s="36" t="s">
        <v>3220</v>
      </c>
      <c r="P79" s="28" t="s">
        <v>2826</v>
      </c>
    </row>
    <row r="80" spans="1:16" x14ac:dyDescent="0.3">
      <c r="A80" s="25" t="s">
        <v>3219</v>
      </c>
      <c r="B80" s="26">
        <v>46093</v>
      </c>
      <c r="C80" s="26">
        <v>46098</v>
      </c>
      <c r="D80" s="27">
        <v>3319</v>
      </c>
      <c r="E80" s="25">
        <v>327</v>
      </c>
      <c r="F80" s="27">
        <v>2</v>
      </c>
      <c r="G80" s="28">
        <v>1</v>
      </c>
      <c r="H80">
        <v>81778</v>
      </c>
      <c r="I80" s="28" t="s">
        <v>17</v>
      </c>
      <c r="J80">
        <v>13838476</v>
      </c>
      <c r="K80" t="s">
        <v>2726</v>
      </c>
      <c r="L80" t="s">
        <v>2736</v>
      </c>
      <c r="M80" s="37">
        <v>179900</v>
      </c>
      <c r="N80" s="29" t="s">
        <v>2826</v>
      </c>
      <c r="O80" s="36" t="s">
        <v>3220</v>
      </c>
      <c r="P80" s="28" t="s">
        <v>2826</v>
      </c>
    </row>
    <row r="81" spans="1:16" x14ac:dyDescent="0.3">
      <c r="A81" s="25" t="s">
        <v>3219</v>
      </c>
      <c r="B81" s="26">
        <v>46093</v>
      </c>
      <c r="C81" s="26">
        <v>46098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22704156</v>
      </c>
      <c r="K81" s="28" t="s">
        <v>2510</v>
      </c>
      <c r="L81" t="s">
        <v>2516</v>
      </c>
      <c r="M81" s="37">
        <v>149900</v>
      </c>
      <c r="N81" s="29" t="s">
        <v>2826</v>
      </c>
      <c r="O81" s="36" t="s">
        <v>3220</v>
      </c>
      <c r="P81" s="28" t="s">
        <v>2826</v>
      </c>
    </row>
    <row r="82" spans="1:16" x14ac:dyDescent="0.3">
      <c r="A82" s="25" t="s">
        <v>3219</v>
      </c>
      <c r="B82" s="26">
        <v>46093</v>
      </c>
      <c r="C82" s="26">
        <v>46098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22704165</v>
      </c>
      <c r="K82" s="28" t="s">
        <v>2510</v>
      </c>
      <c r="L82" t="s">
        <v>2517</v>
      </c>
      <c r="M82" s="37">
        <v>149900</v>
      </c>
      <c r="N82" s="29" t="s">
        <v>2826</v>
      </c>
      <c r="O82" s="36" t="s">
        <v>3220</v>
      </c>
      <c r="P82" s="28" t="s">
        <v>2826</v>
      </c>
    </row>
    <row r="83" spans="1:16" x14ac:dyDescent="0.3">
      <c r="A83" s="25" t="s">
        <v>3219</v>
      </c>
      <c r="B83" s="26">
        <v>46093</v>
      </c>
      <c r="C83" s="26">
        <v>46098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22704174</v>
      </c>
      <c r="K83" s="28" t="s">
        <v>2510</v>
      </c>
      <c r="L83" t="s">
        <v>2518</v>
      </c>
      <c r="M83" s="37">
        <v>149900</v>
      </c>
      <c r="N83" s="29" t="s">
        <v>2826</v>
      </c>
      <c r="O83" s="36" t="s">
        <v>3220</v>
      </c>
      <c r="P83" s="28" t="s">
        <v>2826</v>
      </c>
    </row>
    <row r="84" spans="1:16" x14ac:dyDescent="0.3">
      <c r="A84" s="25" t="s">
        <v>3219</v>
      </c>
      <c r="B84" s="26">
        <v>46093</v>
      </c>
      <c r="C84" s="26">
        <v>46098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22704183</v>
      </c>
      <c r="K84" s="28" t="s">
        <v>2510</v>
      </c>
      <c r="L84" t="s">
        <v>2519</v>
      </c>
      <c r="M84" s="37">
        <v>149900</v>
      </c>
      <c r="N84" s="29" t="s">
        <v>2826</v>
      </c>
      <c r="O84" s="36" t="s">
        <v>3220</v>
      </c>
      <c r="P84" s="28" t="s">
        <v>2826</v>
      </c>
    </row>
    <row r="85" spans="1:16" x14ac:dyDescent="0.3">
      <c r="A85" s="25" t="s">
        <v>3219</v>
      </c>
      <c r="B85" s="26">
        <v>46093</v>
      </c>
      <c r="C85" s="26">
        <v>46098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22704192</v>
      </c>
      <c r="K85" s="28" t="s">
        <v>2510</v>
      </c>
      <c r="L85" t="s">
        <v>2520</v>
      </c>
      <c r="M85" s="37">
        <v>149900</v>
      </c>
      <c r="N85" s="29" t="s">
        <v>2826</v>
      </c>
      <c r="O85" s="36" t="s">
        <v>3220</v>
      </c>
      <c r="P85" s="28" t="s">
        <v>2826</v>
      </c>
    </row>
    <row r="86" spans="1:16" x14ac:dyDescent="0.3">
      <c r="A86" s="25" t="s">
        <v>3219</v>
      </c>
      <c r="B86" s="26">
        <v>46093</v>
      </c>
      <c r="C86" s="26">
        <v>46098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22704209</v>
      </c>
      <c r="K86" s="28" t="s">
        <v>2521</v>
      </c>
      <c r="L86" t="s">
        <v>2522</v>
      </c>
      <c r="M86" s="37">
        <v>149900</v>
      </c>
      <c r="N86" s="29" t="s">
        <v>2826</v>
      </c>
      <c r="O86" s="36" t="s">
        <v>3220</v>
      </c>
      <c r="P86" s="28" t="s">
        <v>2826</v>
      </c>
    </row>
    <row r="87" spans="1:16" x14ac:dyDescent="0.3">
      <c r="A87" s="25" t="s">
        <v>3219</v>
      </c>
      <c r="B87" s="26">
        <v>46093</v>
      </c>
      <c r="C87" s="26">
        <v>46098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22704218</v>
      </c>
      <c r="K87" s="28" t="s">
        <v>2521</v>
      </c>
      <c r="L87" t="s">
        <v>2523</v>
      </c>
      <c r="M87" s="37">
        <v>149900</v>
      </c>
      <c r="N87" s="29" t="s">
        <v>2826</v>
      </c>
      <c r="O87" s="36" t="s">
        <v>3220</v>
      </c>
      <c r="P87" s="28" t="s">
        <v>2826</v>
      </c>
    </row>
    <row r="88" spans="1:16" x14ac:dyDescent="0.3">
      <c r="A88" s="25" t="s">
        <v>3219</v>
      </c>
      <c r="B88" s="26">
        <v>46093</v>
      </c>
      <c r="C88" s="26">
        <v>46098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22704272</v>
      </c>
      <c r="K88" s="28" t="s">
        <v>2521</v>
      </c>
      <c r="L88" t="s">
        <v>2524</v>
      </c>
      <c r="M88" s="37">
        <v>149900</v>
      </c>
      <c r="N88" s="29" t="s">
        <v>2826</v>
      </c>
      <c r="O88" s="36" t="s">
        <v>3220</v>
      </c>
      <c r="P88" s="28" t="s">
        <v>2826</v>
      </c>
    </row>
    <row r="89" spans="1:16" x14ac:dyDescent="0.3">
      <c r="A89" s="25" t="s">
        <v>3219</v>
      </c>
      <c r="B89" s="26">
        <v>46093</v>
      </c>
      <c r="C89" s="26">
        <v>46098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22704281</v>
      </c>
      <c r="K89" s="28" t="s">
        <v>2521</v>
      </c>
      <c r="L89" t="s">
        <v>2525</v>
      </c>
      <c r="M89" s="37">
        <v>149900</v>
      </c>
      <c r="N89" s="29" t="s">
        <v>2826</v>
      </c>
      <c r="O89" s="36" t="s">
        <v>3220</v>
      </c>
      <c r="P89" s="28" t="s">
        <v>2826</v>
      </c>
    </row>
    <row r="90" spans="1:16" x14ac:dyDescent="0.3">
      <c r="A90" s="25" t="s">
        <v>3219</v>
      </c>
      <c r="B90" s="26">
        <v>46093</v>
      </c>
      <c r="C90" s="26">
        <v>46098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22704290</v>
      </c>
      <c r="K90" s="28" t="s">
        <v>2521</v>
      </c>
      <c r="L90" t="s">
        <v>2526</v>
      </c>
      <c r="M90" s="37">
        <v>149900</v>
      </c>
      <c r="N90" s="29" t="s">
        <v>2826</v>
      </c>
      <c r="O90" s="36" t="s">
        <v>3220</v>
      </c>
      <c r="P90" s="28" t="s">
        <v>2826</v>
      </c>
    </row>
    <row r="91" spans="1:16" x14ac:dyDescent="0.3">
      <c r="A91" s="25" t="s">
        <v>3219</v>
      </c>
      <c r="B91" s="26">
        <v>46093</v>
      </c>
      <c r="C91" s="26">
        <v>46098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22153831</v>
      </c>
      <c r="K91" s="28" t="s">
        <v>2311</v>
      </c>
      <c r="L91" t="s">
        <v>2316</v>
      </c>
      <c r="M91" s="37">
        <v>149900</v>
      </c>
      <c r="N91" s="29" t="s">
        <v>2826</v>
      </c>
      <c r="O91" s="36" t="s">
        <v>3220</v>
      </c>
      <c r="P91" s="28" t="s">
        <v>2826</v>
      </c>
    </row>
    <row r="92" spans="1:16" x14ac:dyDescent="0.3">
      <c r="A92" s="25" t="s">
        <v>3219</v>
      </c>
      <c r="B92" s="26">
        <v>46093</v>
      </c>
      <c r="C92" s="26">
        <v>46098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22153840</v>
      </c>
      <c r="K92" s="28" t="s">
        <v>2311</v>
      </c>
      <c r="L92" t="s">
        <v>2317</v>
      </c>
      <c r="M92" s="37">
        <v>149900</v>
      </c>
      <c r="N92" s="29" t="s">
        <v>2826</v>
      </c>
      <c r="O92" s="36" t="s">
        <v>3220</v>
      </c>
      <c r="P92" s="28" t="s">
        <v>2826</v>
      </c>
    </row>
    <row r="93" spans="1:16" x14ac:dyDescent="0.3">
      <c r="A93" s="25" t="s">
        <v>3219</v>
      </c>
      <c r="B93" s="26">
        <v>46093</v>
      </c>
      <c r="C93" s="26">
        <v>46098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22153911</v>
      </c>
      <c r="K93" s="28" t="s">
        <v>2311</v>
      </c>
      <c r="L93" t="s">
        <v>2318</v>
      </c>
      <c r="M93" s="37">
        <v>149900</v>
      </c>
      <c r="N93" s="29" t="s">
        <v>2826</v>
      </c>
      <c r="O93" s="36" t="s">
        <v>3220</v>
      </c>
      <c r="P93" s="28" t="s">
        <v>2826</v>
      </c>
    </row>
    <row r="94" spans="1:16" x14ac:dyDescent="0.3">
      <c r="A94" s="25" t="s">
        <v>3219</v>
      </c>
      <c r="B94" s="26">
        <v>46093</v>
      </c>
      <c r="C94" s="26">
        <v>46098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22153920</v>
      </c>
      <c r="K94" s="28" t="s">
        <v>2311</v>
      </c>
      <c r="L94" t="s">
        <v>2319</v>
      </c>
      <c r="M94" s="37">
        <v>149900</v>
      </c>
      <c r="N94" s="29" t="s">
        <v>2826</v>
      </c>
      <c r="O94" s="36" t="s">
        <v>3220</v>
      </c>
      <c r="P94" s="28" t="s">
        <v>2826</v>
      </c>
    </row>
    <row r="95" spans="1:16" x14ac:dyDescent="0.3">
      <c r="A95" s="25" t="s">
        <v>3219</v>
      </c>
      <c r="B95" s="26">
        <v>46093</v>
      </c>
      <c r="C95" s="26">
        <v>46098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22156034</v>
      </c>
      <c r="K95" s="28" t="s">
        <v>2307</v>
      </c>
      <c r="L95" t="s">
        <v>2308</v>
      </c>
      <c r="M95" s="37">
        <v>149900</v>
      </c>
      <c r="N95" s="29" t="s">
        <v>2826</v>
      </c>
      <c r="O95" s="36" t="s">
        <v>3220</v>
      </c>
      <c r="P95" s="28" t="s">
        <v>2826</v>
      </c>
    </row>
    <row r="96" spans="1:16" x14ac:dyDescent="0.3">
      <c r="A96" s="25" t="s">
        <v>3219</v>
      </c>
      <c r="B96" s="26">
        <v>46093</v>
      </c>
      <c r="C96" s="26">
        <v>46098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22156043</v>
      </c>
      <c r="K96" s="28" t="s">
        <v>2307</v>
      </c>
      <c r="L96" t="s">
        <v>2309</v>
      </c>
      <c r="M96" s="37">
        <v>149900</v>
      </c>
      <c r="N96" s="29" t="s">
        <v>2826</v>
      </c>
      <c r="O96" s="36" t="s">
        <v>3220</v>
      </c>
      <c r="P96" s="28" t="s">
        <v>2826</v>
      </c>
    </row>
    <row r="97" spans="1:16" x14ac:dyDescent="0.3">
      <c r="A97" s="25" t="s">
        <v>3219</v>
      </c>
      <c r="B97" s="26">
        <v>46093</v>
      </c>
      <c r="C97" s="26">
        <v>46098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22156052</v>
      </c>
      <c r="K97" s="28" t="s">
        <v>2307</v>
      </c>
      <c r="L97" t="s">
        <v>2310</v>
      </c>
      <c r="M97" s="37">
        <v>149900</v>
      </c>
      <c r="N97" s="29" t="s">
        <v>2826</v>
      </c>
      <c r="O97" s="36" t="s">
        <v>3220</v>
      </c>
      <c r="P97" s="28" t="s">
        <v>2826</v>
      </c>
    </row>
    <row r="98" spans="1:16" x14ac:dyDescent="0.3">
      <c r="A98" s="25" t="s">
        <v>3219</v>
      </c>
      <c r="B98" s="26">
        <v>46093</v>
      </c>
      <c r="C98" s="26">
        <v>46098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22154670</v>
      </c>
      <c r="K98" s="28" t="s">
        <v>2324</v>
      </c>
      <c r="L98" t="s">
        <v>2325</v>
      </c>
      <c r="M98" s="37">
        <v>149900</v>
      </c>
      <c r="N98" s="29" t="s">
        <v>2826</v>
      </c>
      <c r="O98" s="36" t="s">
        <v>3220</v>
      </c>
      <c r="P98" s="28" t="s">
        <v>2826</v>
      </c>
    </row>
    <row r="99" spans="1:16" x14ac:dyDescent="0.3">
      <c r="A99" s="25" t="s">
        <v>3219</v>
      </c>
      <c r="B99" s="26">
        <v>46093</v>
      </c>
      <c r="C99" s="26">
        <v>46098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22154689</v>
      </c>
      <c r="K99" s="28" t="s">
        <v>2324</v>
      </c>
      <c r="L99" t="s">
        <v>2326</v>
      </c>
      <c r="M99" s="37">
        <v>149900</v>
      </c>
      <c r="N99" s="29" t="s">
        <v>2826</v>
      </c>
      <c r="O99" s="36" t="s">
        <v>3220</v>
      </c>
      <c r="P99" s="28" t="s">
        <v>2826</v>
      </c>
    </row>
    <row r="100" spans="1:16" x14ac:dyDescent="0.3">
      <c r="A100" s="25" t="s">
        <v>3219</v>
      </c>
      <c r="B100" s="26">
        <v>46093</v>
      </c>
      <c r="C100" s="26">
        <v>46098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22154698</v>
      </c>
      <c r="K100" s="28" t="s">
        <v>2324</v>
      </c>
      <c r="L100" t="s">
        <v>2327</v>
      </c>
      <c r="M100" s="37">
        <v>149900</v>
      </c>
      <c r="N100" s="29" t="s">
        <v>2826</v>
      </c>
      <c r="O100" s="36" t="s">
        <v>3220</v>
      </c>
      <c r="P100" s="28" t="s">
        <v>2826</v>
      </c>
    </row>
    <row r="101" spans="1:16" x14ac:dyDescent="0.3">
      <c r="A101" s="25" t="s">
        <v>3219</v>
      </c>
      <c r="B101" s="26">
        <v>46093</v>
      </c>
      <c r="C101" s="26">
        <v>46098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22154705</v>
      </c>
      <c r="K101" s="28" t="s">
        <v>2324</v>
      </c>
      <c r="L101" t="s">
        <v>2328</v>
      </c>
      <c r="M101" s="37">
        <v>149900</v>
      </c>
      <c r="N101" s="29" t="s">
        <v>2826</v>
      </c>
      <c r="O101" s="36" t="s">
        <v>3220</v>
      </c>
      <c r="P101" s="28" t="s">
        <v>2826</v>
      </c>
    </row>
    <row r="102" spans="1:16" x14ac:dyDescent="0.3">
      <c r="A102" s="25" t="s">
        <v>3219</v>
      </c>
      <c r="B102" s="26">
        <v>46093</v>
      </c>
      <c r="C102" s="26">
        <v>46098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22154929</v>
      </c>
      <c r="K102" s="28" t="s">
        <v>2324</v>
      </c>
      <c r="L102" t="s">
        <v>2329</v>
      </c>
      <c r="M102" s="37">
        <v>149900</v>
      </c>
      <c r="N102" s="29" t="s">
        <v>2826</v>
      </c>
      <c r="O102" s="36" t="s">
        <v>3220</v>
      </c>
      <c r="P102" s="28" t="s">
        <v>2826</v>
      </c>
    </row>
    <row r="103" spans="1:16" x14ac:dyDescent="0.3">
      <c r="A103" s="25" t="s">
        <v>3219</v>
      </c>
      <c r="B103" s="26">
        <v>46093</v>
      </c>
      <c r="C103" s="26">
        <v>46098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22154938</v>
      </c>
      <c r="K103" s="28" t="s">
        <v>2330</v>
      </c>
      <c r="L103" t="s">
        <v>2331</v>
      </c>
      <c r="M103" s="37">
        <v>149900</v>
      </c>
      <c r="N103" s="29" t="s">
        <v>2826</v>
      </c>
      <c r="O103" s="36" t="s">
        <v>3220</v>
      </c>
      <c r="P103" s="28" t="s">
        <v>2826</v>
      </c>
    </row>
    <row r="104" spans="1:16" x14ac:dyDescent="0.3">
      <c r="A104" s="25" t="s">
        <v>3219</v>
      </c>
      <c r="B104" s="26">
        <v>46093</v>
      </c>
      <c r="C104" s="26">
        <v>46098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22154947</v>
      </c>
      <c r="K104" s="28" t="s">
        <v>2330</v>
      </c>
      <c r="L104" t="s">
        <v>2332</v>
      </c>
      <c r="M104" s="37">
        <v>149900</v>
      </c>
      <c r="N104" s="29" t="s">
        <v>2826</v>
      </c>
      <c r="O104" s="36" t="s">
        <v>3220</v>
      </c>
      <c r="P104" s="28" t="s">
        <v>2826</v>
      </c>
    </row>
    <row r="105" spans="1:16" x14ac:dyDescent="0.3">
      <c r="A105" s="25" t="s">
        <v>3219</v>
      </c>
      <c r="B105" s="26">
        <v>46093</v>
      </c>
      <c r="C105" s="26">
        <v>46098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22155991</v>
      </c>
      <c r="K105" s="28" t="s">
        <v>2330</v>
      </c>
      <c r="L105" t="s">
        <v>2333</v>
      </c>
      <c r="M105" s="37">
        <v>149900</v>
      </c>
      <c r="N105" s="29" t="s">
        <v>2826</v>
      </c>
      <c r="O105" s="36" t="s">
        <v>3220</v>
      </c>
      <c r="P105" s="28" t="s">
        <v>2826</v>
      </c>
    </row>
    <row r="106" spans="1:16" x14ac:dyDescent="0.3">
      <c r="A106" s="25" t="s">
        <v>3219</v>
      </c>
      <c r="B106" s="26">
        <v>46093</v>
      </c>
      <c r="C106" s="26">
        <v>46098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22156007</v>
      </c>
      <c r="K106" s="28" t="s">
        <v>2330</v>
      </c>
      <c r="L106" t="s">
        <v>2334</v>
      </c>
      <c r="M106" s="37">
        <v>149900</v>
      </c>
      <c r="N106" s="29" t="s">
        <v>2826</v>
      </c>
      <c r="O106" s="36" t="s">
        <v>3220</v>
      </c>
      <c r="P106" s="28" t="s">
        <v>2826</v>
      </c>
    </row>
    <row r="107" spans="1:16" x14ac:dyDescent="0.3">
      <c r="A107" s="25" t="s">
        <v>3219</v>
      </c>
      <c r="B107" s="26">
        <v>46093</v>
      </c>
      <c r="C107" s="26">
        <v>46098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22156016</v>
      </c>
      <c r="K107" s="28" t="s">
        <v>2330</v>
      </c>
      <c r="L107" t="s">
        <v>2335</v>
      </c>
      <c r="M107" s="37">
        <v>149900</v>
      </c>
      <c r="N107" s="29" t="s">
        <v>2826</v>
      </c>
      <c r="O107" s="36" t="s">
        <v>3220</v>
      </c>
      <c r="P107" s="28" t="s">
        <v>2826</v>
      </c>
    </row>
    <row r="108" spans="1:16" x14ac:dyDescent="0.3">
      <c r="A108" s="25" t="s">
        <v>3219</v>
      </c>
      <c r="B108" s="26">
        <v>46093</v>
      </c>
      <c r="C108" s="26">
        <v>46098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22156025</v>
      </c>
      <c r="K108" s="28" t="s">
        <v>2307</v>
      </c>
      <c r="L108" t="s">
        <v>2336</v>
      </c>
      <c r="M108" s="37">
        <v>149900</v>
      </c>
      <c r="N108" s="29" t="s">
        <v>2826</v>
      </c>
      <c r="O108" s="36" t="s">
        <v>3220</v>
      </c>
      <c r="P108" s="28" t="s">
        <v>2826</v>
      </c>
    </row>
    <row r="109" spans="1:16" x14ac:dyDescent="0.3">
      <c r="A109" s="25" t="s">
        <v>3219</v>
      </c>
      <c r="B109" s="26">
        <v>46093</v>
      </c>
      <c r="C109" s="26">
        <v>46098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22152903</v>
      </c>
      <c r="K109" s="28" t="s">
        <v>30</v>
      </c>
      <c r="L109" t="s">
        <v>2708</v>
      </c>
      <c r="M109" s="37">
        <v>149900</v>
      </c>
      <c r="N109" s="29" t="s">
        <v>2826</v>
      </c>
      <c r="O109" s="36" t="s">
        <v>3220</v>
      </c>
      <c r="P109" s="28" t="s">
        <v>2826</v>
      </c>
    </row>
    <row r="110" spans="1:16" x14ac:dyDescent="0.3">
      <c r="A110" s="25" t="s">
        <v>3219</v>
      </c>
      <c r="B110" s="26">
        <v>46093</v>
      </c>
      <c r="C110" s="26">
        <v>46098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22152912</v>
      </c>
      <c r="K110" s="28" t="s">
        <v>30</v>
      </c>
      <c r="L110" t="s">
        <v>2709</v>
      </c>
      <c r="M110" s="37">
        <v>149900</v>
      </c>
      <c r="N110" s="29" t="s">
        <v>2826</v>
      </c>
      <c r="O110" s="36" t="s">
        <v>3220</v>
      </c>
      <c r="P110" s="28" t="s">
        <v>2826</v>
      </c>
    </row>
    <row r="111" spans="1:16" x14ac:dyDescent="0.3">
      <c r="A111" s="25" t="s">
        <v>3219</v>
      </c>
      <c r="B111" s="26">
        <v>46093</v>
      </c>
      <c r="C111" s="26">
        <v>46098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22152896</v>
      </c>
      <c r="K111" s="28" t="s">
        <v>30</v>
      </c>
      <c r="L111" t="s">
        <v>2710</v>
      </c>
      <c r="M111" s="37">
        <v>149900</v>
      </c>
      <c r="N111" s="29" t="s">
        <v>2826</v>
      </c>
      <c r="O111" s="36" t="s">
        <v>3220</v>
      </c>
      <c r="P111" s="28" t="s">
        <v>2826</v>
      </c>
    </row>
    <row r="112" spans="1:16" x14ac:dyDescent="0.3">
      <c r="A112" s="25" t="s">
        <v>3219</v>
      </c>
      <c r="B112" s="26">
        <v>46093</v>
      </c>
      <c r="C112" s="26">
        <v>46098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22152921</v>
      </c>
      <c r="K112" s="28" t="s">
        <v>30</v>
      </c>
      <c r="L112" t="s">
        <v>2711</v>
      </c>
      <c r="M112" s="37">
        <v>149900</v>
      </c>
      <c r="N112" s="29" t="s">
        <v>2826</v>
      </c>
      <c r="O112" s="36" t="s">
        <v>3220</v>
      </c>
      <c r="P112" s="28" t="s">
        <v>2826</v>
      </c>
    </row>
    <row r="113" spans="1:16" x14ac:dyDescent="0.3">
      <c r="A113" s="25" t="s">
        <v>3219</v>
      </c>
      <c r="B113" s="26">
        <v>46093</v>
      </c>
      <c r="C113" s="26">
        <v>46098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22152930</v>
      </c>
      <c r="K113" s="28" t="s">
        <v>30</v>
      </c>
      <c r="L113" t="s">
        <v>2712</v>
      </c>
      <c r="M113" s="37">
        <v>149900</v>
      </c>
      <c r="N113" s="29" t="s">
        <v>2826</v>
      </c>
      <c r="O113" s="36" t="s">
        <v>3220</v>
      </c>
      <c r="P113" s="28" t="s">
        <v>2826</v>
      </c>
    </row>
  </sheetData>
  <autoFilter ref="A1:P1" xr:uid="{CC8A0BEF-76A8-4D3E-AD12-25997C8E6E73}"/>
  <conditionalFormatting sqref="J1">
    <cfRule type="duplicateValues" dxfId="198" priority="14"/>
    <cfRule type="duplicateValues" dxfId="197" priority="15"/>
    <cfRule type="duplicateValues" dxfId="196" priority="16"/>
    <cfRule type="duplicateValues" dxfId="195" priority="17"/>
    <cfRule type="duplicateValues" dxfId="194" priority="18"/>
    <cfRule type="duplicateValues" dxfId="193" priority="19"/>
    <cfRule type="duplicateValues" dxfId="192" priority="20"/>
    <cfRule type="duplicateValues" dxfId="191" priority="21"/>
    <cfRule type="duplicateValues" dxfId="190" priority="22"/>
  </conditionalFormatting>
  <conditionalFormatting sqref="J2:J11">
    <cfRule type="duplicateValues" dxfId="189" priority="13"/>
  </conditionalFormatting>
  <conditionalFormatting sqref="J12:J29">
    <cfRule type="duplicateValues" dxfId="188" priority="5"/>
    <cfRule type="duplicateValues" dxfId="187" priority="6"/>
    <cfRule type="duplicateValues" dxfId="186" priority="7"/>
    <cfRule type="duplicateValues" dxfId="185" priority="8"/>
    <cfRule type="duplicateValues" dxfId="184" priority="9"/>
  </conditionalFormatting>
  <conditionalFormatting sqref="J30:J33">
    <cfRule type="duplicateValues" dxfId="183" priority="10"/>
    <cfRule type="duplicateValues" dxfId="182" priority="11"/>
    <cfRule type="duplicateValues" dxfId="181" priority="12"/>
  </conditionalFormatting>
  <conditionalFormatting sqref="J34:J38">
    <cfRule type="duplicateValues" dxfId="180" priority="3"/>
    <cfRule type="duplicateValues" dxfId="179" priority="4"/>
  </conditionalFormatting>
  <conditionalFormatting sqref="J49:J58">
    <cfRule type="duplicateValues" dxfId="178" priority="2"/>
  </conditionalFormatting>
  <conditionalFormatting sqref="J81:J113">
    <cfRule type="duplicateValues" dxfId="177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888-DEB8-404B-AAB6-CD1D118DF904}">
  <dimension ref="A1:P296"/>
  <sheetViews>
    <sheetView zoomScale="85" zoomScaleNormal="85" workbookViewId="0">
      <selection activeCell="L8" sqref="L8"/>
    </sheetView>
  </sheetViews>
  <sheetFormatPr defaultRowHeight="14.4" x14ac:dyDescent="0.3"/>
  <cols>
    <col min="1" max="1" width="27.44140625" style="28" customWidth="1"/>
    <col min="2" max="3" width="11.6640625" style="28" customWidth="1"/>
    <col min="4" max="7" width="8.6640625" style="28" customWidth="1"/>
    <col min="8" max="10" width="11.6640625" style="28" customWidth="1"/>
    <col min="11" max="11" width="11.6640625" customWidth="1"/>
    <col min="12" max="12" width="35.6640625" customWidth="1"/>
    <col min="13" max="13" width="15.88671875" style="37" customWidth="1"/>
    <col min="14" max="14" width="8.6640625" customWidth="1"/>
    <col min="15" max="15" width="24.6640625" style="34" bestFit="1" customWidth="1"/>
    <col min="16" max="16" width="15.8867187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3221</v>
      </c>
      <c r="B2" s="26">
        <v>46093</v>
      </c>
      <c r="C2" s="26">
        <v>46098</v>
      </c>
      <c r="D2" s="25">
        <v>3319</v>
      </c>
      <c r="E2" s="25">
        <v>327</v>
      </c>
      <c r="F2" s="25">
        <v>2</v>
      </c>
      <c r="G2" s="28">
        <v>1</v>
      </c>
      <c r="H2" s="28">
        <v>81778</v>
      </c>
      <c r="I2" s="28" t="s">
        <v>17</v>
      </c>
      <c r="J2" s="28">
        <v>82228219</v>
      </c>
      <c r="K2" t="s">
        <v>1670</v>
      </c>
      <c r="L2" t="s">
        <v>1674</v>
      </c>
      <c r="M2" s="39">
        <v>279900</v>
      </c>
      <c r="N2" s="29" t="s">
        <v>2826</v>
      </c>
      <c r="O2" s="36" t="s">
        <v>3220</v>
      </c>
      <c r="P2" s="28" t="s">
        <v>2826</v>
      </c>
    </row>
    <row r="3" spans="1:16" x14ac:dyDescent="0.3">
      <c r="A3" s="25" t="s">
        <v>3221</v>
      </c>
      <c r="B3" s="26">
        <v>46093</v>
      </c>
      <c r="C3" s="26">
        <v>46098</v>
      </c>
      <c r="D3" s="25">
        <v>3319</v>
      </c>
      <c r="E3" s="25">
        <v>327</v>
      </c>
      <c r="F3" s="25">
        <v>2</v>
      </c>
      <c r="G3" s="28">
        <v>1</v>
      </c>
      <c r="H3" s="28">
        <v>81778</v>
      </c>
      <c r="I3" s="28" t="s">
        <v>17</v>
      </c>
      <c r="J3" s="28">
        <v>82228200</v>
      </c>
      <c r="K3" t="s">
        <v>1670</v>
      </c>
      <c r="L3" t="s">
        <v>1673</v>
      </c>
      <c r="M3" s="39">
        <v>279900</v>
      </c>
      <c r="N3" s="29" t="s">
        <v>2826</v>
      </c>
      <c r="O3" s="36" t="s">
        <v>3220</v>
      </c>
      <c r="P3" s="28" t="s">
        <v>2826</v>
      </c>
    </row>
    <row r="4" spans="1:16" x14ac:dyDescent="0.3">
      <c r="A4" s="25" t="s">
        <v>3221</v>
      </c>
      <c r="B4" s="26">
        <v>46093</v>
      </c>
      <c r="C4" s="26">
        <v>46098</v>
      </c>
      <c r="D4" s="25">
        <v>3319</v>
      </c>
      <c r="E4" s="25">
        <v>327</v>
      </c>
      <c r="F4" s="25">
        <v>2</v>
      </c>
      <c r="G4" s="28">
        <v>1</v>
      </c>
      <c r="H4" s="28">
        <v>81778</v>
      </c>
      <c r="I4" s="28" t="s">
        <v>17</v>
      </c>
      <c r="J4" s="28">
        <v>82228228</v>
      </c>
      <c r="K4" t="s">
        <v>1670</v>
      </c>
      <c r="L4" t="s">
        <v>1675</v>
      </c>
      <c r="M4" s="39">
        <v>279900</v>
      </c>
      <c r="N4" s="29" t="s">
        <v>2826</v>
      </c>
      <c r="O4" s="36" t="s">
        <v>3220</v>
      </c>
      <c r="P4" s="28" t="s">
        <v>2826</v>
      </c>
    </row>
    <row r="5" spans="1:16" x14ac:dyDescent="0.3">
      <c r="A5" s="25" t="s">
        <v>3221</v>
      </c>
      <c r="B5" s="26">
        <v>46093</v>
      </c>
      <c r="C5" s="26">
        <v>46098</v>
      </c>
      <c r="D5" s="25">
        <v>3319</v>
      </c>
      <c r="E5" s="25">
        <v>327</v>
      </c>
      <c r="F5" s="25">
        <v>2</v>
      </c>
      <c r="G5" s="28">
        <v>1</v>
      </c>
      <c r="H5" s="28">
        <v>81778</v>
      </c>
      <c r="I5" s="28" t="s">
        <v>17</v>
      </c>
      <c r="J5" s="28">
        <v>82228184</v>
      </c>
      <c r="K5" t="s">
        <v>1670</v>
      </c>
      <c r="L5" t="s">
        <v>1671</v>
      </c>
      <c r="M5" s="39">
        <v>279900</v>
      </c>
      <c r="N5" s="29" t="s">
        <v>2826</v>
      </c>
      <c r="O5" s="36" t="s">
        <v>3220</v>
      </c>
      <c r="P5" s="28" t="s">
        <v>2826</v>
      </c>
    </row>
    <row r="6" spans="1:16" x14ac:dyDescent="0.3">
      <c r="A6" s="25" t="s">
        <v>3221</v>
      </c>
      <c r="B6" s="26">
        <v>46093</v>
      </c>
      <c r="C6" s="26">
        <v>46098</v>
      </c>
      <c r="D6" s="25">
        <v>3319</v>
      </c>
      <c r="E6" s="25">
        <v>327</v>
      </c>
      <c r="F6" s="25">
        <v>2</v>
      </c>
      <c r="G6" s="28">
        <v>1</v>
      </c>
      <c r="H6" s="28">
        <v>81778</v>
      </c>
      <c r="I6" s="28" t="s">
        <v>17</v>
      </c>
      <c r="J6" s="28">
        <v>82228193</v>
      </c>
      <c r="K6" t="s">
        <v>1670</v>
      </c>
      <c r="L6" t="s">
        <v>1672</v>
      </c>
      <c r="M6" s="39">
        <v>279900</v>
      </c>
      <c r="N6" s="29" t="s">
        <v>2826</v>
      </c>
      <c r="O6" s="36" t="s">
        <v>3220</v>
      </c>
      <c r="P6" s="28" t="s">
        <v>2826</v>
      </c>
    </row>
    <row r="7" spans="1:16" x14ac:dyDescent="0.3">
      <c r="A7" s="25" t="s">
        <v>3221</v>
      </c>
      <c r="B7" s="26">
        <v>46093</v>
      </c>
      <c r="C7" s="26">
        <v>46098</v>
      </c>
      <c r="D7" s="25">
        <v>3319</v>
      </c>
      <c r="E7" s="25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15806514</v>
      </c>
      <c r="K7" t="s">
        <v>2137</v>
      </c>
      <c r="L7" t="s">
        <v>2138</v>
      </c>
      <c r="M7" s="39">
        <v>299900</v>
      </c>
      <c r="N7" s="29" t="s">
        <v>2826</v>
      </c>
      <c r="O7" s="36" t="s">
        <v>3220</v>
      </c>
      <c r="P7" s="28" t="s">
        <v>2826</v>
      </c>
    </row>
    <row r="8" spans="1:16" x14ac:dyDescent="0.3">
      <c r="A8" s="25" t="s">
        <v>3221</v>
      </c>
      <c r="B8" s="26">
        <v>46093</v>
      </c>
      <c r="C8" s="26">
        <v>46098</v>
      </c>
      <c r="D8" s="25">
        <v>3319</v>
      </c>
      <c r="E8" s="25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15806523</v>
      </c>
      <c r="K8" t="s">
        <v>2137</v>
      </c>
      <c r="L8" t="s">
        <v>2139</v>
      </c>
      <c r="M8" s="39">
        <v>299900</v>
      </c>
      <c r="N8" s="29" t="s">
        <v>2826</v>
      </c>
      <c r="O8" s="36" t="s">
        <v>3220</v>
      </c>
      <c r="P8" s="28" t="s">
        <v>2826</v>
      </c>
    </row>
    <row r="9" spans="1:16" x14ac:dyDescent="0.3">
      <c r="A9" s="25" t="s">
        <v>3221</v>
      </c>
      <c r="B9" s="26">
        <v>46093</v>
      </c>
      <c r="C9" s="26">
        <v>46098</v>
      </c>
      <c r="D9" s="25">
        <v>3319</v>
      </c>
      <c r="E9" s="25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15806532</v>
      </c>
      <c r="K9" t="s">
        <v>2137</v>
      </c>
      <c r="L9" t="s">
        <v>2140</v>
      </c>
      <c r="M9" s="39">
        <v>299900</v>
      </c>
      <c r="N9" s="29" t="s">
        <v>2826</v>
      </c>
      <c r="O9" s="36" t="s">
        <v>3220</v>
      </c>
      <c r="P9" s="28" t="s">
        <v>2826</v>
      </c>
    </row>
    <row r="10" spans="1:16" x14ac:dyDescent="0.3">
      <c r="A10" s="25" t="s">
        <v>3221</v>
      </c>
      <c r="B10" s="26">
        <v>46093</v>
      </c>
      <c r="C10" s="26">
        <v>46098</v>
      </c>
      <c r="D10" s="25">
        <v>3319</v>
      </c>
      <c r="E10" s="25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15806541</v>
      </c>
      <c r="K10" t="s">
        <v>2137</v>
      </c>
      <c r="L10" t="s">
        <v>2141</v>
      </c>
      <c r="M10" s="39">
        <v>299900</v>
      </c>
      <c r="N10" s="29" t="s">
        <v>2826</v>
      </c>
      <c r="O10" s="36" t="s">
        <v>3220</v>
      </c>
      <c r="P10" s="28" t="s">
        <v>2826</v>
      </c>
    </row>
    <row r="11" spans="1:16" x14ac:dyDescent="0.3">
      <c r="A11" s="25" t="s">
        <v>3221</v>
      </c>
      <c r="B11" s="26">
        <v>46093</v>
      </c>
      <c r="C11" s="26">
        <v>46098</v>
      </c>
      <c r="D11" s="25">
        <v>3319</v>
      </c>
      <c r="E11" s="25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15806550</v>
      </c>
      <c r="K11" t="s">
        <v>2137</v>
      </c>
      <c r="L11" t="s">
        <v>2142</v>
      </c>
      <c r="M11" s="39">
        <v>299900</v>
      </c>
      <c r="N11" s="29" t="s">
        <v>2826</v>
      </c>
      <c r="O11" s="36" t="s">
        <v>3220</v>
      </c>
      <c r="P11" s="28" t="s">
        <v>2826</v>
      </c>
    </row>
    <row r="12" spans="1:16" x14ac:dyDescent="0.3">
      <c r="A12" s="25" t="s">
        <v>3221</v>
      </c>
      <c r="B12" s="26">
        <v>46093</v>
      </c>
      <c r="C12" s="26">
        <v>46098</v>
      </c>
      <c r="D12" s="25">
        <v>3319</v>
      </c>
      <c r="E12" s="25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19295926</v>
      </c>
      <c r="K12" t="s">
        <v>2148</v>
      </c>
      <c r="L12" t="s">
        <v>2154</v>
      </c>
      <c r="M12" s="39">
        <v>279900</v>
      </c>
      <c r="N12" s="29" t="s">
        <v>2826</v>
      </c>
      <c r="O12" s="36" t="s">
        <v>3220</v>
      </c>
      <c r="P12" s="28" t="s">
        <v>2826</v>
      </c>
    </row>
    <row r="13" spans="1:16" x14ac:dyDescent="0.3">
      <c r="A13" s="25" t="s">
        <v>3221</v>
      </c>
      <c r="B13" s="26">
        <v>46093</v>
      </c>
      <c r="C13" s="26">
        <v>46098</v>
      </c>
      <c r="D13" s="25">
        <v>3319</v>
      </c>
      <c r="E13" s="25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19295935</v>
      </c>
      <c r="K13" t="s">
        <v>2148</v>
      </c>
      <c r="L13" t="s">
        <v>2155</v>
      </c>
      <c r="M13" s="39">
        <v>279900</v>
      </c>
      <c r="N13" s="29" t="s">
        <v>2826</v>
      </c>
      <c r="O13" s="36" t="s">
        <v>3220</v>
      </c>
      <c r="P13" s="28" t="s">
        <v>2826</v>
      </c>
    </row>
    <row r="14" spans="1:16" x14ac:dyDescent="0.3">
      <c r="A14" s="25" t="s">
        <v>3221</v>
      </c>
      <c r="B14" s="26">
        <v>46093</v>
      </c>
      <c r="C14" s="26">
        <v>46098</v>
      </c>
      <c r="D14" s="25">
        <v>3319</v>
      </c>
      <c r="E14" s="25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19295944</v>
      </c>
      <c r="K14" t="s">
        <v>2148</v>
      </c>
      <c r="L14" t="s">
        <v>2156</v>
      </c>
      <c r="M14" s="39">
        <v>279900</v>
      </c>
      <c r="N14" s="29" t="s">
        <v>2826</v>
      </c>
      <c r="O14" s="36" t="s">
        <v>3220</v>
      </c>
      <c r="P14" s="28" t="s">
        <v>2826</v>
      </c>
    </row>
    <row r="15" spans="1:16" x14ac:dyDescent="0.3">
      <c r="A15" s="25" t="s">
        <v>3221</v>
      </c>
      <c r="B15" s="26">
        <v>46093</v>
      </c>
      <c r="C15" s="26">
        <v>46098</v>
      </c>
      <c r="D15" s="25">
        <v>3319</v>
      </c>
      <c r="E15" s="25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19295953</v>
      </c>
      <c r="K15" t="s">
        <v>2148</v>
      </c>
      <c r="L15" t="s">
        <v>2157</v>
      </c>
      <c r="M15" s="39">
        <v>279900</v>
      </c>
      <c r="N15" s="29" t="s">
        <v>2826</v>
      </c>
      <c r="O15" s="36" t="s">
        <v>3220</v>
      </c>
      <c r="P15" s="28" t="s">
        <v>2826</v>
      </c>
    </row>
    <row r="16" spans="1:16" x14ac:dyDescent="0.3">
      <c r="A16" s="25" t="s">
        <v>3221</v>
      </c>
      <c r="B16" s="26">
        <v>46093</v>
      </c>
      <c r="C16" s="26">
        <v>46098</v>
      </c>
      <c r="D16" s="25">
        <v>3319</v>
      </c>
      <c r="E16" s="25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19295962</v>
      </c>
      <c r="K16" t="s">
        <v>2148</v>
      </c>
      <c r="L16" t="s">
        <v>2158</v>
      </c>
      <c r="M16" s="39">
        <v>279900</v>
      </c>
      <c r="N16" s="29" t="s">
        <v>2826</v>
      </c>
      <c r="O16" s="36" t="s">
        <v>3220</v>
      </c>
      <c r="P16" s="28" t="s">
        <v>2826</v>
      </c>
    </row>
    <row r="17" spans="1:16" x14ac:dyDescent="0.3">
      <c r="A17" s="25" t="s">
        <v>3221</v>
      </c>
      <c r="B17" s="26">
        <v>46093</v>
      </c>
      <c r="C17" s="26">
        <v>46098</v>
      </c>
      <c r="D17" s="25">
        <v>3319</v>
      </c>
      <c r="E17" s="25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19296023</v>
      </c>
      <c r="K17" t="s">
        <v>2159</v>
      </c>
      <c r="L17" t="s">
        <v>2160</v>
      </c>
      <c r="M17" s="39">
        <v>279900</v>
      </c>
      <c r="N17" s="29" t="s">
        <v>2826</v>
      </c>
      <c r="O17" s="36" t="s">
        <v>3220</v>
      </c>
      <c r="P17" s="28" t="s">
        <v>2826</v>
      </c>
    </row>
    <row r="18" spans="1:16" x14ac:dyDescent="0.3">
      <c r="A18" s="25" t="s">
        <v>3221</v>
      </c>
      <c r="B18" s="26">
        <v>46093</v>
      </c>
      <c r="C18" s="26">
        <v>46098</v>
      </c>
      <c r="D18" s="25">
        <v>3319</v>
      </c>
      <c r="E18" s="25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19296032</v>
      </c>
      <c r="K18" t="s">
        <v>2159</v>
      </c>
      <c r="L18" t="s">
        <v>2161</v>
      </c>
      <c r="M18" s="39">
        <v>279900</v>
      </c>
      <c r="N18" s="29" t="s">
        <v>2826</v>
      </c>
      <c r="O18" s="36" t="s">
        <v>3220</v>
      </c>
      <c r="P18" s="28" t="s">
        <v>2826</v>
      </c>
    </row>
    <row r="19" spans="1:16" x14ac:dyDescent="0.3">
      <c r="A19" s="25" t="s">
        <v>3221</v>
      </c>
      <c r="B19" s="26">
        <v>46093</v>
      </c>
      <c r="C19" s="26">
        <v>46098</v>
      </c>
      <c r="D19" s="25">
        <v>3319</v>
      </c>
      <c r="E19" s="25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19296041</v>
      </c>
      <c r="K19" t="s">
        <v>2159</v>
      </c>
      <c r="L19" t="s">
        <v>2162</v>
      </c>
      <c r="M19" s="39">
        <v>279900</v>
      </c>
      <c r="N19" s="29" t="s">
        <v>2826</v>
      </c>
      <c r="O19" s="36" t="s">
        <v>3220</v>
      </c>
      <c r="P19" s="28" t="s">
        <v>2826</v>
      </c>
    </row>
    <row r="20" spans="1:16" x14ac:dyDescent="0.3">
      <c r="A20" s="25" t="s">
        <v>3221</v>
      </c>
      <c r="B20" s="26">
        <v>46093</v>
      </c>
      <c r="C20" s="26">
        <v>46098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19296050</v>
      </c>
      <c r="K20" t="s">
        <v>2159</v>
      </c>
      <c r="L20" t="s">
        <v>2163</v>
      </c>
      <c r="M20" s="39">
        <v>279900</v>
      </c>
      <c r="N20" s="29" t="s">
        <v>2826</v>
      </c>
      <c r="O20" s="36" t="s">
        <v>3220</v>
      </c>
      <c r="P20" s="28" t="s">
        <v>2826</v>
      </c>
    </row>
    <row r="21" spans="1:16" x14ac:dyDescent="0.3">
      <c r="A21" s="25" t="s">
        <v>3221</v>
      </c>
      <c r="B21" s="26">
        <v>46093</v>
      </c>
      <c r="C21" s="26">
        <v>46098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19296069</v>
      </c>
      <c r="K21" t="s">
        <v>2159</v>
      </c>
      <c r="L21" t="s">
        <v>2164</v>
      </c>
      <c r="M21" s="39">
        <v>279900</v>
      </c>
      <c r="N21" s="29" t="s">
        <v>2826</v>
      </c>
      <c r="O21" s="36" t="s">
        <v>3220</v>
      </c>
      <c r="P21" s="28" t="s">
        <v>2826</v>
      </c>
    </row>
    <row r="22" spans="1:16" x14ac:dyDescent="0.3">
      <c r="A22" s="25" t="s">
        <v>3221</v>
      </c>
      <c r="B22" s="26">
        <v>46093</v>
      </c>
      <c r="C22" s="26">
        <v>46098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19296078</v>
      </c>
      <c r="K22" t="s">
        <v>2159</v>
      </c>
      <c r="L22" t="s">
        <v>2165</v>
      </c>
      <c r="M22" s="39">
        <v>279900</v>
      </c>
      <c r="N22" s="29" t="s">
        <v>2826</v>
      </c>
      <c r="O22" s="36" t="s">
        <v>3220</v>
      </c>
      <c r="P22" s="28" t="s">
        <v>2826</v>
      </c>
    </row>
    <row r="23" spans="1:16" x14ac:dyDescent="0.3">
      <c r="A23" s="25" t="s">
        <v>3221</v>
      </c>
      <c r="B23" s="26">
        <v>46093</v>
      </c>
      <c r="C23" s="26">
        <v>46098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19296087</v>
      </c>
      <c r="K23" t="s">
        <v>2159</v>
      </c>
      <c r="L23" t="s">
        <v>2166</v>
      </c>
      <c r="M23" s="39">
        <v>279900</v>
      </c>
      <c r="N23" s="29" t="s">
        <v>2826</v>
      </c>
      <c r="O23" s="36" t="s">
        <v>3220</v>
      </c>
      <c r="P23" s="28" t="s">
        <v>2826</v>
      </c>
    </row>
    <row r="24" spans="1:16" x14ac:dyDescent="0.3">
      <c r="A24" s="25" t="s">
        <v>3221</v>
      </c>
      <c r="B24" s="26">
        <v>46093</v>
      </c>
      <c r="C24" s="26">
        <v>46098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19296096</v>
      </c>
      <c r="K24" t="s">
        <v>2159</v>
      </c>
      <c r="L24" t="s">
        <v>2167</v>
      </c>
      <c r="M24" s="39">
        <v>279900</v>
      </c>
      <c r="N24" s="29" t="s">
        <v>2826</v>
      </c>
      <c r="O24" s="36" t="s">
        <v>3220</v>
      </c>
      <c r="P24" s="28" t="s">
        <v>2826</v>
      </c>
    </row>
    <row r="25" spans="1:16" x14ac:dyDescent="0.3">
      <c r="A25" s="25" t="s">
        <v>3221</v>
      </c>
      <c r="B25" s="26">
        <v>46093</v>
      </c>
      <c r="C25" s="26">
        <v>46098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19296103</v>
      </c>
      <c r="K25" t="s">
        <v>2159</v>
      </c>
      <c r="L25" t="s">
        <v>2168</v>
      </c>
      <c r="M25" s="39">
        <v>279900</v>
      </c>
      <c r="N25" s="29" t="s">
        <v>2826</v>
      </c>
      <c r="O25" s="36" t="s">
        <v>3220</v>
      </c>
      <c r="P25" s="28" t="s">
        <v>2826</v>
      </c>
    </row>
    <row r="26" spans="1:16" x14ac:dyDescent="0.3">
      <c r="A26" s="25" t="s">
        <v>3221</v>
      </c>
      <c r="B26" s="26">
        <v>46093</v>
      </c>
      <c r="C26" s="26">
        <v>46098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19296112</v>
      </c>
      <c r="K26" t="s">
        <v>2159</v>
      </c>
      <c r="L26" t="s">
        <v>2169</v>
      </c>
      <c r="M26" s="39">
        <v>279900</v>
      </c>
      <c r="N26" s="29" t="s">
        <v>2826</v>
      </c>
      <c r="O26" s="36" t="s">
        <v>3220</v>
      </c>
      <c r="P26" s="28" t="s">
        <v>2826</v>
      </c>
    </row>
    <row r="27" spans="1:16" x14ac:dyDescent="0.3">
      <c r="A27" s="25" t="s">
        <v>3221</v>
      </c>
      <c r="B27" s="26">
        <v>46093</v>
      </c>
      <c r="C27" s="26">
        <v>46098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22153082</v>
      </c>
      <c r="K27" t="s">
        <v>2170</v>
      </c>
      <c r="L27" t="s">
        <v>2171</v>
      </c>
      <c r="M27" s="39">
        <v>279900</v>
      </c>
      <c r="N27" s="29" t="s">
        <v>2826</v>
      </c>
      <c r="O27" s="36" t="s">
        <v>3220</v>
      </c>
      <c r="P27" s="28" t="s">
        <v>2826</v>
      </c>
    </row>
    <row r="28" spans="1:16" x14ac:dyDescent="0.3">
      <c r="A28" s="25" t="s">
        <v>3221</v>
      </c>
      <c r="B28" s="26">
        <v>46093</v>
      </c>
      <c r="C28" s="26">
        <v>46098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22153395</v>
      </c>
      <c r="K28" t="s">
        <v>2170</v>
      </c>
      <c r="L28" t="s">
        <v>2172</v>
      </c>
      <c r="M28" s="39">
        <v>279900</v>
      </c>
      <c r="N28" s="29" t="s">
        <v>2826</v>
      </c>
      <c r="O28" s="36" t="s">
        <v>3220</v>
      </c>
      <c r="P28" s="28" t="s">
        <v>2826</v>
      </c>
    </row>
    <row r="29" spans="1:16" x14ac:dyDescent="0.3">
      <c r="A29" s="25" t="s">
        <v>3221</v>
      </c>
      <c r="B29" s="26">
        <v>46093</v>
      </c>
      <c r="C29" s="26">
        <v>46098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22152949</v>
      </c>
      <c r="K29" t="s">
        <v>2170</v>
      </c>
      <c r="L29" t="s">
        <v>2173</v>
      </c>
      <c r="M29" s="39">
        <v>279900</v>
      </c>
      <c r="N29" s="29" t="s">
        <v>2826</v>
      </c>
      <c r="O29" s="36" t="s">
        <v>3220</v>
      </c>
      <c r="P29" s="28" t="s">
        <v>2826</v>
      </c>
    </row>
    <row r="30" spans="1:16" x14ac:dyDescent="0.3">
      <c r="A30" s="25" t="s">
        <v>3221</v>
      </c>
      <c r="B30" s="26">
        <v>46093</v>
      </c>
      <c r="C30" s="26">
        <v>46098</v>
      </c>
      <c r="D30" s="25">
        <v>3319</v>
      </c>
      <c r="E30" s="25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22153055</v>
      </c>
      <c r="K30" t="s">
        <v>2170</v>
      </c>
      <c r="L30" t="s">
        <v>2174</v>
      </c>
      <c r="M30" s="39">
        <v>279900</v>
      </c>
      <c r="N30" s="29" t="s">
        <v>2826</v>
      </c>
      <c r="O30" s="36" t="s">
        <v>3220</v>
      </c>
      <c r="P30" s="28" t="s">
        <v>2826</v>
      </c>
    </row>
    <row r="31" spans="1:16" x14ac:dyDescent="0.3">
      <c r="A31" s="25" t="s">
        <v>3221</v>
      </c>
      <c r="B31" s="26">
        <v>46093</v>
      </c>
      <c r="C31" s="26">
        <v>46098</v>
      </c>
      <c r="D31" s="25">
        <v>3319</v>
      </c>
      <c r="E31" s="25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22153064</v>
      </c>
      <c r="K31" t="s">
        <v>2170</v>
      </c>
      <c r="L31" t="s">
        <v>2175</v>
      </c>
      <c r="M31" s="39">
        <v>279900</v>
      </c>
      <c r="N31" s="29" t="s">
        <v>2826</v>
      </c>
      <c r="O31" s="36" t="s">
        <v>3220</v>
      </c>
      <c r="P31" s="28" t="s">
        <v>2826</v>
      </c>
    </row>
    <row r="32" spans="1:16" x14ac:dyDescent="0.3">
      <c r="A32" s="25" t="s">
        <v>3221</v>
      </c>
      <c r="B32" s="26">
        <v>46093</v>
      </c>
      <c r="C32" s="26">
        <v>46098</v>
      </c>
      <c r="D32" s="25">
        <v>3319</v>
      </c>
      <c r="E32" s="25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22153073</v>
      </c>
      <c r="K32" t="s">
        <v>2170</v>
      </c>
      <c r="L32" t="s">
        <v>2176</v>
      </c>
      <c r="M32" s="39">
        <v>279900</v>
      </c>
      <c r="N32" s="29" t="s">
        <v>2826</v>
      </c>
      <c r="O32" s="36" t="s">
        <v>3220</v>
      </c>
      <c r="P32" s="28" t="s">
        <v>2826</v>
      </c>
    </row>
    <row r="33" spans="1:16" x14ac:dyDescent="0.3">
      <c r="A33" s="25" t="s">
        <v>3221</v>
      </c>
      <c r="B33" s="26">
        <v>46093</v>
      </c>
      <c r="C33" s="26">
        <v>46098</v>
      </c>
      <c r="D33" s="25">
        <v>3319</v>
      </c>
      <c r="E33" s="25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22153091</v>
      </c>
      <c r="K33" t="s">
        <v>2170</v>
      </c>
      <c r="L33" t="s">
        <v>2177</v>
      </c>
      <c r="M33" s="39">
        <v>279900</v>
      </c>
      <c r="N33" s="29" t="s">
        <v>2826</v>
      </c>
      <c r="O33" s="36" t="s">
        <v>3220</v>
      </c>
      <c r="P33" s="28" t="s">
        <v>2826</v>
      </c>
    </row>
    <row r="34" spans="1:16" x14ac:dyDescent="0.3">
      <c r="A34" s="25" t="s">
        <v>3221</v>
      </c>
      <c r="B34" s="26">
        <v>46093</v>
      </c>
      <c r="C34" s="26">
        <v>46098</v>
      </c>
      <c r="D34" s="25">
        <v>3319</v>
      </c>
      <c r="E34" s="25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22153108</v>
      </c>
      <c r="K34" t="s">
        <v>2170</v>
      </c>
      <c r="L34" t="s">
        <v>2178</v>
      </c>
      <c r="M34" s="39">
        <v>279900</v>
      </c>
      <c r="N34" s="29" t="s">
        <v>2826</v>
      </c>
      <c r="O34" s="36" t="s">
        <v>3220</v>
      </c>
      <c r="P34" s="28" t="s">
        <v>2826</v>
      </c>
    </row>
    <row r="35" spans="1:16" x14ac:dyDescent="0.3">
      <c r="A35" s="25" t="s">
        <v>3221</v>
      </c>
      <c r="B35" s="26">
        <v>46093</v>
      </c>
      <c r="C35" s="26">
        <v>46098</v>
      </c>
      <c r="D35" s="25">
        <v>3319</v>
      </c>
      <c r="E35" s="25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22153377</v>
      </c>
      <c r="K35" t="s">
        <v>2170</v>
      </c>
      <c r="L35" t="s">
        <v>2179</v>
      </c>
      <c r="M35" s="39">
        <v>279900</v>
      </c>
      <c r="N35" s="29" t="s">
        <v>2826</v>
      </c>
      <c r="O35" s="36" t="s">
        <v>3220</v>
      </c>
      <c r="P35" s="28" t="s">
        <v>2826</v>
      </c>
    </row>
    <row r="36" spans="1:16" x14ac:dyDescent="0.3">
      <c r="A36" s="25" t="s">
        <v>3221</v>
      </c>
      <c r="B36" s="26">
        <v>46093</v>
      </c>
      <c r="C36" s="26">
        <v>46098</v>
      </c>
      <c r="D36" s="25">
        <v>3319</v>
      </c>
      <c r="E36" s="25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22153386</v>
      </c>
      <c r="K36" t="s">
        <v>2170</v>
      </c>
      <c r="L36" t="s">
        <v>2180</v>
      </c>
      <c r="M36" s="39">
        <v>279900</v>
      </c>
      <c r="N36" s="29" t="s">
        <v>2826</v>
      </c>
      <c r="O36" s="36" t="s">
        <v>3220</v>
      </c>
      <c r="P36" s="28" t="s">
        <v>2826</v>
      </c>
    </row>
    <row r="37" spans="1:16" x14ac:dyDescent="0.3">
      <c r="A37" s="25" t="s">
        <v>3221</v>
      </c>
      <c r="B37" s="26">
        <v>46093</v>
      </c>
      <c r="C37" s="26">
        <v>46098</v>
      </c>
      <c r="D37" s="25">
        <v>3319</v>
      </c>
      <c r="E37" s="25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19296121</v>
      </c>
      <c r="K37" t="s">
        <v>2187</v>
      </c>
      <c r="L37" t="s">
        <v>2188</v>
      </c>
      <c r="M37" s="39">
        <v>279900</v>
      </c>
      <c r="N37" s="29" t="s">
        <v>2826</v>
      </c>
      <c r="O37" s="36" t="s">
        <v>3220</v>
      </c>
      <c r="P37" s="28" t="s">
        <v>2826</v>
      </c>
    </row>
    <row r="38" spans="1:16" x14ac:dyDescent="0.3">
      <c r="A38" s="25" t="s">
        <v>3221</v>
      </c>
      <c r="B38" s="26">
        <v>46093</v>
      </c>
      <c r="C38" s="26">
        <v>46098</v>
      </c>
      <c r="D38" s="25">
        <v>3319</v>
      </c>
      <c r="E38" s="25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19296130</v>
      </c>
      <c r="K38" t="s">
        <v>2187</v>
      </c>
      <c r="L38" t="s">
        <v>2189</v>
      </c>
      <c r="M38" s="39">
        <v>279900</v>
      </c>
      <c r="N38" s="29" t="s">
        <v>2826</v>
      </c>
      <c r="O38" s="36" t="s">
        <v>3220</v>
      </c>
      <c r="P38" s="28" t="s">
        <v>2826</v>
      </c>
    </row>
    <row r="39" spans="1:16" x14ac:dyDescent="0.3">
      <c r="A39" s="25" t="s">
        <v>3221</v>
      </c>
      <c r="B39" s="26">
        <v>46093</v>
      </c>
      <c r="C39" s="26">
        <v>46098</v>
      </c>
      <c r="D39" s="25">
        <v>3319</v>
      </c>
      <c r="E39" s="25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19296149</v>
      </c>
      <c r="K39" t="s">
        <v>2187</v>
      </c>
      <c r="L39" t="s">
        <v>2190</v>
      </c>
      <c r="M39" s="39">
        <v>279900</v>
      </c>
      <c r="N39" s="29" t="s">
        <v>2826</v>
      </c>
      <c r="O39" s="36" t="s">
        <v>3220</v>
      </c>
      <c r="P39" s="28" t="s">
        <v>2826</v>
      </c>
    </row>
    <row r="40" spans="1:16" x14ac:dyDescent="0.3">
      <c r="A40" s="25" t="s">
        <v>3221</v>
      </c>
      <c r="B40" s="26">
        <v>46093</v>
      </c>
      <c r="C40" s="26">
        <v>46098</v>
      </c>
      <c r="D40" s="25">
        <v>3319</v>
      </c>
      <c r="E40" s="25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19296158</v>
      </c>
      <c r="K40" t="s">
        <v>2187</v>
      </c>
      <c r="L40" t="s">
        <v>2191</v>
      </c>
      <c r="M40" s="39">
        <v>279900</v>
      </c>
      <c r="N40" s="29" t="s">
        <v>2826</v>
      </c>
      <c r="O40" s="36" t="s">
        <v>3220</v>
      </c>
      <c r="P40" s="28" t="s">
        <v>2826</v>
      </c>
    </row>
    <row r="41" spans="1:16" x14ac:dyDescent="0.3">
      <c r="A41" s="25" t="s">
        <v>3221</v>
      </c>
      <c r="B41" s="26">
        <v>46093</v>
      </c>
      <c r="C41" s="26">
        <v>46098</v>
      </c>
      <c r="D41" s="25">
        <v>3319</v>
      </c>
      <c r="E41" s="25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19296185</v>
      </c>
      <c r="K41" t="s">
        <v>2187</v>
      </c>
      <c r="L41" t="s">
        <v>2192</v>
      </c>
      <c r="M41" s="39">
        <v>279900</v>
      </c>
      <c r="N41" s="29" t="s">
        <v>2826</v>
      </c>
      <c r="O41" s="36" t="s">
        <v>3220</v>
      </c>
      <c r="P41" s="28" t="s">
        <v>2826</v>
      </c>
    </row>
    <row r="42" spans="1:16" x14ac:dyDescent="0.3">
      <c r="A42" s="25" t="s">
        <v>3221</v>
      </c>
      <c r="B42" s="26">
        <v>46093</v>
      </c>
      <c r="C42" s="26">
        <v>46098</v>
      </c>
      <c r="D42" s="25">
        <v>3319</v>
      </c>
      <c r="E42" s="25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19296194</v>
      </c>
      <c r="K42" t="s">
        <v>2187</v>
      </c>
      <c r="L42" t="s">
        <v>2193</v>
      </c>
      <c r="M42" s="39">
        <v>279900</v>
      </c>
      <c r="N42" s="29" t="s">
        <v>2826</v>
      </c>
      <c r="O42" s="36" t="s">
        <v>3220</v>
      </c>
      <c r="P42" s="28" t="s">
        <v>2826</v>
      </c>
    </row>
    <row r="43" spans="1:16" x14ac:dyDescent="0.3">
      <c r="A43" s="25" t="s">
        <v>3221</v>
      </c>
      <c r="B43" s="26">
        <v>46093</v>
      </c>
      <c r="C43" s="26">
        <v>46098</v>
      </c>
      <c r="D43" s="25">
        <v>3319</v>
      </c>
      <c r="E43" s="25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19296210</v>
      </c>
      <c r="K43" t="s">
        <v>2187</v>
      </c>
      <c r="L43" t="s">
        <v>2194</v>
      </c>
      <c r="M43" s="39">
        <v>279900</v>
      </c>
      <c r="N43" s="29" t="s">
        <v>2826</v>
      </c>
      <c r="O43" s="36" t="s">
        <v>3220</v>
      </c>
      <c r="P43" s="28" t="s">
        <v>2826</v>
      </c>
    </row>
    <row r="44" spans="1:16" x14ac:dyDescent="0.3">
      <c r="A44" s="25" t="s">
        <v>3221</v>
      </c>
      <c r="B44" s="26">
        <v>46093</v>
      </c>
      <c r="C44" s="26">
        <v>46098</v>
      </c>
      <c r="D44" s="25">
        <v>3319</v>
      </c>
      <c r="E44" s="25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19296229</v>
      </c>
      <c r="K44" t="s">
        <v>2187</v>
      </c>
      <c r="L44" t="s">
        <v>2195</v>
      </c>
      <c r="M44" s="39">
        <v>279900</v>
      </c>
      <c r="N44" s="29" t="s">
        <v>2826</v>
      </c>
      <c r="O44" s="36" t="s">
        <v>3220</v>
      </c>
      <c r="P44" s="28" t="s">
        <v>2826</v>
      </c>
    </row>
    <row r="45" spans="1:16" x14ac:dyDescent="0.3">
      <c r="A45" s="25" t="s">
        <v>3221</v>
      </c>
      <c r="B45" s="26">
        <v>46093</v>
      </c>
      <c r="C45" s="26">
        <v>46098</v>
      </c>
      <c r="D45" s="25">
        <v>3319</v>
      </c>
      <c r="E45" s="25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19296238</v>
      </c>
      <c r="K45" t="s">
        <v>2187</v>
      </c>
      <c r="L45" t="s">
        <v>2196</v>
      </c>
      <c r="M45" s="39">
        <v>279900</v>
      </c>
      <c r="N45" s="29" t="s">
        <v>2826</v>
      </c>
      <c r="O45" s="36" t="s">
        <v>3220</v>
      </c>
      <c r="P45" s="28" t="s">
        <v>2826</v>
      </c>
    </row>
    <row r="46" spans="1:16" x14ac:dyDescent="0.3">
      <c r="A46" s="25" t="s">
        <v>3221</v>
      </c>
      <c r="B46" s="26">
        <v>46093</v>
      </c>
      <c r="C46" s="26">
        <v>46098</v>
      </c>
      <c r="D46" s="25">
        <v>3319</v>
      </c>
      <c r="E46" s="25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19296247</v>
      </c>
      <c r="K46" t="s">
        <v>2187</v>
      </c>
      <c r="L46" t="s">
        <v>2197</v>
      </c>
      <c r="M46" s="39">
        <v>279900</v>
      </c>
      <c r="N46" s="29" t="s">
        <v>2826</v>
      </c>
      <c r="O46" s="36" t="s">
        <v>3220</v>
      </c>
      <c r="P46" s="28" t="s">
        <v>2826</v>
      </c>
    </row>
    <row r="47" spans="1:16" x14ac:dyDescent="0.3">
      <c r="A47" s="25" t="s">
        <v>3221</v>
      </c>
      <c r="B47" s="26">
        <v>46093</v>
      </c>
      <c r="C47" s="26">
        <v>46098</v>
      </c>
      <c r="D47" s="25">
        <v>3319</v>
      </c>
      <c r="E47" s="25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19296292</v>
      </c>
      <c r="K47" t="s">
        <v>2198</v>
      </c>
      <c r="L47" t="s">
        <v>2199</v>
      </c>
      <c r="M47" s="39">
        <v>299900</v>
      </c>
      <c r="N47" s="29" t="s">
        <v>2826</v>
      </c>
      <c r="O47" s="36" t="s">
        <v>3220</v>
      </c>
      <c r="P47" s="28" t="s">
        <v>2826</v>
      </c>
    </row>
    <row r="48" spans="1:16" x14ac:dyDescent="0.3">
      <c r="A48" s="25" t="s">
        <v>3221</v>
      </c>
      <c r="B48" s="26">
        <v>46093</v>
      </c>
      <c r="C48" s="26">
        <v>46098</v>
      </c>
      <c r="D48" s="25">
        <v>3319</v>
      </c>
      <c r="E48" s="25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19296309</v>
      </c>
      <c r="K48" t="s">
        <v>2198</v>
      </c>
      <c r="L48" t="s">
        <v>2200</v>
      </c>
      <c r="M48" s="39">
        <v>299900</v>
      </c>
      <c r="N48" s="29" t="s">
        <v>2826</v>
      </c>
      <c r="O48" s="36" t="s">
        <v>3220</v>
      </c>
      <c r="P48" s="28" t="s">
        <v>2826</v>
      </c>
    </row>
    <row r="49" spans="1:16" x14ac:dyDescent="0.3">
      <c r="A49" s="25" t="s">
        <v>3221</v>
      </c>
      <c r="B49" s="26">
        <v>46093</v>
      </c>
      <c r="C49" s="26">
        <v>46098</v>
      </c>
      <c r="D49" s="25">
        <v>3319</v>
      </c>
      <c r="E49" s="25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19296318</v>
      </c>
      <c r="K49" t="s">
        <v>2198</v>
      </c>
      <c r="L49" t="s">
        <v>2201</v>
      </c>
      <c r="M49" s="39">
        <v>299900</v>
      </c>
      <c r="N49" s="29" t="s">
        <v>2826</v>
      </c>
      <c r="O49" s="36" t="s">
        <v>3220</v>
      </c>
      <c r="P49" s="28" t="s">
        <v>2826</v>
      </c>
    </row>
    <row r="50" spans="1:16" x14ac:dyDescent="0.3">
      <c r="A50" s="25" t="s">
        <v>3221</v>
      </c>
      <c r="B50" s="26">
        <v>46093</v>
      </c>
      <c r="C50" s="26">
        <v>46098</v>
      </c>
      <c r="D50" s="25">
        <v>3319</v>
      </c>
      <c r="E50" s="25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19296336</v>
      </c>
      <c r="K50" t="s">
        <v>2198</v>
      </c>
      <c r="L50" t="s">
        <v>2202</v>
      </c>
      <c r="M50" s="39">
        <v>299900</v>
      </c>
      <c r="N50" s="29" t="s">
        <v>2826</v>
      </c>
      <c r="O50" s="36" t="s">
        <v>3220</v>
      </c>
      <c r="P50" s="28" t="s">
        <v>2826</v>
      </c>
    </row>
    <row r="51" spans="1:16" x14ac:dyDescent="0.3">
      <c r="A51" s="25" t="s">
        <v>3221</v>
      </c>
      <c r="B51" s="26">
        <v>46093</v>
      </c>
      <c r="C51" s="26">
        <v>46098</v>
      </c>
      <c r="D51" s="25">
        <v>3319</v>
      </c>
      <c r="E51" s="25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19296345</v>
      </c>
      <c r="K51" t="s">
        <v>2198</v>
      </c>
      <c r="L51" t="s">
        <v>2203</v>
      </c>
      <c r="M51" s="39">
        <v>299900</v>
      </c>
      <c r="N51" s="29" t="s">
        <v>2826</v>
      </c>
      <c r="O51" s="36" t="s">
        <v>3220</v>
      </c>
      <c r="P51" s="28" t="s">
        <v>2826</v>
      </c>
    </row>
    <row r="52" spans="1:16" x14ac:dyDescent="0.3">
      <c r="A52" s="25" t="s">
        <v>3221</v>
      </c>
      <c r="B52" s="26">
        <v>46093</v>
      </c>
      <c r="C52" s="26">
        <v>46098</v>
      </c>
      <c r="D52" s="25">
        <v>3319</v>
      </c>
      <c r="E52" s="25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19296363</v>
      </c>
      <c r="K52" t="s">
        <v>2198</v>
      </c>
      <c r="L52" t="s">
        <v>2204</v>
      </c>
      <c r="M52" s="39">
        <v>299900</v>
      </c>
      <c r="N52" s="29" t="s">
        <v>2826</v>
      </c>
      <c r="O52" s="36" t="s">
        <v>3220</v>
      </c>
      <c r="P52" s="28" t="s">
        <v>2826</v>
      </c>
    </row>
    <row r="53" spans="1:16" x14ac:dyDescent="0.3">
      <c r="A53" s="25" t="s">
        <v>3221</v>
      </c>
      <c r="B53" s="26">
        <v>46093</v>
      </c>
      <c r="C53" s="26">
        <v>46098</v>
      </c>
      <c r="D53" s="25">
        <v>3319</v>
      </c>
      <c r="E53" s="25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19296372</v>
      </c>
      <c r="K53" t="s">
        <v>2198</v>
      </c>
      <c r="L53" t="s">
        <v>2205</v>
      </c>
      <c r="M53" s="39">
        <v>299900</v>
      </c>
      <c r="N53" s="29" t="s">
        <v>2826</v>
      </c>
      <c r="O53" s="36" t="s">
        <v>3220</v>
      </c>
      <c r="P53" s="28" t="s">
        <v>2826</v>
      </c>
    </row>
    <row r="54" spans="1:16" x14ac:dyDescent="0.3">
      <c r="A54" s="25" t="s">
        <v>3221</v>
      </c>
      <c r="B54" s="26">
        <v>46093</v>
      </c>
      <c r="C54" s="26">
        <v>46098</v>
      </c>
      <c r="D54" s="25">
        <v>3319</v>
      </c>
      <c r="E54" s="25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19296416</v>
      </c>
      <c r="K54" t="s">
        <v>2198</v>
      </c>
      <c r="L54" t="s">
        <v>2206</v>
      </c>
      <c r="M54" s="39">
        <v>299900</v>
      </c>
      <c r="N54" s="29" t="s">
        <v>2826</v>
      </c>
      <c r="O54" s="36" t="s">
        <v>3220</v>
      </c>
      <c r="P54" s="28" t="s">
        <v>2826</v>
      </c>
    </row>
    <row r="55" spans="1:16" x14ac:dyDescent="0.3">
      <c r="A55" s="25" t="s">
        <v>3221</v>
      </c>
      <c r="B55" s="26">
        <v>46093</v>
      </c>
      <c r="C55" s="26">
        <v>46098</v>
      </c>
      <c r="D55" s="25">
        <v>3319</v>
      </c>
      <c r="E55" s="25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19296425</v>
      </c>
      <c r="K55" t="s">
        <v>2198</v>
      </c>
      <c r="L55" t="s">
        <v>2207</v>
      </c>
      <c r="M55" s="39">
        <v>299900</v>
      </c>
      <c r="N55" s="29" t="s">
        <v>2826</v>
      </c>
      <c r="O55" s="36" t="s">
        <v>3220</v>
      </c>
      <c r="P55" s="28" t="s">
        <v>2826</v>
      </c>
    </row>
    <row r="56" spans="1:16" x14ac:dyDescent="0.3">
      <c r="A56" s="25" t="s">
        <v>3221</v>
      </c>
      <c r="B56" s="26">
        <v>46093</v>
      </c>
      <c r="C56" s="26">
        <v>46098</v>
      </c>
      <c r="D56" s="25">
        <v>3319</v>
      </c>
      <c r="E56" s="25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19296434</v>
      </c>
      <c r="K56" t="s">
        <v>2198</v>
      </c>
      <c r="L56" t="s">
        <v>2208</v>
      </c>
      <c r="M56" s="39">
        <v>299900</v>
      </c>
      <c r="N56" s="29" t="s">
        <v>2826</v>
      </c>
      <c r="O56" s="36" t="s">
        <v>3220</v>
      </c>
      <c r="P56" s="28" t="s">
        <v>2826</v>
      </c>
    </row>
    <row r="57" spans="1:16" x14ac:dyDescent="0.3">
      <c r="A57" s="25" t="s">
        <v>3221</v>
      </c>
      <c r="B57" s="26">
        <v>46093</v>
      </c>
      <c r="C57" s="26">
        <v>46098</v>
      </c>
      <c r="D57" s="25">
        <v>3319</v>
      </c>
      <c r="E57" s="25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66651407</v>
      </c>
      <c r="K57" t="s">
        <v>18</v>
      </c>
      <c r="L57" t="s">
        <v>1807</v>
      </c>
      <c r="M57" s="39">
        <v>259900</v>
      </c>
      <c r="N57" s="29" t="s">
        <v>2826</v>
      </c>
      <c r="O57" s="36" t="s">
        <v>3220</v>
      </c>
      <c r="P57" s="28" t="s">
        <v>2826</v>
      </c>
    </row>
    <row r="58" spans="1:16" x14ac:dyDescent="0.3">
      <c r="A58" s="25" t="s">
        <v>3221</v>
      </c>
      <c r="B58" s="26">
        <v>46093</v>
      </c>
      <c r="C58" s="26">
        <v>46098</v>
      </c>
      <c r="D58" s="25">
        <v>3319</v>
      </c>
      <c r="E58" s="25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66651434</v>
      </c>
      <c r="K58" t="s">
        <v>18</v>
      </c>
      <c r="L58" t="s">
        <v>1808</v>
      </c>
      <c r="M58" s="39">
        <v>259900</v>
      </c>
      <c r="N58" s="29" t="s">
        <v>2826</v>
      </c>
      <c r="O58" s="36" t="s">
        <v>3220</v>
      </c>
      <c r="P58" s="28" t="s">
        <v>2826</v>
      </c>
    </row>
    <row r="59" spans="1:16" x14ac:dyDescent="0.3">
      <c r="A59" s="25" t="s">
        <v>3221</v>
      </c>
      <c r="B59" s="26">
        <v>46093</v>
      </c>
      <c r="C59" s="26">
        <v>46098</v>
      </c>
      <c r="D59" s="25">
        <v>3319</v>
      </c>
      <c r="E59" s="25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66651416</v>
      </c>
      <c r="K59" t="s">
        <v>18</v>
      </c>
      <c r="L59" t="s">
        <v>1809</v>
      </c>
      <c r="M59" s="39">
        <v>259900</v>
      </c>
      <c r="N59" s="29" t="s">
        <v>2826</v>
      </c>
      <c r="O59" s="36" t="s">
        <v>3220</v>
      </c>
      <c r="P59" s="28" t="s">
        <v>2826</v>
      </c>
    </row>
    <row r="60" spans="1:16" x14ac:dyDescent="0.3">
      <c r="A60" s="25" t="s">
        <v>3221</v>
      </c>
      <c r="B60" s="26">
        <v>46093</v>
      </c>
      <c r="C60" s="26">
        <v>46098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66651390</v>
      </c>
      <c r="K60" t="s">
        <v>18</v>
      </c>
      <c r="L60" t="s">
        <v>1810</v>
      </c>
      <c r="M60" s="39">
        <v>259900</v>
      </c>
      <c r="N60" s="29" t="s">
        <v>2826</v>
      </c>
      <c r="O60" s="36" t="s">
        <v>3220</v>
      </c>
      <c r="P60" s="28" t="s">
        <v>2826</v>
      </c>
    </row>
    <row r="61" spans="1:16" x14ac:dyDescent="0.3">
      <c r="A61" s="25" t="s">
        <v>3221</v>
      </c>
      <c r="B61" s="26">
        <v>46093</v>
      </c>
      <c r="C61" s="26">
        <v>46098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13838896</v>
      </c>
      <c r="K61" t="s">
        <v>18</v>
      </c>
      <c r="L61" t="s">
        <v>1811</v>
      </c>
      <c r="M61" s="39">
        <v>259900</v>
      </c>
      <c r="N61" s="29" t="s">
        <v>2826</v>
      </c>
      <c r="O61" s="36" t="s">
        <v>3220</v>
      </c>
      <c r="P61" s="28" t="s">
        <v>2826</v>
      </c>
    </row>
    <row r="62" spans="1:16" x14ac:dyDescent="0.3">
      <c r="A62" s="25" t="s">
        <v>3221</v>
      </c>
      <c r="B62" s="26">
        <v>46093</v>
      </c>
      <c r="C62" s="26">
        <v>46098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13838903</v>
      </c>
      <c r="K62" t="s">
        <v>18</v>
      </c>
      <c r="L62" t="s">
        <v>1812</v>
      </c>
      <c r="M62" s="39">
        <v>259900</v>
      </c>
      <c r="N62" s="29" t="s">
        <v>2826</v>
      </c>
      <c r="O62" s="36" t="s">
        <v>3220</v>
      </c>
      <c r="P62" s="28" t="s">
        <v>2826</v>
      </c>
    </row>
    <row r="63" spans="1:16" x14ac:dyDescent="0.3">
      <c r="A63" s="25" t="s">
        <v>3221</v>
      </c>
      <c r="B63" s="26">
        <v>46093</v>
      </c>
      <c r="C63" s="26">
        <v>46098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13838912</v>
      </c>
      <c r="K63" t="s">
        <v>18</v>
      </c>
      <c r="L63" t="s">
        <v>1813</v>
      </c>
      <c r="M63" s="39">
        <v>259900</v>
      </c>
      <c r="N63" s="29" t="s">
        <v>2826</v>
      </c>
      <c r="O63" s="36" t="s">
        <v>3220</v>
      </c>
      <c r="P63" s="28" t="s">
        <v>2826</v>
      </c>
    </row>
    <row r="64" spans="1:16" x14ac:dyDescent="0.3">
      <c r="A64" s="25" t="s">
        <v>3221</v>
      </c>
      <c r="B64" s="26">
        <v>46093</v>
      </c>
      <c r="C64" s="26">
        <v>46098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13838921</v>
      </c>
      <c r="K64" t="s">
        <v>18</v>
      </c>
      <c r="L64" t="s">
        <v>1814</v>
      </c>
      <c r="M64" s="39">
        <v>259900</v>
      </c>
      <c r="N64" s="29" t="s">
        <v>2826</v>
      </c>
      <c r="O64" s="36" t="s">
        <v>3220</v>
      </c>
      <c r="P64" s="28" t="s">
        <v>2826</v>
      </c>
    </row>
    <row r="65" spans="1:16" x14ac:dyDescent="0.3">
      <c r="A65" s="25" t="s">
        <v>3221</v>
      </c>
      <c r="B65" s="26">
        <v>46093</v>
      </c>
      <c r="C65" s="26">
        <v>46098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13838930</v>
      </c>
      <c r="K65" t="s">
        <v>18</v>
      </c>
      <c r="L65" t="s">
        <v>1815</v>
      </c>
      <c r="M65" s="39">
        <v>259900</v>
      </c>
      <c r="N65" s="29" t="s">
        <v>2826</v>
      </c>
      <c r="O65" s="36" t="s">
        <v>3220</v>
      </c>
      <c r="P65" s="28" t="s">
        <v>2826</v>
      </c>
    </row>
    <row r="66" spans="1:16" x14ac:dyDescent="0.3">
      <c r="A66" s="25" t="s">
        <v>3221</v>
      </c>
      <c r="B66" s="26">
        <v>46093</v>
      </c>
      <c r="C66" s="26">
        <v>46098</v>
      </c>
      <c r="D66" s="27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66651425</v>
      </c>
      <c r="K66" s="38" t="s">
        <v>18</v>
      </c>
      <c r="L66" t="s">
        <v>1844</v>
      </c>
      <c r="M66" s="39">
        <v>259900</v>
      </c>
      <c r="N66" s="29" t="s">
        <v>2826</v>
      </c>
      <c r="O66" s="36" t="s">
        <v>3220</v>
      </c>
      <c r="P66" s="28" t="s">
        <v>2826</v>
      </c>
    </row>
    <row r="67" spans="1:16" x14ac:dyDescent="0.3">
      <c r="A67" s="25" t="s">
        <v>3221</v>
      </c>
      <c r="B67" s="26">
        <v>46093</v>
      </c>
      <c r="C67" s="26">
        <v>46098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15806265</v>
      </c>
      <c r="K67" t="s">
        <v>2052</v>
      </c>
      <c r="L67" t="s">
        <v>2053</v>
      </c>
      <c r="M67" s="39">
        <v>259900</v>
      </c>
      <c r="N67" s="29" t="s">
        <v>2826</v>
      </c>
      <c r="O67" s="36" t="s">
        <v>3220</v>
      </c>
      <c r="P67" s="28" t="s">
        <v>2826</v>
      </c>
    </row>
    <row r="68" spans="1:16" x14ac:dyDescent="0.3">
      <c r="A68" s="25" t="s">
        <v>3221</v>
      </c>
      <c r="B68" s="26">
        <v>46093</v>
      </c>
      <c r="C68" s="26">
        <v>46098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15806274</v>
      </c>
      <c r="K68" t="s">
        <v>2052</v>
      </c>
      <c r="L68" t="s">
        <v>2054</v>
      </c>
      <c r="M68" s="39">
        <v>259900</v>
      </c>
      <c r="N68" s="29" t="s">
        <v>2826</v>
      </c>
      <c r="O68" s="36" t="s">
        <v>3220</v>
      </c>
      <c r="P68" s="28" t="s">
        <v>2826</v>
      </c>
    </row>
    <row r="69" spans="1:16" x14ac:dyDescent="0.3">
      <c r="A69" s="25" t="s">
        <v>3221</v>
      </c>
      <c r="B69" s="26">
        <v>46093</v>
      </c>
      <c r="C69" s="26">
        <v>46098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15806283</v>
      </c>
      <c r="K69" t="s">
        <v>2052</v>
      </c>
      <c r="L69" t="s">
        <v>2055</v>
      </c>
      <c r="M69" s="39">
        <v>259900</v>
      </c>
      <c r="N69" s="29" t="s">
        <v>2826</v>
      </c>
      <c r="O69" s="36" t="s">
        <v>3220</v>
      </c>
      <c r="P69" s="28" t="s">
        <v>2826</v>
      </c>
    </row>
    <row r="70" spans="1:16" x14ac:dyDescent="0.3">
      <c r="A70" s="25" t="s">
        <v>3221</v>
      </c>
      <c r="B70" s="26">
        <v>46093</v>
      </c>
      <c r="C70" s="26">
        <v>46098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15806292</v>
      </c>
      <c r="K70" t="s">
        <v>2052</v>
      </c>
      <c r="L70" t="s">
        <v>2056</v>
      </c>
      <c r="M70" s="39">
        <v>259900</v>
      </c>
      <c r="N70" s="29" t="s">
        <v>2826</v>
      </c>
      <c r="O70" s="36" t="s">
        <v>3220</v>
      </c>
      <c r="P70" s="28" t="s">
        <v>2826</v>
      </c>
    </row>
    <row r="71" spans="1:16" x14ac:dyDescent="0.3">
      <c r="A71" s="25" t="s">
        <v>3221</v>
      </c>
      <c r="B71" s="26">
        <v>46093</v>
      </c>
      <c r="C71" s="26">
        <v>46098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15806309</v>
      </c>
      <c r="K71" t="s">
        <v>2052</v>
      </c>
      <c r="L71" t="s">
        <v>2057</v>
      </c>
      <c r="M71" s="39">
        <v>259900</v>
      </c>
      <c r="N71" s="29" t="s">
        <v>2826</v>
      </c>
      <c r="O71" s="36" t="s">
        <v>3220</v>
      </c>
      <c r="P71" s="28" t="s">
        <v>2826</v>
      </c>
    </row>
    <row r="72" spans="1:16" x14ac:dyDescent="0.3">
      <c r="A72" s="25" t="s">
        <v>3221</v>
      </c>
      <c r="B72" s="26">
        <v>46093</v>
      </c>
      <c r="C72" s="26">
        <v>46098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19296461</v>
      </c>
      <c r="K72" t="s">
        <v>2241</v>
      </c>
      <c r="L72" t="s">
        <v>2242</v>
      </c>
      <c r="M72" s="39">
        <v>299900</v>
      </c>
      <c r="N72" s="29" t="s">
        <v>2826</v>
      </c>
      <c r="O72" s="36" t="s">
        <v>3220</v>
      </c>
      <c r="P72" s="28" t="s">
        <v>2826</v>
      </c>
    </row>
    <row r="73" spans="1:16" x14ac:dyDescent="0.3">
      <c r="A73" s="25" t="s">
        <v>3221</v>
      </c>
      <c r="B73" s="26">
        <v>46093</v>
      </c>
      <c r="C73" s="26">
        <v>46098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19296443</v>
      </c>
      <c r="K73" t="s">
        <v>2241</v>
      </c>
      <c r="L73" t="s">
        <v>2243</v>
      </c>
      <c r="M73" s="39">
        <v>299900</v>
      </c>
      <c r="N73" s="29" t="s">
        <v>2826</v>
      </c>
      <c r="O73" s="36" t="s">
        <v>3220</v>
      </c>
      <c r="P73" s="28" t="s">
        <v>2826</v>
      </c>
    </row>
    <row r="74" spans="1:16" x14ac:dyDescent="0.3">
      <c r="A74" s="25" t="s">
        <v>3221</v>
      </c>
      <c r="B74" s="26">
        <v>46093</v>
      </c>
      <c r="C74" s="26">
        <v>46098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19296532</v>
      </c>
      <c r="K74" t="s">
        <v>2241</v>
      </c>
      <c r="L74" t="s">
        <v>2244</v>
      </c>
      <c r="M74" s="39">
        <v>299900</v>
      </c>
      <c r="N74" s="29" t="s">
        <v>2826</v>
      </c>
      <c r="O74" s="36" t="s">
        <v>3220</v>
      </c>
      <c r="P74" s="28" t="s">
        <v>2826</v>
      </c>
    </row>
    <row r="75" spans="1:16" x14ac:dyDescent="0.3">
      <c r="A75" s="25" t="s">
        <v>3221</v>
      </c>
      <c r="B75" s="26">
        <v>46093</v>
      </c>
      <c r="C75" s="26">
        <v>46098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19296541</v>
      </c>
      <c r="K75" t="s">
        <v>2241</v>
      </c>
      <c r="L75" t="s">
        <v>2245</v>
      </c>
      <c r="M75" s="39">
        <v>299900</v>
      </c>
      <c r="N75" s="29" t="s">
        <v>2826</v>
      </c>
      <c r="O75" s="36" t="s">
        <v>3220</v>
      </c>
      <c r="P75" s="28" t="s">
        <v>2826</v>
      </c>
    </row>
    <row r="76" spans="1:16" x14ac:dyDescent="0.3">
      <c r="A76" s="25" t="s">
        <v>3221</v>
      </c>
      <c r="B76" s="26">
        <v>46093</v>
      </c>
      <c r="C76" s="26">
        <v>46098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19296569</v>
      </c>
      <c r="K76" t="s">
        <v>2241</v>
      </c>
      <c r="L76" t="s">
        <v>2246</v>
      </c>
      <c r="M76" s="39">
        <v>299900</v>
      </c>
      <c r="N76" s="29" t="s">
        <v>2826</v>
      </c>
      <c r="O76" s="36" t="s">
        <v>3220</v>
      </c>
      <c r="P76" s="28" t="s">
        <v>2826</v>
      </c>
    </row>
    <row r="77" spans="1:16" x14ac:dyDescent="0.3">
      <c r="A77" s="25" t="s">
        <v>3221</v>
      </c>
      <c r="B77" s="26">
        <v>46093</v>
      </c>
      <c r="C77" s="26">
        <v>46098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19296587</v>
      </c>
      <c r="K77" t="s">
        <v>2241</v>
      </c>
      <c r="L77" t="s">
        <v>2247</v>
      </c>
      <c r="M77" s="39">
        <v>299900</v>
      </c>
      <c r="N77" s="29" t="s">
        <v>2826</v>
      </c>
      <c r="O77" s="36" t="s">
        <v>3220</v>
      </c>
      <c r="P77" s="28" t="s">
        <v>2826</v>
      </c>
    </row>
    <row r="78" spans="1:16" x14ac:dyDescent="0.3">
      <c r="A78" s="25" t="s">
        <v>3221</v>
      </c>
      <c r="B78" s="26">
        <v>46093</v>
      </c>
      <c r="C78" s="26">
        <v>46098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19296596</v>
      </c>
      <c r="K78" t="s">
        <v>2241</v>
      </c>
      <c r="L78" t="s">
        <v>2248</v>
      </c>
      <c r="M78" s="39">
        <v>299900</v>
      </c>
      <c r="N78" s="29" t="s">
        <v>2826</v>
      </c>
      <c r="O78" s="36" t="s">
        <v>3220</v>
      </c>
      <c r="P78" s="28" t="s">
        <v>2826</v>
      </c>
    </row>
    <row r="79" spans="1:16" x14ac:dyDescent="0.3">
      <c r="A79" s="25" t="s">
        <v>3221</v>
      </c>
      <c r="B79" s="26">
        <v>46093</v>
      </c>
      <c r="C79" s="26">
        <v>46098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19296603</v>
      </c>
      <c r="K79" t="s">
        <v>2241</v>
      </c>
      <c r="L79" t="s">
        <v>2249</v>
      </c>
      <c r="M79" s="39">
        <v>299900</v>
      </c>
      <c r="N79" s="29" t="s">
        <v>2826</v>
      </c>
      <c r="O79" s="36" t="s">
        <v>3220</v>
      </c>
      <c r="P79" s="28" t="s">
        <v>2826</v>
      </c>
    </row>
    <row r="80" spans="1:16" x14ac:dyDescent="0.3">
      <c r="A80" s="25" t="s">
        <v>3221</v>
      </c>
      <c r="B80" s="26">
        <v>46093</v>
      </c>
      <c r="C80" s="26">
        <v>46098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19296612</v>
      </c>
      <c r="K80" t="s">
        <v>2241</v>
      </c>
      <c r="L80" t="s">
        <v>2250</v>
      </c>
      <c r="M80" s="39">
        <v>299900</v>
      </c>
      <c r="N80" s="29" t="s">
        <v>2826</v>
      </c>
      <c r="O80" s="36" t="s">
        <v>3220</v>
      </c>
      <c r="P80" s="28" t="s">
        <v>2826</v>
      </c>
    </row>
    <row r="81" spans="1:16" x14ac:dyDescent="0.3">
      <c r="A81" s="25" t="s">
        <v>3221</v>
      </c>
      <c r="B81" s="26">
        <v>46093</v>
      </c>
      <c r="C81" s="26">
        <v>46098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19296621</v>
      </c>
      <c r="K81" t="s">
        <v>2241</v>
      </c>
      <c r="L81" t="s">
        <v>2251</v>
      </c>
      <c r="M81" s="39">
        <v>299900</v>
      </c>
      <c r="N81" s="29" t="s">
        <v>2826</v>
      </c>
      <c r="O81" s="36" t="s">
        <v>3220</v>
      </c>
      <c r="P81" s="28" t="s">
        <v>2826</v>
      </c>
    </row>
    <row r="82" spans="1:16" x14ac:dyDescent="0.3">
      <c r="A82" s="25" t="s">
        <v>3221</v>
      </c>
      <c r="B82" s="26">
        <v>46093</v>
      </c>
      <c r="C82" s="26">
        <v>46098</v>
      </c>
      <c r="D82" s="25">
        <v>3319</v>
      </c>
      <c r="E82" s="25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13838083</v>
      </c>
      <c r="K82" t="s">
        <v>1827</v>
      </c>
      <c r="L82" t="s">
        <v>1828</v>
      </c>
      <c r="M82" s="39">
        <v>279900</v>
      </c>
      <c r="N82" s="29" t="s">
        <v>2826</v>
      </c>
      <c r="O82" s="36" t="s">
        <v>3220</v>
      </c>
      <c r="P82" s="28" t="s">
        <v>2826</v>
      </c>
    </row>
    <row r="83" spans="1:16" x14ac:dyDescent="0.3">
      <c r="A83" s="25" t="s">
        <v>3221</v>
      </c>
      <c r="B83" s="26">
        <v>46093</v>
      </c>
      <c r="C83" s="26">
        <v>46098</v>
      </c>
      <c r="D83" s="25">
        <v>3319</v>
      </c>
      <c r="E83" s="25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13838092</v>
      </c>
      <c r="K83" t="s">
        <v>1827</v>
      </c>
      <c r="L83" t="s">
        <v>1829</v>
      </c>
      <c r="M83" s="39">
        <v>279900</v>
      </c>
      <c r="N83" s="29" t="s">
        <v>2826</v>
      </c>
      <c r="O83" s="36" t="s">
        <v>3220</v>
      </c>
      <c r="P83" s="28" t="s">
        <v>2826</v>
      </c>
    </row>
    <row r="84" spans="1:16" x14ac:dyDescent="0.3">
      <c r="A84" s="25" t="s">
        <v>3221</v>
      </c>
      <c r="B84" s="26">
        <v>46093</v>
      </c>
      <c r="C84" s="26">
        <v>46098</v>
      </c>
      <c r="D84" s="25">
        <v>3319</v>
      </c>
      <c r="E84" s="25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13838109</v>
      </c>
      <c r="K84" t="s">
        <v>1827</v>
      </c>
      <c r="L84" t="s">
        <v>1830</v>
      </c>
      <c r="M84" s="39">
        <v>279900</v>
      </c>
      <c r="N84" s="29" t="s">
        <v>2826</v>
      </c>
      <c r="O84" s="36" t="s">
        <v>3220</v>
      </c>
      <c r="P84" s="28" t="s">
        <v>2826</v>
      </c>
    </row>
    <row r="85" spans="1:16" x14ac:dyDescent="0.3">
      <c r="A85" s="25" t="s">
        <v>3221</v>
      </c>
      <c r="B85" s="26">
        <v>46093</v>
      </c>
      <c r="C85" s="26">
        <v>46098</v>
      </c>
      <c r="D85" s="25">
        <v>3319</v>
      </c>
      <c r="E85" s="25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13838118</v>
      </c>
      <c r="K85" t="s">
        <v>1827</v>
      </c>
      <c r="L85" t="s">
        <v>1831</v>
      </c>
      <c r="M85" s="39">
        <v>279900</v>
      </c>
      <c r="N85" s="29" t="s">
        <v>2826</v>
      </c>
      <c r="O85" s="36" t="s">
        <v>3220</v>
      </c>
      <c r="P85" s="28" t="s">
        <v>2826</v>
      </c>
    </row>
    <row r="86" spans="1:16" x14ac:dyDescent="0.3">
      <c r="A86" s="25" t="s">
        <v>3221</v>
      </c>
      <c r="B86" s="26">
        <v>46093</v>
      </c>
      <c r="C86" s="26">
        <v>46098</v>
      </c>
      <c r="D86" s="25">
        <v>3319</v>
      </c>
      <c r="E86" s="25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13838127</v>
      </c>
      <c r="K86" t="s">
        <v>1827</v>
      </c>
      <c r="L86" t="s">
        <v>1832</v>
      </c>
      <c r="M86" s="39">
        <v>279900</v>
      </c>
      <c r="N86" s="29" t="s">
        <v>2826</v>
      </c>
      <c r="O86" s="36" t="s">
        <v>3220</v>
      </c>
      <c r="P86" s="28" t="s">
        <v>2826</v>
      </c>
    </row>
    <row r="87" spans="1:16" x14ac:dyDescent="0.3">
      <c r="A87" s="25" t="s">
        <v>3221</v>
      </c>
      <c r="B87" s="26">
        <v>46093</v>
      </c>
      <c r="C87" s="26">
        <v>46098</v>
      </c>
      <c r="D87" s="25">
        <v>3319</v>
      </c>
      <c r="E87" s="25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13838136</v>
      </c>
      <c r="K87" t="s">
        <v>1827</v>
      </c>
      <c r="L87" t="s">
        <v>1833</v>
      </c>
      <c r="M87" s="39">
        <v>279900</v>
      </c>
      <c r="N87" s="29" t="s">
        <v>2826</v>
      </c>
      <c r="O87" s="36" t="s">
        <v>3220</v>
      </c>
      <c r="P87" s="28" t="s">
        <v>2826</v>
      </c>
    </row>
    <row r="88" spans="1:16" x14ac:dyDescent="0.3">
      <c r="A88" s="25" t="s">
        <v>3221</v>
      </c>
      <c r="B88" s="26">
        <v>46093</v>
      </c>
      <c r="C88" s="26">
        <v>46098</v>
      </c>
      <c r="D88" s="25">
        <v>3319</v>
      </c>
      <c r="E88" s="25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13838145</v>
      </c>
      <c r="K88" t="s">
        <v>1827</v>
      </c>
      <c r="L88" t="s">
        <v>1834</v>
      </c>
      <c r="M88" s="39">
        <v>279900</v>
      </c>
      <c r="N88" s="29" t="s">
        <v>2826</v>
      </c>
      <c r="O88" s="36" t="s">
        <v>3220</v>
      </c>
      <c r="P88" s="28" t="s">
        <v>2826</v>
      </c>
    </row>
    <row r="89" spans="1:16" x14ac:dyDescent="0.3">
      <c r="A89" s="25" t="s">
        <v>3221</v>
      </c>
      <c r="B89" s="26">
        <v>46093</v>
      </c>
      <c r="C89" s="26">
        <v>46098</v>
      </c>
      <c r="D89" s="25">
        <v>3319</v>
      </c>
      <c r="E89" s="25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13838154</v>
      </c>
      <c r="K89" t="s">
        <v>1827</v>
      </c>
      <c r="L89" t="s">
        <v>1835</v>
      </c>
      <c r="M89" s="39">
        <v>279900</v>
      </c>
      <c r="N89" s="29" t="s">
        <v>2826</v>
      </c>
      <c r="O89" s="36" t="s">
        <v>3220</v>
      </c>
      <c r="P89" s="28" t="s">
        <v>2826</v>
      </c>
    </row>
    <row r="90" spans="1:16" x14ac:dyDescent="0.3">
      <c r="A90" s="25" t="s">
        <v>3221</v>
      </c>
      <c r="B90" s="26">
        <v>46093</v>
      </c>
      <c r="C90" s="26">
        <v>46098</v>
      </c>
      <c r="D90" s="25">
        <v>3319</v>
      </c>
      <c r="E90" s="25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13838163</v>
      </c>
      <c r="K90" t="s">
        <v>1827</v>
      </c>
      <c r="L90" t="s">
        <v>1836</v>
      </c>
      <c r="M90" s="39">
        <v>279900</v>
      </c>
      <c r="N90" s="29" t="s">
        <v>2826</v>
      </c>
      <c r="O90" s="36" t="s">
        <v>3220</v>
      </c>
      <c r="P90" s="28" t="s">
        <v>2826</v>
      </c>
    </row>
    <row r="91" spans="1:16" x14ac:dyDescent="0.3">
      <c r="A91" s="25" t="s">
        <v>3221</v>
      </c>
      <c r="B91" s="26">
        <v>46093</v>
      </c>
      <c r="C91" s="26">
        <v>46098</v>
      </c>
      <c r="D91" s="25">
        <v>3319</v>
      </c>
      <c r="E91" s="25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13838172</v>
      </c>
      <c r="K91" t="s">
        <v>1827</v>
      </c>
      <c r="L91" t="s">
        <v>1837</v>
      </c>
      <c r="M91" s="39">
        <v>279900</v>
      </c>
      <c r="N91" s="29" t="s">
        <v>2826</v>
      </c>
      <c r="O91" s="36" t="s">
        <v>3220</v>
      </c>
      <c r="P91" s="28" t="s">
        <v>2826</v>
      </c>
    </row>
    <row r="92" spans="1:16" x14ac:dyDescent="0.3">
      <c r="A92" s="25" t="s">
        <v>3221</v>
      </c>
      <c r="B92" s="26">
        <v>46093</v>
      </c>
      <c r="C92" s="26">
        <v>46098</v>
      </c>
      <c r="D92" s="25">
        <v>3319</v>
      </c>
      <c r="E92" s="25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22407343</v>
      </c>
      <c r="K92" t="s">
        <v>2296</v>
      </c>
      <c r="L92" t="s">
        <v>2297</v>
      </c>
      <c r="M92" s="39">
        <v>279900</v>
      </c>
      <c r="N92" s="29" t="s">
        <v>2826</v>
      </c>
      <c r="O92" s="36" t="s">
        <v>3220</v>
      </c>
      <c r="P92" s="28" t="s">
        <v>2826</v>
      </c>
    </row>
    <row r="93" spans="1:16" x14ac:dyDescent="0.3">
      <c r="A93" s="25" t="s">
        <v>3221</v>
      </c>
      <c r="B93" s="26">
        <v>46093</v>
      </c>
      <c r="C93" s="26">
        <v>46098</v>
      </c>
      <c r="D93" s="25">
        <v>3319</v>
      </c>
      <c r="E93" s="25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22407352</v>
      </c>
      <c r="K93" t="s">
        <v>2296</v>
      </c>
      <c r="L93" t="s">
        <v>2298</v>
      </c>
      <c r="M93" s="39">
        <v>279900</v>
      </c>
      <c r="N93" s="29" t="s">
        <v>2826</v>
      </c>
      <c r="O93" s="36" t="s">
        <v>3220</v>
      </c>
      <c r="P93" s="28" t="s">
        <v>2826</v>
      </c>
    </row>
    <row r="94" spans="1:16" x14ac:dyDescent="0.3">
      <c r="A94" s="25" t="s">
        <v>3221</v>
      </c>
      <c r="B94" s="26">
        <v>46093</v>
      </c>
      <c r="C94" s="26">
        <v>46098</v>
      </c>
      <c r="D94" s="25">
        <v>3319</v>
      </c>
      <c r="E94" s="25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22407361</v>
      </c>
      <c r="K94" t="s">
        <v>2296</v>
      </c>
      <c r="L94" t="s">
        <v>2299</v>
      </c>
      <c r="M94" s="39">
        <v>279900</v>
      </c>
      <c r="N94" s="29" t="s">
        <v>2826</v>
      </c>
      <c r="O94" s="36" t="s">
        <v>3220</v>
      </c>
      <c r="P94" s="28" t="s">
        <v>2826</v>
      </c>
    </row>
    <row r="95" spans="1:16" x14ac:dyDescent="0.3">
      <c r="A95" s="25" t="s">
        <v>3221</v>
      </c>
      <c r="B95" s="26">
        <v>46093</v>
      </c>
      <c r="C95" s="26">
        <v>46098</v>
      </c>
      <c r="D95" s="25">
        <v>3319</v>
      </c>
      <c r="E95" s="25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22407370</v>
      </c>
      <c r="K95" t="s">
        <v>2296</v>
      </c>
      <c r="L95" t="s">
        <v>2300</v>
      </c>
      <c r="M95" s="39">
        <v>279900</v>
      </c>
      <c r="N95" s="29" t="s">
        <v>2826</v>
      </c>
      <c r="O95" s="36" t="s">
        <v>3220</v>
      </c>
      <c r="P95" s="28" t="s">
        <v>2826</v>
      </c>
    </row>
    <row r="96" spans="1:16" x14ac:dyDescent="0.3">
      <c r="A96" s="25" t="s">
        <v>3221</v>
      </c>
      <c r="B96" s="26">
        <v>46093</v>
      </c>
      <c r="C96" s="26">
        <v>46098</v>
      </c>
      <c r="D96" s="25">
        <v>3319</v>
      </c>
      <c r="E96" s="25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22407683</v>
      </c>
      <c r="K96" t="s">
        <v>2296</v>
      </c>
      <c r="L96" t="s">
        <v>2301</v>
      </c>
      <c r="M96" s="39">
        <v>279900</v>
      </c>
      <c r="N96" s="29" t="s">
        <v>2826</v>
      </c>
      <c r="O96" s="36" t="s">
        <v>3220</v>
      </c>
      <c r="P96" s="28" t="s">
        <v>2826</v>
      </c>
    </row>
    <row r="97" spans="1:16" x14ac:dyDescent="0.3">
      <c r="A97" s="25" t="s">
        <v>3221</v>
      </c>
      <c r="B97" s="26">
        <v>46093</v>
      </c>
      <c r="C97" s="26">
        <v>46098</v>
      </c>
      <c r="D97" s="25">
        <v>3319</v>
      </c>
      <c r="E97" s="25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22407692</v>
      </c>
      <c r="K97" t="s">
        <v>2296</v>
      </c>
      <c r="L97" t="s">
        <v>2302</v>
      </c>
      <c r="M97" s="39">
        <v>279900</v>
      </c>
      <c r="N97" s="29" t="s">
        <v>2826</v>
      </c>
      <c r="O97" s="36" t="s">
        <v>3220</v>
      </c>
      <c r="P97" s="28" t="s">
        <v>2826</v>
      </c>
    </row>
    <row r="98" spans="1:16" x14ac:dyDescent="0.3">
      <c r="A98" s="25" t="s">
        <v>3221</v>
      </c>
      <c r="B98" s="26">
        <v>46093</v>
      </c>
      <c r="C98" s="26">
        <v>46098</v>
      </c>
      <c r="D98" s="25">
        <v>3319</v>
      </c>
      <c r="E98" s="25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22407709</v>
      </c>
      <c r="K98" t="s">
        <v>2296</v>
      </c>
      <c r="L98" t="s">
        <v>2303</v>
      </c>
      <c r="M98" s="39">
        <v>279900</v>
      </c>
      <c r="N98" s="29" t="s">
        <v>2826</v>
      </c>
      <c r="O98" s="36" t="s">
        <v>3220</v>
      </c>
      <c r="P98" s="28" t="s">
        <v>2826</v>
      </c>
    </row>
    <row r="99" spans="1:16" x14ac:dyDescent="0.3">
      <c r="A99" s="25" t="s">
        <v>3221</v>
      </c>
      <c r="B99" s="26">
        <v>46093</v>
      </c>
      <c r="C99" s="26">
        <v>46098</v>
      </c>
      <c r="D99" s="25">
        <v>3319</v>
      </c>
      <c r="E99" s="25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22407718</v>
      </c>
      <c r="K99" t="s">
        <v>2296</v>
      </c>
      <c r="L99" t="s">
        <v>2304</v>
      </c>
      <c r="M99" s="39">
        <v>279900</v>
      </c>
      <c r="N99" s="29" t="s">
        <v>2826</v>
      </c>
      <c r="O99" s="36" t="s">
        <v>3220</v>
      </c>
      <c r="P99" s="28" t="s">
        <v>2826</v>
      </c>
    </row>
    <row r="100" spans="1:16" x14ac:dyDescent="0.3">
      <c r="A100" s="25" t="s">
        <v>3221</v>
      </c>
      <c r="B100" s="26">
        <v>46093</v>
      </c>
      <c r="C100" s="26">
        <v>46098</v>
      </c>
      <c r="D100" s="25">
        <v>3319</v>
      </c>
      <c r="E100" s="25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22407727</v>
      </c>
      <c r="K100" t="s">
        <v>2296</v>
      </c>
      <c r="L100" t="s">
        <v>2305</v>
      </c>
      <c r="M100" s="39">
        <v>279900</v>
      </c>
      <c r="N100" s="29" t="s">
        <v>2826</v>
      </c>
      <c r="O100" s="36" t="s">
        <v>3220</v>
      </c>
      <c r="P100" s="28" t="s">
        <v>2826</v>
      </c>
    </row>
    <row r="101" spans="1:16" x14ac:dyDescent="0.3">
      <c r="A101" s="25" t="s">
        <v>3221</v>
      </c>
      <c r="B101" s="26">
        <v>46093</v>
      </c>
      <c r="C101" s="26">
        <v>46098</v>
      </c>
      <c r="D101" s="25">
        <v>3319</v>
      </c>
      <c r="E101" s="25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22407736</v>
      </c>
      <c r="K101" t="s">
        <v>2296</v>
      </c>
      <c r="L101" t="s">
        <v>2306</v>
      </c>
      <c r="M101" s="39">
        <v>279900</v>
      </c>
      <c r="N101" s="29" t="s">
        <v>2826</v>
      </c>
      <c r="O101" s="36" t="s">
        <v>3220</v>
      </c>
      <c r="P101" s="28" t="s">
        <v>2826</v>
      </c>
    </row>
    <row r="102" spans="1:16" x14ac:dyDescent="0.3">
      <c r="A102" s="25" t="s">
        <v>3221</v>
      </c>
      <c r="B102" s="26">
        <v>46093</v>
      </c>
      <c r="C102" s="26">
        <v>46098</v>
      </c>
      <c r="D102" s="25">
        <v>3319</v>
      </c>
      <c r="E102" s="25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24336112</v>
      </c>
      <c r="K102" s="28" t="s">
        <v>2527</v>
      </c>
      <c r="L102" t="s">
        <v>2528</v>
      </c>
      <c r="M102" s="39">
        <v>279900</v>
      </c>
      <c r="N102" s="29" t="s">
        <v>2826</v>
      </c>
      <c r="O102" s="36" t="s">
        <v>3220</v>
      </c>
      <c r="P102" s="28" t="s">
        <v>2826</v>
      </c>
    </row>
    <row r="103" spans="1:16" x14ac:dyDescent="0.3">
      <c r="A103" s="25" t="s">
        <v>3221</v>
      </c>
      <c r="B103" s="26">
        <v>46093</v>
      </c>
      <c r="C103" s="26">
        <v>46098</v>
      </c>
      <c r="D103" s="25">
        <v>3319</v>
      </c>
      <c r="E103" s="25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24336130</v>
      </c>
      <c r="K103" s="28" t="s">
        <v>2527</v>
      </c>
      <c r="L103" t="s">
        <v>2529</v>
      </c>
      <c r="M103" s="39">
        <v>279900</v>
      </c>
      <c r="N103" s="29" t="s">
        <v>2826</v>
      </c>
      <c r="O103" s="36" t="s">
        <v>3220</v>
      </c>
      <c r="P103" s="28" t="s">
        <v>2826</v>
      </c>
    </row>
    <row r="104" spans="1:16" x14ac:dyDescent="0.3">
      <c r="A104" s="25" t="s">
        <v>3221</v>
      </c>
      <c r="B104" s="26">
        <v>46093</v>
      </c>
      <c r="C104" s="26">
        <v>46098</v>
      </c>
      <c r="D104" s="25">
        <v>3319</v>
      </c>
      <c r="E104" s="25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24336149</v>
      </c>
      <c r="K104" s="28" t="s">
        <v>2527</v>
      </c>
      <c r="L104" t="s">
        <v>2530</v>
      </c>
      <c r="M104" s="39">
        <v>279900</v>
      </c>
      <c r="N104" s="29" t="s">
        <v>2826</v>
      </c>
      <c r="O104" s="36" t="s">
        <v>3220</v>
      </c>
      <c r="P104" s="28" t="s">
        <v>2826</v>
      </c>
    </row>
    <row r="105" spans="1:16" x14ac:dyDescent="0.3">
      <c r="A105" s="25" t="s">
        <v>3221</v>
      </c>
      <c r="B105" s="26">
        <v>46093</v>
      </c>
      <c r="C105" s="26">
        <v>46098</v>
      </c>
      <c r="D105" s="25">
        <v>3319</v>
      </c>
      <c r="E105" s="25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24336158</v>
      </c>
      <c r="K105" s="28" t="s">
        <v>2527</v>
      </c>
      <c r="L105" t="s">
        <v>2531</v>
      </c>
      <c r="M105" s="39">
        <v>279900</v>
      </c>
      <c r="N105" s="29" t="s">
        <v>2826</v>
      </c>
      <c r="O105" s="36" t="s">
        <v>3220</v>
      </c>
      <c r="P105" s="28" t="s">
        <v>2826</v>
      </c>
    </row>
    <row r="106" spans="1:16" x14ac:dyDescent="0.3">
      <c r="A106" s="25" t="s">
        <v>3221</v>
      </c>
      <c r="B106" s="26">
        <v>46093</v>
      </c>
      <c r="C106" s="26">
        <v>46098</v>
      </c>
      <c r="D106" s="25">
        <v>3319</v>
      </c>
      <c r="E106" s="25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24336167</v>
      </c>
      <c r="K106" s="28" t="s">
        <v>2527</v>
      </c>
      <c r="L106" t="s">
        <v>2532</v>
      </c>
      <c r="M106" s="39">
        <v>279900</v>
      </c>
      <c r="N106" s="29" t="s">
        <v>2826</v>
      </c>
      <c r="O106" s="36" t="s">
        <v>3220</v>
      </c>
      <c r="P106" s="28" t="s">
        <v>2826</v>
      </c>
    </row>
    <row r="107" spans="1:16" x14ac:dyDescent="0.3">
      <c r="A107" s="25" t="s">
        <v>3221</v>
      </c>
      <c r="B107" s="26">
        <v>46093</v>
      </c>
      <c r="C107" s="26">
        <v>46098</v>
      </c>
      <c r="D107" s="25">
        <v>3319</v>
      </c>
      <c r="E107" s="25">
        <v>327</v>
      </c>
      <c r="F107" s="25">
        <v>2</v>
      </c>
      <c r="G107" s="28">
        <v>1</v>
      </c>
      <c r="H107" s="28">
        <v>81433</v>
      </c>
      <c r="I107" s="28" t="s">
        <v>17</v>
      </c>
      <c r="J107" s="28">
        <v>24336336</v>
      </c>
      <c r="K107" s="28" t="s">
        <v>2527</v>
      </c>
      <c r="L107" t="s">
        <v>2533</v>
      </c>
      <c r="M107" s="39">
        <v>279900</v>
      </c>
      <c r="N107" s="29" t="s">
        <v>2826</v>
      </c>
      <c r="O107" s="36" t="s">
        <v>3220</v>
      </c>
      <c r="P107" s="28" t="s">
        <v>2826</v>
      </c>
    </row>
    <row r="108" spans="1:16" x14ac:dyDescent="0.3">
      <c r="A108" s="25" t="s">
        <v>3221</v>
      </c>
      <c r="B108" s="26">
        <v>46093</v>
      </c>
      <c r="C108" s="26">
        <v>46098</v>
      </c>
      <c r="D108" s="25">
        <v>3319</v>
      </c>
      <c r="E108" s="25">
        <v>327</v>
      </c>
      <c r="F108" s="25">
        <v>2</v>
      </c>
      <c r="G108" s="28">
        <v>1</v>
      </c>
      <c r="H108" s="28">
        <v>81433</v>
      </c>
      <c r="I108" s="28" t="s">
        <v>17</v>
      </c>
      <c r="J108" s="28">
        <v>24336345</v>
      </c>
      <c r="K108" s="28" t="s">
        <v>2527</v>
      </c>
      <c r="L108" t="s">
        <v>2534</v>
      </c>
      <c r="M108" s="39">
        <v>279900</v>
      </c>
      <c r="N108" s="29" t="s">
        <v>2826</v>
      </c>
      <c r="O108" s="36" t="s">
        <v>3220</v>
      </c>
      <c r="P108" s="28" t="s">
        <v>2826</v>
      </c>
    </row>
    <row r="109" spans="1:16" x14ac:dyDescent="0.3">
      <c r="A109" s="25" t="s">
        <v>3221</v>
      </c>
      <c r="B109" s="26">
        <v>46093</v>
      </c>
      <c r="C109" s="26">
        <v>46098</v>
      </c>
      <c r="D109" s="25">
        <v>3319</v>
      </c>
      <c r="E109" s="25">
        <v>327</v>
      </c>
      <c r="F109" s="25">
        <v>2</v>
      </c>
      <c r="G109" s="28">
        <v>1</v>
      </c>
      <c r="H109" s="28">
        <v>81433</v>
      </c>
      <c r="I109" s="28" t="s">
        <v>17</v>
      </c>
      <c r="J109" s="28">
        <v>24336354</v>
      </c>
      <c r="K109" s="28" t="s">
        <v>2527</v>
      </c>
      <c r="L109" t="s">
        <v>2535</v>
      </c>
      <c r="M109" s="39">
        <v>279900</v>
      </c>
      <c r="N109" s="29" t="s">
        <v>2826</v>
      </c>
      <c r="O109" s="36" t="s">
        <v>3220</v>
      </c>
      <c r="P109" s="28" t="s">
        <v>2826</v>
      </c>
    </row>
    <row r="110" spans="1:16" x14ac:dyDescent="0.3">
      <c r="A110" s="25" t="s">
        <v>3221</v>
      </c>
      <c r="B110" s="26">
        <v>46093</v>
      </c>
      <c r="C110" s="26">
        <v>46098</v>
      </c>
      <c r="D110" s="25">
        <v>3319</v>
      </c>
      <c r="E110" s="25">
        <v>327</v>
      </c>
      <c r="F110" s="25">
        <v>2</v>
      </c>
      <c r="G110" s="28">
        <v>1</v>
      </c>
      <c r="H110" s="28">
        <v>81433</v>
      </c>
      <c r="I110" s="28" t="s">
        <v>17</v>
      </c>
      <c r="J110" s="28">
        <v>24336363</v>
      </c>
      <c r="K110" s="28" t="s">
        <v>2527</v>
      </c>
      <c r="L110" t="s">
        <v>2536</v>
      </c>
      <c r="M110" s="39">
        <v>279900</v>
      </c>
      <c r="N110" s="29" t="s">
        <v>2826</v>
      </c>
      <c r="O110" s="36" t="s">
        <v>3220</v>
      </c>
      <c r="P110" s="28" t="s">
        <v>2826</v>
      </c>
    </row>
    <row r="111" spans="1:16" x14ac:dyDescent="0.3">
      <c r="A111" s="25" t="s">
        <v>3221</v>
      </c>
      <c r="B111" s="26">
        <v>46093</v>
      </c>
      <c r="C111" s="26">
        <v>46098</v>
      </c>
      <c r="D111" s="25">
        <v>3319</v>
      </c>
      <c r="E111" s="25">
        <v>327</v>
      </c>
      <c r="F111" s="25">
        <v>2</v>
      </c>
      <c r="G111" s="28">
        <v>1</v>
      </c>
      <c r="H111" s="28">
        <v>81433</v>
      </c>
      <c r="I111" s="28" t="s">
        <v>17</v>
      </c>
      <c r="J111" s="28">
        <v>24336372</v>
      </c>
      <c r="K111" s="28" t="s">
        <v>2527</v>
      </c>
      <c r="L111" t="s">
        <v>2537</v>
      </c>
      <c r="M111" s="39">
        <v>279900</v>
      </c>
      <c r="N111" s="29" t="s">
        <v>2826</v>
      </c>
      <c r="O111" s="36" t="s">
        <v>3220</v>
      </c>
      <c r="P111" s="28" t="s">
        <v>2826</v>
      </c>
    </row>
    <row r="112" spans="1:16" x14ac:dyDescent="0.3">
      <c r="A112" s="25" t="s">
        <v>3221</v>
      </c>
      <c r="B112" s="26">
        <v>46093</v>
      </c>
      <c r="C112" s="26">
        <v>46098</v>
      </c>
      <c r="D112" s="25">
        <v>3319</v>
      </c>
      <c r="E112" s="25">
        <v>327</v>
      </c>
      <c r="F112" s="25">
        <v>2</v>
      </c>
      <c r="G112" s="28">
        <v>1</v>
      </c>
      <c r="H112" s="28">
        <v>81433</v>
      </c>
      <c r="I112" s="28" t="s">
        <v>17</v>
      </c>
      <c r="J112" s="28">
        <v>22153448</v>
      </c>
      <c r="K112" s="28" t="s">
        <v>2252</v>
      </c>
      <c r="L112" t="s">
        <v>2257</v>
      </c>
      <c r="M112" s="39">
        <v>279900</v>
      </c>
      <c r="N112" s="29" t="s">
        <v>2826</v>
      </c>
      <c r="O112" s="36" t="s">
        <v>3220</v>
      </c>
      <c r="P112" s="28" t="s">
        <v>2826</v>
      </c>
    </row>
    <row r="113" spans="1:16" x14ac:dyDescent="0.3">
      <c r="A113" s="25" t="s">
        <v>3221</v>
      </c>
      <c r="B113" s="26">
        <v>46093</v>
      </c>
      <c r="C113" s="26">
        <v>46098</v>
      </c>
      <c r="D113" s="25">
        <v>3319</v>
      </c>
      <c r="E113" s="25">
        <v>327</v>
      </c>
      <c r="F113" s="25">
        <v>2</v>
      </c>
      <c r="G113" s="28">
        <v>1</v>
      </c>
      <c r="H113" s="28">
        <v>81433</v>
      </c>
      <c r="I113" s="28" t="s">
        <v>17</v>
      </c>
      <c r="J113" s="28">
        <v>22153457</v>
      </c>
      <c r="K113" s="28" t="s">
        <v>2252</v>
      </c>
      <c r="L113" t="s">
        <v>2258</v>
      </c>
      <c r="M113" s="39">
        <v>279900</v>
      </c>
      <c r="N113" s="29" t="s">
        <v>2826</v>
      </c>
      <c r="O113" s="36" t="s">
        <v>3220</v>
      </c>
      <c r="P113" s="28" t="s">
        <v>2826</v>
      </c>
    </row>
    <row r="114" spans="1:16" x14ac:dyDescent="0.3">
      <c r="A114" s="25" t="s">
        <v>3221</v>
      </c>
      <c r="B114" s="26">
        <v>46093</v>
      </c>
      <c r="C114" s="26">
        <v>46098</v>
      </c>
      <c r="D114" s="25">
        <v>3319</v>
      </c>
      <c r="E114" s="25">
        <v>327</v>
      </c>
      <c r="F114" s="25">
        <v>2</v>
      </c>
      <c r="G114" s="28">
        <v>1</v>
      </c>
      <c r="H114" s="28">
        <v>81433</v>
      </c>
      <c r="I114" s="28" t="s">
        <v>17</v>
      </c>
      <c r="J114" s="28">
        <v>22153466</v>
      </c>
      <c r="K114" s="28" t="s">
        <v>2252</v>
      </c>
      <c r="L114" t="s">
        <v>2259</v>
      </c>
      <c r="M114" s="39">
        <v>279900</v>
      </c>
      <c r="N114" s="29" t="s">
        <v>2826</v>
      </c>
      <c r="O114" s="36" t="s">
        <v>3220</v>
      </c>
      <c r="P114" s="28" t="s">
        <v>2826</v>
      </c>
    </row>
    <row r="115" spans="1:16" x14ac:dyDescent="0.3">
      <c r="A115" s="25" t="s">
        <v>3221</v>
      </c>
      <c r="B115" s="26">
        <v>46093</v>
      </c>
      <c r="C115" s="26">
        <v>46098</v>
      </c>
      <c r="D115" s="25">
        <v>3319</v>
      </c>
      <c r="E115" s="25">
        <v>327</v>
      </c>
      <c r="F115" s="25">
        <v>2</v>
      </c>
      <c r="G115" s="28">
        <v>1</v>
      </c>
      <c r="H115" s="28">
        <v>81433</v>
      </c>
      <c r="I115" s="28" t="s">
        <v>17</v>
      </c>
      <c r="J115" s="28">
        <v>22153475</v>
      </c>
      <c r="K115" s="28" t="s">
        <v>2252</v>
      </c>
      <c r="L115" t="s">
        <v>2260</v>
      </c>
      <c r="M115" s="39">
        <v>279900</v>
      </c>
      <c r="N115" s="29" t="s">
        <v>2826</v>
      </c>
      <c r="O115" s="36" t="s">
        <v>3220</v>
      </c>
      <c r="P115" s="28" t="s">
        <v>2826</v>
      </c>
    </row>
    <row r="116" spans="1:16" x14ac:dyDescent="0.3">
      <c r="A116" s="25" t="s">
        <v>3221</v>
      </c>
      <c r="B116" s="26">
        <v>46093</v>
      </c>
      <c r="C116" s="26">
        <v>46098</v>
      </c>
      <c r="D116" s="25">
        <v>3319</v>
      </c>
      <c r="E116" s="25">
        <v>327</v>
      </c>
      <c r="F116" s="25">
        <v>2</v>
      </c>
      <c r="G116" s="28">
        <v>1</v>
      </c>
      <c r="H116" s="28">
        <v>81433</v>
      </c>
      <c r="I116" s="28" t="s">
        <v>17</v>
      </c>
      <c r="J116" s="28">
        <v>22153484</v>
      </c>
      <c r="K116" s="28" t="s">
        <v>2252</v>
      </c>
      <c r="L116" t="s">
        <v>2261</v>
      </c>
      <c r="M116" s="39">
        <v>279900</v>
      </c>
      <c r="N116" s="29" t="s">
        <v>2826</v>
      </c>
      <c r="O116" s="36" t="s">
        <v>3220</v>
      </c>
      <c r="P116" s="28" t="s">
        <v>2826</v>
      </c>
    </row>
    <row r="117" spans="1:16" x14ac:dyDescent="0.3">
      <c r="A117" s="25" t="s">
        <v>3221</v>
      </c>
      <c r="B117" s="26">
        <v>46093</v>
      </c>
      <c r="C117" s="26">
        <v>46098</v>
      </c>
      <c r="D117" s="25">
        <v>3319</v>
      </c>
      <c r="E117" s="25">
        <v>327</v>
      </c>
      <c r="F117" s="25">
        <v>2</v>
      </c>
      <c r="G117" s="28">
        <v>1</v>
      </c>
      <c r="H117" s="28">
        <v>81433</v>
      </c>
      <c r="I117" s="28" t="s">
        <v>17</v>
      </c>
      <c r="J117" s="28">
        <v>45335173</v>
      </c>
      <c r="K117" s="28" t="s">
        <v>2263</v>
      </c>
      <c r="L117" t="s">
        <v>2269</v>
      </c>
      <c r="M117" s="39">
        <v>279900</v>
      </c>
      <c r="N117" s="29" t="s">
        <v>2826</v>
      </c>
      <c r="O117" s="36" t="s">
        <v>3220</v>
      </c>
      <c r="P117" s="28" t="s">
        <v>2826</v>
      </c>
    </row>
    <row r="118" spans="1:16" x14ac:dyDescent="0.3">
      <c r="A118" s="25" t="s">
        <v>3221</v>
      </c>
      <c r="B118" s="26">
        <v>46093</v>
      </c>
      <c r="C118" s="26">
        <v>46098</v>
      </c>
      <c r="D118" s="25">
        <v>3319</v>
      </c>
      <c r="E118" s="25">
        <v>327</v>
      </c>
      <c r="F118" s="25">
        <v>2</v>
      </c>
      <c r="G118" s="28">
        <v>1</v>
      </c>
      <c r="H118" s="28">
        <v>81433</v>
      </c>
      <c r="I118" s="28" t="s">
        <v>17</v>
      </c>
      <c r="J118" s="28">
        <v>45335182</v>
      </c>
      <c r="K118" s="28" t="s">
        <v>2263</v>
      </c>
      <c r="L118" t="s">
        <v>2270</v>
      </c>
      <c r="M118" s="39">
        <v>279900</v>
      </c>
      <c r="N118" s="29" t="s">
        <v>2826</v>
      </c>
      <c r="O118" s="36" t="s">
        <v>3220</v>
      </c>
      <c r="P118" s="28" t="s">
        <v>2826</v>
      </c>
    </row>
    <row r="119" spans="1:16" x14ac:dyDescent="0.3">
      <c r="A119" s="25" t="s">
        <v>3221</v>
      </c>
      <c r="B119" s="26">
        <v>46093</v>
      </c>
      <c r="C119" s="26">
        <v>46098</v>
      </c>
      <c r="D119" s="25">
        <v>3319</v>
      </c>
      <c r="E119" s="25">
        <v>327</v>
      </c>
      <c r="F119" s="25">
        <v>2</v>
      </c>
      <c r="G119" s="28">
        <v>1</v>
      </c>
      <c r="H119" s="28">
        <v>81433</v>
      </c>
      <c r="I119" s="28" t="s">
        <v>17</v>
      </c>
      <c r="J119" s="28">
        <v>45335191</v>
      </c>
      <c r="K119" s="28" t="s">
        <v>2263</v>
      </c>
      <c r="L119" t="s">
        <v>2271</v>
      </c>
      <c r="M119" s="39">
        <v>279900</v>
      </c>
      <c r="N119" s="29" t="s">
        <v>2826</v>
      </c>
      <c r="O119" s="36" t="s">
        <v>3220</v>
      </c>
      <c r="P119" s="28" t="s">
        <v>2826</v>
      </c>
    </row>
    <row r="120" spans="1:16" x14ac:dyDescent="0.3">
      <c r="A120" s="25" t="s">
        <v>3221</v>
      </c>
      <c r="B120" s="26">
        <v>46093</v>
      </c>
      <c r="C120" s="26">
        <v>46098</v>
      </c>
      <c r="D120" s="25">
        <v>3319</v>
      </c>
      <c r="E120" s="25">
        <v>327</v>
      </c>
      <c r="F120" s="25">
        <v>2</v>
      </c>
      <c r="G120" s="28">
        <v>1</v>
      </c>
      <c r="H120" s="28">
        <v>81433</v>
      </c>
      <c r="I120" s="28" t="s">
        <v>17</v>
      </c>
      <c r="J120" s="28">
        <v>45335208</v>
      </c>
      <c r="K120" s="28" t="s">
        <v>2263</v>
      </c>
      <c r="L120" t="s">
        <v>2272</v>
      </c>
      <c r="M120" s="39">
        <v>279900</v>
      </c>
      <c r="N120" s="29" t="s">
        <v>2826</v>
      </c>
      <c r="O120" s="36" t="s">
        <v>3220</v>
      </c>
      <c r="P120" s="28" t="s">
        <v>2826</v>
      </c>
    </row>
    <row r="121" spans="1:16" x14ac:dyDescent="0.3">
      <c r="A121" s="25" t="s">
        <v>3221</v>
      </c>
      <c r="B121" s="26">
        <v>46093</v>
      </c>
      <c r="C121" s="26">
        <v>46098</v>
      </c>
      <c r="D121" s="25">
        <v>3319</v>
      </c>
      <c r="E121" s="25">
        <v>327</v>
      </c>
      <c r="F121" s="25">
        <v>2</v>
      </c>
      <c r="G121" s="28">
        <v>1</v>
      </c>
      <c r="H121" s="28">
        <v>81433</v>
      </c>
      <c r="I121" s="28" t="s">
        <v>17</v>
      </c>
      <c r="J121" s="28">
        <v>45335217</v>
      </c>
      <c r="K121" s="28" t="s">
        <v>2263</v>
      </c>
      <c r="L121" t="s">
        <v>2273</v>
      </c>
      <c r="M121" s="39">
        <v>279900</v>
      </c>
      <c r="N121" s="29" t="s">
        <v>2826</v>
      </c>
      <c r="O121" s="36" t="s">
        <v>3220</v>
      </c>
      <c r="P121" s="28" t="s">
        <v>2826</v>
      </c>
    </row>
    <row r="122" spans="1:16" x14ac:dyDescent="0.3">
      <c r="A122" s="25" t="s">
        <v>3221</v>
      </c>
      <c r="B122" s="26">
        <v>46093</v>
      </c>
      <c r="C122" s="26">
        <v>46098</v>
      </c>
      <c r="D122" s="25">
        <v>3319</v>
      </c>
      <c r="E122" s="25">
        <v>327</v>
      </c>
      <c r="F122" s="25">
        <v>2</v>
      </c>
      <c r="G122" s="28">
        <v>1</v>
      </c>
      <c r="H122" s="28">
        <v>81433</v>
      </c>
      <c r="I122" s="28" t="s">
        <v>17</v>
      </c>
      <c r="J122" s="28">
        <v>45335226</v>
      </c>
      <c r="K122" s="28" t="s">
        <v>2263</v>
      </c>
      <c r="L122" t="s">
        <v>2274</v>
      </c>
      <c r="M122" s="39">
        <v>279900</v>
      </c>
      <c r="N122" s="29" t="s">
        <v>2826</v>
      </c>
      <c r="O122" s="36" t="s">
        <v>3220</v>
      </c>
      <c r="P122" s="28" t="s">
        <v>2826</v>
      </c>
    </row>
    <row r="123" spans="1:16" x14ac:dyDescent="0.3">
      <c r="A123" s="25" t="s">
        <v>3221</v>
      </c>
      <c r="B123" s="26">
        <v>46093</v>
      </c>
      <c r="C123" s="26">
        <v>46098</v>
      </c>
      <c r="D123" s="25">
        <v>3319</v>
      </c>
      <c r="E123" s="25">
        <v>327</v>
      </c>
      <c r="F123" s="25">
        <v>2</v>
      </c>
      <c r="G123" s="28">
        <v>1</v>
      </c>
      <c r="H123" s="28">
        <v>81433</v>
      </c>
      <c r="I123" s="28" t="s">
        <v>17</v>
      </c>
      <c r="J123" s="28">
        <v>45335235</v>
      </c>
      <c r="K123" s="28" t="s">
        <v>2263</v>
      </c>
      <c r="L123" t="s">
        <v>2275</v>
      </c>
      <c r="M123" s="39">
        <v>279900</v>
      </c>
      <c r="N123" s="29" t="s">
        <v>2826</v>
      </c>
      <c r="O123" s="36" t="s">
        <v>3220</v>
      </c>
      <c r="P123" s="28" t="s">
        <v>2826</v>
      </c>
    </row>
    <row r="124" spans="1:16" x14ac:dyDescent="0.3">
      <c r="A124" s="25" t="s">
        <v>3221</v>
      </c>
      <c r="B124" s="26">
        <v>46093</v>
      </c>
      <c r="C124" s="26">
        <v>46098</v>
      </c>
      <c r="D124" s="25">
        <v>3319</v>
      </c>
      <c r="E124" s="25">
        <v>327</v>
      </c>
      <c r="F124" s="25">
        <v>2</v>
      </c>
      <c r="G124" s="28">
        <v>1</v>
      </c>
      <c r="H124" s="28">
        <v>81433</v>
      </c>
      <c r="I124" s="28" t="s">
        <v>17</v>
      </c>
      <c r="J124" s="28">
        <v>45335244</v>
      </c>
      <c r="K124" s="28" t="s">
        <v>2263</v>
      </c>
      <c r="L124" t="s">
        <v>2276</v>
      </c>
      <c r="M124" s="39">
        <v>279900</v>
      </c>
      <c r="N124" s="29" t="s">
        <v>2826</v>
      </c>
      <c r="O124" s="36" t="s">
        <v>3220</v>
      </c>
      <c r="P124" s="28" t="s">
        <v>2826</v>
      </c>
    </row>
    <row r="125" spans="1:16" x14ac:dyDescent="0.3">
      <c r="A125" s="25" t="s">
        <v>3221</v>
      </c>
      <c r="B125" s="26">
        <v>46093</v>
      </c>
      <c r="C125" s="26">
        <v>46098</v>
      </c>
      <c r="D125" s="25">
        <v>3319</v>
      </c>
      <c r="E125" s="25">
        <v>327</v>
      </c>
      <c r="F125" s="25">
        <v>2</v>
      </c>
      <c r="G125" s="28">
        <v>1</v>
      </c>
      <c r="H125" s="28">
        <v>81433</v>
      </c>
      <c r="I125" s="28" t="s">
        <v>17</v>
      </c>
      <c r="J125" s="28">
        <v>45335253</v>
      </c>
      <c r="K125" s="28" t="s">
        <v>2263</v>
      </c>
      <c r="L125" t="s">
        <v>2277</v>
      </c>
      <c r="M125" s="39">
        <v>279900</v>
      </c>
      <c r="N125" s="29" t="s">
        <v>2826</v>
      </c>
      <c r="O125" s="36" t="s">
        <v>3220</v>
      </c>
      <c r="P125" s="28" t="s">
        <v>2826</v>
      </c>
    </row>
    <row r="126" spans="1:16" x14ac:dyDescent="0.3">
      <c r="A126" s="25" t="s">
        <v>3221</v>
      </c>
      <c r="B126" s="26">
        <v>46093</v>
      </c>
      <c r="C126" s="26">
        <v>46098</v>
      </c>
      <c r="D126" s="25">
        <v>3319</v>
      </c>
      <c r="E126" s="25">
        <v>327</v>
      </c>
      <c r="F126" s="25">
        <v>2</v>
      </c>
      <c r="G126" s="28">
        <v>1</v>
      </c>
      <c r="H126" s="28">
        <v>81433</v>
      </c>
      <c r="I126" s="28" t="s">
        <v>17</v>
      </c>
      <c r="J126" s="28">
        <v>45335262</v>
      </c>
      <c r="K126" s="28" t="s">
        <v>2263</v>
      </c>
      <c r="L126" t="s">
        <v>2278</v>
      </c>
      <c r="M126" s="39">
        <v>279900</v>
      </c>
      <c r="N126" s="29" t="s">
        <v>2826</v>
      </c>
      <c r="O126" s="36" t="s">
        <v>3220</v>
      </c>
      <c r="P126" s="28" t="s">
        <v>2826</v>
      </c>
    </row>
    <row r="127" spans="1:16" x14ac:dyDescent="0.3">
      <c r="A127" s="25" t="s">
        <v>3221</v>
      </c>
      <c r="B127" s="26">
        <v>46093</v>
      </c>
      <c r="C127" s="26">
        <v>46098</v>
      </c>
      <c r="D127" s="25">
        <v>3319</v>
      </c>
      <c r="E127" s="25">
        <v>327</v>
      </c>
      <c r="F127" s="25">
        <v>2</v>
      </c>
      <c r="G127" s="28">
        <v>1</v>
      </c>
      <c r="H127" s="28">
        <v>81778</v>
      </c>
      <c r="I127" s="28" t="s">
        <v>17</v>
      </c>
      <c r="J127" s="28">
        <v>22704496</v>
      </c>
      <c r="K127" s="28" t="s">
        <v>2499</v>
      </c>
      <c r="L127" t="s">
        <v>2500</v>
      </c>
      <c r="M127" s="39">
        <v>279900</v>
      </c>
      <c r="N127" s="29" t="s">
        <v>2826</v>
      </c>
      <c r="O127" s="36" t="s">
        <v>3220</v>
      </c>
      <c r="P127" s="28" t="s">
        <v>2826</v>
      </c>
    </row>
    <row r="128" spans="1:16" x14ac:dyDescent="0.3">
      <c r="A128" s="25" t="s">
        <v>3221</v>
      </c>
      <c r="B128" s="26">
        <v>46093</v>
      </c>
      <c r="C128" s="26">
        <v>46098</v>
      </c>
      <c r="D128" s="25">
        <v>3319</v>
      </c>
      <c r="E128" s="25">
        <v>327</v>
      </c>
      <c r="F128" s="25">
        <v>2</v>
      </c>
      <c r="G128" s="28">
        <v>1</v>
      </c>
      <c r="H128" s="28">
        <v>81778</v>
      </c>
      <c r="I128" s="28" t="s">
        <v>17</v>
      </c>
      <c r="J128" s="28">
        <v>22704503</v>
      </c>
      <c r="K128" s="28" t="s">
        <v>2499</v>
      </c>
      <c r="L128" t="s">
        <v>2501</v>
      </c>
      <c r="M128" s="39">
        <v>279900</v>
      </c>
      <c r="N128" s="29" t="s">
        <v>2826</v>
      </c>
      <c r="O128" s="36" t="s">
        <v>3220</v>
      </c>
      <c r="P128" s="28" t="s">
        <v>2826</v>
      </c>
    </row>
    <row r="129" spans="1:16" x14ac:dyDescent="0.3">
      <c r="A129" s="25" t="s">
        <v>3221</v>
      </c>
      <c r="B129" s="26">
        <v>46093</v>
      </c>
      <c r="C129" s="26">
        <v>46098</v>
      </c>
      <c r="D129" s="25">
        <v>3319</v>
      </c>
      <c r="E129" s="25">
        <v>327</v>
      </c>
      <c r="F129" s="25">
        <v>2</v>
      </c>
      <c r="G129" s="28">
        <v>1</v>
      </c>
      <c r="H129" s="28">
        <v>81778</v>
      </c>
      <c r="I129" s="28" t="s">
        <v>17</v>
      </c>
      <c r="J129" s="28">
        <v>22704469</v>
      </c>
      <c r="K129" s="28" t="s">
        <v>2499</v>
      </c>
      <c r="L129" t="s">
        <v>2507</v>
      </c>
      <c r="M129" s="39">
        <v>279900</v>
      </c>
      <c r="N129" s="29" t="s">
        <v>2826</v>
      </c>
      <c r="O129" s="36" t="s">
        <v>3220</v>
      </c>
      <c r="P129" s="28" t="s">
        <v>2826</v>
      </c>
    </row>
    <row r="130" spans="1:16" x14ac:dyDescent="0.3">
      <c r="A130" s="25" t="s">
        <v>3221</v>
      </c>
      <c r="B130" s="26">
        <v>46093</v>
      </c>
      <c r="C130" s="26">
        <v>46098</v>
      </c>
      <c r="D130" s="25">
        <v>3319</v>
      </c>
      <c r="E130" s="25">
        <v>327</v>
      </c>
      <c r="F130" s="25">
        <v>2</v>
      </c>
      <c r="G130" s="28">
        <v>1</v>
      </c>
      <c r="H130" s="28">
        <v>81778</v>
      </c>
      <c r="I130" s="28" t="s">
        <v>17</v>
      </c>
      <c r="J130" s="28">
        <v>22704478</v>
      </c>
      <c r="K130" s="28" t="s">
        <v>2499</v>
      </c>
      <c r="L130" t="s">
        <v>2508</v>
      </c>
      <c r="M130" s="39">
        <v>279900</v>
      </c>
      <c r="N130" s="29" t="s">
        <v>2826</v>
      </c>
      <c r="O130" s="36" t="s">
        <v>3220</v>
      </c>
      <c r="P130" s="28" t="s">
        <v>2826</v>
      </c>
    </row>
    <row r="131" spans="1:16" x14ac:dyDescent="0.3">
      <c r="A131" s="25" t="s">
        <v>3221</v>
      </c>
      <c r="B131" s="26">
        <v>46093</v>
      </c>
      <c r="C131" s="26">
        <v>46098</v>
      </c>
      <c r="D131" s="25">
        <v>3319</v>
      </c>
      <c r="E131" s="25">
        <v>327</v>
      </c>
      <c r="F131" s="25">
        <v>2</v>
      </c>
      <c r="G131" s="28">
        <v>1</v>
      </c>
      <c r="H131" s="28">
        <v>81778</v>
      </c>
      <c r="I131" s="28" t="s">
        <v>17</v>
      </c>
      <c r="J131" s="28">
        <v>22704487</v>
      </c>
      <c r="K131" s="28" t="s">
        <v>2499</v>
      </c>
      <c r="L131" t="s">
        <v>2509</v>
      </c>
      <c r="M131" s="39">
        <v>279900</v>
      </c>
      <c r="N131" s="29" t="s">
        <v>2826</v>
      </c>
      <c r="O131" s="36" t="s">
        <v>3220</v>
      </c>
      <c r="P131" s="28" t="s">
        <v>2826</v>
      </c>
    </row>
    <row r="132" spans="1:16" x14ac:dyDescent="0.3">
      <c r="A132" s="25" t="s">
        <v>3221</v>
      </c>
      <c r="B132" s="26">
        <v>46093</v>
      </c>
      <c r="C132" s="26">
        <v>46098</v>
      </c>
      <c r="D132" s="25">
        <v>3319</v>
      </c>
      <c r="E132" s="25">
        <v>327</v>
      </c>
      <c r="F132" s="25">
        <v>2</v>
      </c>
      <c r="G132" s="28">
        <v>1</v>
      </c>
      <c r="H132" s="28">
        <v>81433</v>
      </c>
      <c r="I132" s="28" t="s">
        <v>17</v>
      </c>
      <c r="J132" s="28">
        <v>22153493</v>
      </c>
      <c r="K132" s="28" t="s">
        <v>2814</v>
      </c>
      <c r="L132" t="s">
        <v>2815</v>
      </c>
      <c r="M132" s="37">
        <v>279900</v>
      </c>
      <c r="N132" s="29" t="s">
        <v>2826</v>
      </c>
      <c r="O132" s="36" t="s">
        <v>3220</v>
      </c>
      <c r="P132" s="28" t="s">
        <v>2826</v>
      </c>
    </row>
    <row r="133" spans="1:16" x14ac:dyDescent="0.3">
      <c r="A133" s="25" t="s">
        <v>3221</v>
      </c>
      <c r="B133" s="26">
        <v>46093</v>
      </c>
      <c r="C133" s="26">
        <v>46098</v>
      </c>
      <c r="D133" s="25">
        <v>3319</v>
      </c>
      <c r="E133" s="25">
        <v>327</v>
      </c>
      <c r="F133" s="25">
        <v>2</v>
      </c>
      <c r="G133" s="28">
        <v>1</v>
      </c>
      <c r="H133" s="28">
        <v>81433</v>
      </c>
      <c r="I133" s="28" t="s">
        <v>17</v>
      </c>
      <c r="J133" s="28">
        <v>22153500</v>
      </c>
      <c r="K133" s="28" t="s">
        <v>2814</v>
      </c>
      <c r="L133" t="s">
        <v>2816</v>
      </c>
      <c r="M133" s="37">
        <v>279900</v>
      </c>
      <c r="N133" s="29" t="s">
        <v>2826</v>
      </c>
      <c r="O133" s="36" t="s">
        <v>3220</v>
      </c>
      <c r="P133" s="28" t="s">
        <v>2826</v>
      </c>
    </row>
    <row r="134" spans="1:16" x14ac:dyDescent="0.3">
      <c r="A134" s="25" t="s">
        <v>3221</v>
      </c>
      <c r="B134" s="26">
        <v>46093</v>
      </c>
      <c r="C134" s="26">
        <v>46098</v>
      </c>
      <c r="D134" s="25">
        <v>3319</v>
      </c>
      <c r="E134" s="25">
        <v>327</v>
      </c>
      <c r="F134" s="25">
        <v>2</v>
      </c>
      <c r="G134" s="28">
        <v>1</v>
      </c>
      <c r="H134" s="28">
        <v>81433</v>
      </c>
      <c r="I134" s="28" t="s">
        <v>17</v>
      </c>
      <c r="J134" s="28">
        <v>22153519</v>
      </c>
      <c r="K134" s="28" t="s">
        <v>2814</v>
      </c>
      <c r="L134" t="s">
        <v>2817</v>
      </c>
      <c r="M134" s="37">
        <v>279900</v>
      </c>
      <c r="N134" s="29" t="s">
        <v>2826</v>
      </c>
      <c r="O134" s="36" t="s">
        <v>3220</v>
      </c>
      <c r="P134" s="28" t="s">
        <v>2826</v>
      </c>
    </row>
    <row r="135" spans="1:16" x14ac:dyDescent="0.3">
      <c r="A135" s="25" t="s">
        <v>3221</v>
      </c>
      <c r="B135" s="26">
        <v>46093</v>
      </c>
      <c r="C135" s="26">
        <v>46098</v>
      </c>
      <c r="D135" s="25">
        <v>3319</v>
      </c>
      <c r="E135" s="25">
        <v>327</v>
      </c>
      <c r="F135" s="25">
        <v>2</v>
      </c>
      <c r="G135" s="28">
        <v>1</v>
      </c>
      <c r="H135" s="28">
        <v>81433</v>
      </c>
      <c r="I135" s="28" t="s">
        <v>17</v>
      </c>
      <c r="J135" s="28">
        <v>22153528</v>
      </c>
      <c r="K135" s="28" t="s">
        <v>2814</v>
      </c>
      <c r="L135" t="s">
        <v>2818</v>
      </c>
      <c r="M135" s="37">
        <v>279900</v>
      </c>
      <c r="N135" s="29" t="s">
        <v>2826</v>
      </c>
      <c r="O135" s="36" t="s">
        <v>3220</v>
      </c>
      <c r="P135" s="28" t="s">
        <v>2826</v>
      </c>
    </row>
    <row r="136" spans="1:16" x14ac:dyDescent="0.3">
      <c r="A136" s="25" t="s">
        <v>3221</v>
      </c>
      <c r="B136" s="26">
        <v>46093</v>
      </c>
      <c r="C136" s="26">
        <v>46098</v>
      </c>
      <c r="D136" s="25">
        <v>3319</v>
      </c>
      <c r="E136" s="25">
        <v>327</v>
      </c>
      <c r="F136" s="25">
        <v>2</v>
      </c>
      <c r="G136" s="28">
        <v>1</v>
      </c>
      <c r="H136" s="28">
        <v>81433</v>
      </c>
      <c r="I136" s="28" t="s">
        <v>17</v>
      </c>
      <c r="J136" s="28">
        <v>22153537</v>
      </c>
      <c r="K136" s="28" t="s">
        <v>2814</v>
      </c>
      <c r="L136" t="s">
        <v>2819</v>
      </c>
      <c r="M136" s="37">
        <v>279900</v>
      </c>
      <c r="N136" s="29" t="s">
        <v>2826</v>
      </c>
      <c r="O136" s="36" t="s">
        <v>3220</v>
      </c>
      <c r="P136" s="28" t="s">
        <v>2826</v>
      </c>
    </row>
    <row r="137" spans="1:16" x14ac:dyDescent="0.3">
      <c r="A137" s="25" t="s">
        <v>3221</v>
      </c>
      <c r="B137" s="26">
        <v>46093</v>
      </c>
      <c r="C137" s="26">
        <v>46098</v>
      </c>
      <c r="D137" s="25">
        <v>3319</v>
      </c>
      <c r="E137" s="25">
        <v>327</v>
      </c>
      <c r="F137" s="25">
        <v>2</v>
      </c>
      <c r="G137" s="28">
        <v>1</v>
      </c>
      <c r="H137" s="28">
        <v>81433</v>
      </c>
      <c r="I137" s="28" t="s">
        <v>17</v>
      </c>
      <c r="J137" s="28">
        <v>22153644</v>
      </c>
      <c r="K137" s="28" t="s">
        <v>2820</v>
      </c>
      <c r="L137" t="s">
        <v>2821</v>
      </c>
      <c r="M137" s="37">
        <v>279900</v>
      </c>
      <c r="N137" s="29" t="s">
        <v>2826</v>
      </c>
      <c r="O137" s="36" t="s">
        <v>3220</v>
      </c>
      <c r="P137" s="28" t="s">
        <v>2826</v>
      </c>
    </row>
    <row r="138" spans="1:16" x14ac:dyDescent="0.3">
      <c r="A138" s="25" t="s">
        <v>3221</v>
      </c>
      <c r="B138" s="26">
        <v>46093</v>
      </c>
      <c r="C138" s="26">
        <v>46098</v>
      </c>
      <c r="D138" s="25">
        <v>3319</v>
      </c>
      <c r="E138" s="25">
        <v>327</v>
      </c>
      <c r="F138" s="25">
        <v>2</v>
      </c>
      <c r="G138" s="28">
        <v>1</v>
      </c>
      <c r="H138" s="28">
        <v>81433</v>
      </c>
      <c r="I138" s="28" t="s">
        <v>17</v>
      </c>
      <c r="J138" s="28">
        <v>22153653</v>
      </c>
      <c r="K138" s="28" t="s">
        <v>2820</v>
      </c>
      <c r="L138" t="s">
        <v>2822</v>
      </c>
      <c r="M138" s="37">
        <v>279900</v>
      </c>
      <c r="N138" s="29" t="s">
        <v>2826</v>
      </c>
      <c r="O138" s="36" t="s">
        <v>3220</v>
      </c>
      <c r="P138" s="28" t="s">
        <v>2826</v>
      </c>
    </row>
    <row r="139" spans="1:16" x14ac:dyDescent="0.3">
      <c r="A139" s="25" t="s">
        <v>3221</v>
      </c>
      <c r="B139" s="26">
        <v>46093</v>
      </c>
      <c r="C139" s="26">
        <v>46098</v>
      </c>
      <c r="D139" s="25">
        <v>3319</v>
      </c>
      <c r="E139" s="25">
        <v>327</v>
      </c>
      <c r="F139" s="25">
        <v>2</v>
      </c>
      <c r="G139" s="28">
        <v>1</v>
      </c>
      <c r="H139" s="28">
        <v>81433</v>
      </c>
      <c r="I139" s="28" t="s">
        <v>17</v>
      </c>
      <c r="J139" s="28">
        <v>22153662</v>
      </c>
      <c r="K139" s="28" t="s">
        <v>2820</v>
      </c>
      <c r="L139" t="s">
        <v>2823</v>
      </c>
      <c r="M139" s="37">
        <v>279900</v>
      </c>
      <c r="N139" s="29" t="s">
        <v>2826</v>
      </c>
      <c r="O139" s="36" t="s">
        <v>3220</v>
      </c>
      <c r="P139" s="28" t="s">
        <v>2826</v>
      </c>
    </row>
    <row r="140" spans="1:16" x14ac:dyDescent="0.3">
      <c r="A140" s="25" t="s">
        <v>3221</v>
      </c>
      <c r="B140" s="26">
        <v>46093</v>
      </c>
      <c r="C140" s="26">
        <v>46098</v>
      </c>
      <c r="D140" s="25">
        <v>3319</v>
      </c>
      <c r="E140" s="25">
        <v>327</v>
      </c>
      <c r="F140" s="25">
        <v>2</v>
      </c>
      <c r="G140" s="28">
        <v>1</v>
      </c>
      <c r="H140" s="28">
        <v>81433</v>
      </c>
      <c r="I140" s="28" t="s">
        <v>17</v>
      </c>
      <c r="J140" s="28">
        <v>22153671</v>
      </c>
      <c r="K140" s="28" t="s">
        <v>2820</v>
      </c>
      <c r="L140" t="s">
        <v>2824</v>
      </c>
      <c r="M140" s="37">
        <v>279900</v>
      </c>
      <c r="N140" s="29" t="s">
        <v>2826</v>
      </c>
      <c r="O140" s="36" t="s">
        <v>3220</v>
      </c>
      <c r="P140" s="28" t="s">
        <v>2826</v>
      </c>
    </row>
    <row r="141" spans="1:16" x14ac:dyDescent="0.3">
      <c r="A141" s="25" t="s">
        <v>3221</v>
      </c>
      <c r="B141" s="26">
        <v>46093</v>
      </c>
      <c r="C141" s="26">
        <v>46098</v>
      </c>
      <c r="D141" s="25">
        <v>3319</v>
      </c>
      <c r="E141" s="25">
        <v>327</v>
      </c>
      <c r="F141" s="25">
        <v>2</v>
      </c>
      <c r="G141" s="28">
        <v>1</v>
      </c>
      <c r="H141" s="28">
        <v>81433</v>
      </c>
      <c r="I141" s="28" t="s">
        <v>17</v>
      </c>
      <c r="J141" s="28">
        <v>22153680</v>
      </c>
      <c r="K141" s="28" t="s">
        <v>2820</v>
      </c>
      <c r="L141" t="s">
        <v>2825</v>
      </c>
      <c r="M141" s="37">
        <v>279900</v>
      </c>
      <c r="N141" s="29" t="s">
        <v>2826</v>
      </c>
      <c r="O141" s="36" t="s">
        <v>3220</v>
      </c>
      <c r="P141" s="28" t="s">
        <v>2826</v>
      </c>
    </row>
    <row r="142" spans="1:16" x14ac:dyDescent="0.3">
      <c r="A142" s="25" t="s">
        <v>3221</v>
      </c>
      <c r="B142" s="26">
        <v>46093</v>
      </c>
      <c r="C142" s="26">
        <v>46098</v>
      </c>
      <c r="D142" s="6">
        <v>3319</v>
      </c>
      <c r="E142" s="6">
        <v>327</v>
      </c>
      <c r="F142" s="25">
        <v>2</v>
      </c>
      <c r="G142" s="28">
        <v>1</v>
      </c>
      <c r="H142" s="28">
        <v>81433</v>
      </c>
      <c r="I142" s="28" t="s">
        <v>17</v>
      </c>
      <c r="J142" s="28">
        <v>24337773</v>
      </c>
      <c r="K142" s="28" t="s">
        <v>2402</v>
      </c>
      <c r="L142" t="s">
        <v>2403</v>
      </c>
      <c r="M142" s="39">
        <v>279900</v>
      </c>
      <c r="N142" s="29" t="s">
        <v>2826</v>
      </c>
      <c r="O142" s="36" t="s">
        <v>3220</v>
      </c>
      <c r="P142" s="28" t="s">
        <v>2826</v>
      </c>
    </row>
    <row r="143" spans="1:16" x14ac:dyDescent="0.3">
      <c r="A143" s="25" t="s">
        <v>3221</v>
      </c>
      <c r="B143" s="26">
        <v>46093</v>
      </c>
      <c r="C143" s="26">
        <v>46098</v>
      </c>
      <c r="D143" s="6">
        <v>3319</v>
      </c>
      <c r="E143" s="6">
        <v>327</v>
      </c>
      <c r="F143" s="25">
        <v>2</v>
      </c>
      <c r="G143" s="28">
        <v>1</v>
      </c>
      <c r="H143" s="28">
        <v>81433</v>
      </c>
      <c r="I143" s="28" t="s">
        <v>17</v>
      </c>
      <c r="J143" s="28">
        <v>24337620</v>
      </c>
      <c r="K143" s="28" t="s">
        <v>2402</v>
      </c>
      <c r="L143" t="s">
        <v>2404</v>
      </c>
      <c r="M143" s="39">
        <v>279900</v>
      </c>
      <c r="N143" s="29" t="s">
        <v>2826</v>
      </c>
      <c r="O143" s="36" t="s">
        <v>3220</v>
      </c>
      <c r="P143" s="28" t="s">
        <v>2826</v>
      </c>
    </row>
    <row r="144" spans="1:16" x14ac:dyDescent="0.3">
      <c r="A144" s="25" t="s">
        <v>3221</v>
      </c>
      <c r="B144" s="26">
        <v>46093</v>
      </c>
      <c r="C144" s="26">
        <v>46098</v>
      </c>
      <c r="D144" s="6">
        <v>3319</v>
      </c>
      <c r="E144" s="6">
        <v>327</v>
      </c>
      <c r="F144" s="25">
        <v>2</v>
      </c>
      <c r="G144" s="28">
        <v>1</v>
      </c>
      <c r="H144" s="28">
        <v>81433</v>
      </c>
      <c r="I144" s="28" t="s">
        <v>17</v>
      </c>
      <c r="J144" s="28">
        <v>24337639</v>
      </c>
      <c r="K144" s="28" t="s">
        <v>2402</v>
      </c>
      <c r="L144" t="s">
        <v>2405</v>
      </c>
      <c r="M144" s="39">
        <v>279900</v>
      </c>
      <c r="N144" s="29" t="s">
        <v>2826</v>
      </c>
      <c r="O144" s="36" t="s">
        <v>3220</v>
      </c>
      <c r="P144" s="28" t="s">
        <v>2826</v>
      </c>
    </row>
    <row r="145" spans="1:16" x14ac:dyDescent="0.3">
      <c r="A145" s="25" t="s">
        <v>3221</v>
      </c>
      <c r="B145" s="26">
        <v>46093</v>
      </c>
      <c r="C145" s="26">
        <v>46098</v>
      </c>
      <c r="D145" s="6">
        <v>3319</v>
      </c>
      <c r="E145" s="6">
        <v>327</v>
      </c>
      <c r="F145" s="25">
        <v>2</v>
      </c>
      <c r="G145" s="28">
        <v>1</v>
      </c>
      <c r="H145" s="28">
        <v>81433</v>
      </c>
      <c r="I145" s="28" t="s">
        <v>17</v>
      </c>
      <c r="J145" s="28">
        <v>24337648</v>
      </c>
      <c r="K145" s="28" t="s">
        <v>2402</v>
      </c>
      <c r="L145" t="s">
        <v>2406</v>
      </c>
      <c r="M145" s="39">
        <v>279900</v>
      </c>
      <c r="N145" s="29" t="s">
        <v>2826</v>
      </c>
      <c r="O145" s="36" t="s">
        <v>3220</v>
      </c>
      <c r="P145" s="28" t="s">
        <v>2826</v>
      </c>
    </row>
    <row r="146" spans="1:16" x14ac:dyDescent="0.3">
      <c r="A146" s="25" t="s">
        <v>3221</v>
      </c>
      <c r="B146" s="26">
        <v>46093</v>
      </c>
      <c r="C146" s="26">
        <v>46098</v>
      </c>
      <c r="D146" s="6">
        <v>3319</v>
      </c>
      <c r="E146" s="6">
        <v>327</v>
      </c>
      <c r="F146" s="25">
        <v>2</v>
      </c>
      <c r="G146" s="28">
        <v>1</v>
      </c>
      <c r="H146" s="28">
        <v>81433</v>
      </c>
      <c r="I146" s="28" t="s">
        <v>17</v>
      </c>
      <c r="J146" s="28">
        <v>24337737</v>
      </c>
      <c r="K146" s="28" t="s">
        <v>2402</v>
      </c>
      <c r="L146" t="s">
        <v>2407</v>
      </c>
      <c r="M146" s="39">
        <v>279900</v>
      </c>
      <c r="N146" s="29" t="s">
        <v>2826</v>
      </c>
      <c r="O146" s="36" t="s">
        <v>3220</v>
      </c>
      <c r="P146" s="28" t="s">
        <v>2826</v>
      </c>
    </row>
    <row r="147" spans="1:16" x14ac:dyDescent="0.3">
      <c r="A147" s="25" t="s">
        <v>3221</v>
      </c>
      <c r="B147" s="26">
        <v>46093</v>
      </c>
      <c r="C147" s="26">
        <v>46098</v>
      </c>
      <c r="D147" s="6">
        <v>3319</v>
      </c>
      <c r="E147" s="6">
        <v>327</v>
      </c>
      <c r="F147" s="25">
        <v>2</v>
      </c>
      <c r="G147" s="28">
        <v>1</v>
      </c>
      <c r="H147" s="28">
        <v>81433</v>
      </c>
      <c r="I147" s="28" t="s">
        <v>17</v>
      </c>
      <c r="J147" s="28">
        <v>24337746</v>
      </c>
      <c r="K147" s="28" t="s">
        <v>2402</v>
      </c>
      <c r="L147" t="s">
        <v>2408</v>
      </c>
      <c r="M147" s="39">
        <v>279900</v>
      </c>
      <c r="N147" s="29" t="s">
        <v>2826</v>
      </c>
      <c r="O147" s="36" t="s">
        <v>3220</v>
      </c>
      <c r="P147" s="28" t="s">
        <v>2826</v>
      </c>
    </row>
    <row r="148" spans="1:16" x14ac:dyDescent="0.3">
      <c r="A148" s="25" t="s">
        <v>3221</v>
      </c>
      <c r="B148" s="26">
        <v>46093</v>
      </c>
      <c r="C148" s="26">
        <v>46098</v>
      </c>
      <c r="D148" s="6">
        <v>3319</v>
      </c>
      <c r="E148" s="6">
        <v>327</v>
      </c>
      <c r="F148" s="25">
        <v>2</v>
      </c>
      <c r="G148" s="28">
        <v>1</v>
      </c>
      <c r="H148" s="28">
        <v>81433</v>
      </c>
      <c r="I148" s="28" t="s">
        <v>17</v>
      </c>
      <c r="J148" s="28">
        <v>24337755</v>
      </c>
      <c r="K148" s="28" t="s">
        <v>2402</v>
      </c>
      <c r="L148" t="s">
        <v>2409</v>
      </c>
      <c r="M148" s="39">
        <v>279900</v>
      </c>
      <c r="N148" s="29" t="s">
        <v>2826</v>
      </c>
      <c r="O148" s="36" t="s">
        <v>3220</v>
      </c>
      <c r="P148" s="28" t="s">
        <v>2826</v>
      </c>
    </row>
    <row r="149" spans="1:16" x14ac:dyDescent="0.3">
      <c r="A149" s="25" t="s">
        <v>3221</v>
      </c>
      <c r="B149" s="26">
        <v>46093</v>
      </c>
      <c r="C149" s="26">
        <v>46098</v>
      </c>
      <c r="D149" s="6">
        <v>3319</v>
      </c>
      <c r="E149" s="6">
        <v>327</v>
      </c>
      <c r="F149" s="25">
        <v>2</v>
      </c>
      <c r="G149" s="28">
        <v>1</v>
      </c>
      <c r="H149" s="28">
        <v>81433</v>
      </c>
      <c r="I149" s="28" t="s">
        <v>17</v>
      </c>
      <c r="J149" s="28">
        <v>24337764</v>
      </c>
      <c r="K149" s="28" t="s">
        <v>2402</v>
      </c>
      <c r="L149" t="s">
        <v>2410</v>
      </c>
      <c r="M149" s="39">
        <v>279900</v>
      </c>
      <c r="N149" s="29" t="s">
        <v>2826</v>
      </c>
      <c r="O149" s="36" t="s">
        <v>3220</v>
      </c>
      <c r="P149" s="28" t="s">
        <v>2826</v>
      </c>
    </row>
    <row r="150" spans="1:16" x14ac:dyDescent="0.3">
      <c r="A150" s="25" t="s">
        <v>3221</v>
      </c>
      <c r="B150" s="26">
        <v>46093</v>
      </c>
      <c r="C150" s="26">
        <v>46098</v>
      </c>
      <c r="D150" s="6">
        <v>3319</v>
      </c>
      <c r="E150" s="6">
        <v>327</v>
      </c>
      <c r="F150" s="25">
        <v>2</v>
      </c>
      <c r="G150" s="28">
        <v>1</v>
      </c>
      <c r="H150" s="28">
        <v>81433</v>
      </c>
      <c r="I150" s="28" t="s">
        <v>17</v>
      </c>
      <c r="J150" s="28">
        <v>24337602</v>
      </c>
      <c r="K150" s="28" t="s">
        <v>2402</v>
      </c>
      <c r="L150" t="s">
        <v>2411</v>
      </c>
      <c r="M150" s="39">
        <v>279900</v>
      </c>
      <c r="N150" s="29" t="s">
        <v>2826</v>
      </c>
      <c r="O150" s="36" t="s">
        <v>3220</v>
      </c>
      <c r="P150" s="28" t="s">
        <v>2826</v>
      </c>
    </row>
    <row r="151" spans="1:16" x14ac:dyDescent="0.3">
      <c r="A151" s="25" t="s">
        <v>3221</v>
      </c>
      <c r="B151" s="26">
        <v>46093</v>
      </c>
      <c r="C151" s="26">
        <v>46098</v>
      </c>
      <c r="D151" s="6">
        <v>3319</v>
      </c>
      <c r="E151" s="6">
        <v>327</v>
      </c>
      <c r="F151" s="25">
        <v>2</v>
      </c>
      <c r="G151" s="28">
        <v>1</v>
      </c>
      <c r="H151" s="28">
        <v>81433</v>
      </c>
      <c r="I151" s="28" t="s">
        <v>17</v>
      </c>
      <c r="J151" s="28">
        <v>24337611</v>
      </c>
      <c r="K151" s="28" t="s">
        <v>2402</v>
      </c>
      <c r="L151" t="s">
        <v>2412</v>
      </c>
      <c r="M151" s="39">
        <v>279900</v>
      </c>
      <c r="N151" s="29" t="s">
        <v>2826</v>
      </c>
      <c r="O151" s="36" t="s">
        <v>3220</v>
      </c>
      <c r="P151" s="28" t="s">
        <v>2826</v>
      </c>
    </row>
    <row r="152" spans="1:16" x14ac:dyDescent="0.3">
      <c r="A152" s="25" t="s">
        <v>3221</v>
      </c>
      <c r="B152" s="26">
        <v>46093</v>
      </c>
      <c r="C152" s="26">
        <v>46098</v>
      </c>
      <c r="D152" s="6">
        <v>3319</v>
      </c>
      <c r="E152" s="6">
        <v>327</v>
      </c>
      <c r="F152" s="25">
        <v>2</v>
      </c>
      <c r="G152" s="28">
        <v>1</v>
      </c>
      <c r="H152" s="28">
        <v>81433</v>
      </c>
      <c r="I152" s="28" t="s">
        <v>17</v>
      </c>
      <c r="J152" s="28">
        <v>24338683</v>
      </c>
      <c r="K152" s="28" t="s">
        <v>2466</v>
      </c>
      <c r="L152" t="s">
        <v>2467</v>
      </c>
      <c r="M152" s="39">
        <v>279900</v>
      </c>
      <c r="N152" s="29" t="s">
        <v>2826</v>
      </c>
      <c r="O152" s="36" t="s">
        <v>3220</v>
      </c>
      <c r="P152" s="28" t="s">
        <v>2826</v>
      </c>
    </row>
    <row r="153" spans="1:16" x14ac:dyDescent="0.3">
      <c r="A153" s="25" t="s">
        <v>3221</v>
      </c>
      <c r="B153" s="26">
        <v>46093</v>
      </c>
      <c r="C153" s="26">
        <v>46098</v>
      </c>
      <c r="D153" s="6">
        <v>3319</v>
      </c>
      <c r="E153" s="6">
        <v>327</v>
      </c>
      <c r="F153" s="25">
        <v>2</v>
      </c>
      <c r="G153" s="28">
        <v>1</v>
      </c>
      <c r="H153" s="28">
        <v>81433</v>
      </c>
      <c r="I153" s="28" t="s">
        <v>17</v>
      </c>
      <c r="J153" s="28">
        <v>24338558</v>
      </c>
      <c r="K153" s="28" t="s">
        <v>2466</v>
      </c>
      <c r="L153" t="s">
        <v>2468</v>
      </c>
      <c r="M153" s="39">
        <v>279900</v>
      </c>
      <c r="N153" s="29" t="s">
        <v>2826</v>
      </c>
      <c r="O153" s="36" t="s">
        <v>3220</v>
      </c>
      <c r="P153" s="28" t="s">
        <v>2826</v>
      </c>
    </row>
    <row r="154" spans="1:16" x14ac:dyDescent="0.3">
      <c r="A154" s="25" t="s">
        <v>3221</v>
      </c>
      <c r="B154" s="26">
        <v>46093</v>
      </c>
      <c r="C154" s="26">
        <v>46098</v>
      </c>
      <c r="D154" s="6">
        <v>3319</v>
      </c>
      <c r="E154" s="6">
        <v>327</v>
      </c>
      <c r="F154" s="25">
        <v>2</v>
      </c>
      <c r="G154" s="28">
        <v>1</v>
      </c>
      <c r="H154" s="28">
        <v>81433</v>
      </c>
      <c r="I154" s="28" t="s">
        <v>17</v>
      </c>
      <c r="J154" s="28">
        <v>24338567</v>
      </c>
      <c r="K154" s="28" t="s">
        <v>2466</v>
      </c>
      <c r="L154" t="s">
        <v>2469</v>
      </c>
      <c r="M154" s="39">
        <v>279900</v>
      </c>
      <c r="N154" s="29" t="s">
        <v>2826</v>
      </c>
      <c r="O154" s="36" t="s">
        <v>3220</v>
      </c>
      <c r="P154" s="28" t="s">
        <v>2826</v>
      </c>
    </row>
    <row r="155" spans="1:16" x14ac:dyDescent="0.3">
      <c r="A155" s="25" t="s">
        <v>3221</v>
      </c>
      <c r="B155" s="26">
        <v>46093</v>
      </c>
      <c r="C155" s="26">
        <v>46098</v>
      </c>
      <c r="D155" s="6">
        <v>3319</v>
      </c>
      <c r="E155" s="6">
        <v>327</v>
      </c>
      <c r="F155" s="25">
        <v>2</v>
      </c>
      <c r="G155" s="28">
        <v>1</v>
      </c>
      <c r="H155" s="28">
        <v>81433</v>
      </c>
      <c r="I155" s="28" t="s">
        <v>17</v>
      </c>
      <c r="J155" s="28">
        <v>24338576</v>
      </c>
      <c r="K155" s="28" t="s">
        <v>2466</v>
      </c>
      <c r="L155" t="s">
        <v>2470</v>
      </c>
      <c r="M155" s="39">
        <v>279900</v>
      </c>
      <c r="N155" s="29" t="s">
        <v>2826</v>
      </c>
      <c r="O155" s="36" t="s">
        <v>3220</v>
      </c>
      <c r="P155" s="28" t="s">
        <v>2826</v>
      </c>
    </row>
    <row r="156" spans="1:16" x14ac:dyDescent="0.3">
      <c r="A156" s="25" t="s">
        <v>3221</v>
      </c>
      <c r="B156" s="26">
        <v>46093</v>
      </c>
      <c r="C156" s="26">
        <v>46098</v>
      </c>
      <c r="D156" s="6">
        <v>3319</v>
      </c>
      <c r="E156" s="6">
        <v>327</v>
      </c>
      <c r="F156" s="25">
        <v>2</v>
      </c>
      <c r="G156" s="28">
        <v>1</v>
      </c>
      <c r="H156" s="28">
        <v>81433</v>
      </c>
      <c r="I156" s="28" t="s">
        <v>17</v>
      </c>
      <c r="J156" s="28">
        <v>24338585</v>
      </c>
      <c r="K156" s="28" t="s">
        <v>2466</v>
      </c>
      <c r="L156" t="s">
        <v>2471</v>
      </c>
      <c r="M156" s="39">
        <v>279900</v>
      </c>
      <c r="N156" s="29" t="s">
        <v>2826</v>
      </c>
      <c r="O156" s="36" t="s">
        <v>3220</v>
      </c>
      <c r="P156" s="28" t="s">
        <v>2826</v>
      </c>
    </row>
    <row r="157" spans="1:16" x14ac:dyDescent="0.3">
      <c r="A157" s="25" t="s">
        <v>3221</v>
      </c>
      <c r="B157" s="26">
        <v>46093</v>
      </c>
      <c r="C157" s="26">
        <v>46098</v>
      </c>
      <c r="D157" s="6">
        <v>3319</v>
      </c>
      <c r="E157" s="6">
        <v>327</v>
      </c>
      <c r="F157" s="25">
        <v>2</v>
      </c>
      <c r="G157" s="28">
        <v>1</v>
      </c>
      <c r="H157" s="28">
        <v>81433</v>
      </c>
      <c r="I157" s="28" t="s">
        <v>17</v>
      </c>
      <c r="J157" s="28">
        <v>24338594</v>
      </c>
      <c r="K157" s="28" t="s">
        <v>2466</v>
      </c>
      <c r="L157" t="s">
        <v>2472</v>
      </c>
      <c r="M157" s="39">
        <v>279900</v>
      </c>
      <c r="N157" s="29" t="s">
        <v>2826</v>
      </c>
      <c r="O157" s="36" t="s">
        <v>3220</v>
      </c>
      <c r="P157" s="28" t="s">
        <v>2826</v>
      </c>
    </row>
    <row r="158" spans="1:16" x14ac:dyDescent="0.3">
      <c r="A158" s="25" t="s">
        <v>3221</v>
      </c>
      <c r="B158" s="26">
        <v>46093</v>
      </c>
      <c r="C158" s="26">
        <v>46098</v>
      </c>
      <c r="D158" s="6">
        <v>3319</v>
      </c>
      <c r="E158" s="6">
        <v>327</v>
      </c>
      <c r="F158" s="25">
        <v>2</v>
      </c>
      <c r="G158" s="28">
        <v>1</v>
      </c>
      <c r="H158" s="28">
        <v>81433</v>
      </c>
      <c r="I158" s="28" t="s">
        <v>17</v>
      </c>
      <c r="J158" s="28">
        <v>24338601</v>
      </c>
      <c r="K158" s="28" t="s">
        <v>2466</v>
      </c>
      <c r="L158" t="s">
        <v>2473</v>
      </c>
      <c r="M158" s="39">
        <v>279900</v>
      </c>
      <c r="N158" s="29" t="s">
        <v>2826</v>
      </c>
      <c r="O158" s="36" t="s">
        <v>3220</v>
      </c>
      <c r="P158" s="28" t="s">
        <v>2826</v>
      </c>
    </row>
    <row r="159" spans="1:16" x14ac:dyDescent="0.3">
      <c r="A159" s="25" t="s">
        <v>3221</v>
      </c>
      <c r="B159" s="26">
        <v>46093</v>
      </c>
      <c r="C159" s="26">
        <v>46098</v>
      </c>
      <c r="D159" s="6">
        <v>3319</v>
      </c>
      <c r="E159" s="6">
        <v>327</v>
      </c>
      <c r="F159" s="25">
        <v>2</v>
      </c>
      <c r="G159" s="28">
        <v>1</v>
      </c>
      <c r="H159" s="28">
        <v>81433</v>
      </c>
      <c r="I159" s="28" t="s">
        <v>17</v>
      </c>
      <c r="J159" s="28">
        <v>24338656</v>
      </c>
      <c r="K159" s="28" t="s">
        <v>2466</v>
      </c>
      <c r="L159" t="s">
        <v>2474</v>
      </c>
      <c r="M159" s="39">
        <v>279900</v>
      </c>
      <c r="N159" s="29" t="s">
        <v>2826</v>
      </c>
      <c r="O159" s="36" t="s">
        <v>3220</v>
      </c>
      <c r="P159" s="28" t="s">
        <v>2826</v>
      </c>
    </row>
    <row r="160" spans="1:16" x14ac:dyDescent="0.3">
      <c r="A160" s="25" t="s">
        <v>3221</v>
      </c>
      <c r="B160" s="26">
        <v>46093</v>
      </c>
      <c r="C160" s="26">
        <v>46098</v>
      </c>
      <c r="D160" s="6">
        <v>3319</v>
      </c>
      <c r="E160" s="6">
        <v>327</v>
      </c>
      <c r="F160" s="25">
        <v>2</v>
      </c>
      <c r="G160" s="28">
        <v>1</v>
      </c>
      <c r="H160" s="28">
        <v>81433</v>
      </c>
      <c r="I160" s="28" t="s">
        <v>17</v>
      </c>
      <c r="J160" s="28">
        <v>24338665</v>
      </c>
      <c r="K160" s="28" t="s">
        <v>2466</v>
      </c>
      <c r="L160" t="s">
        <v>2475</v>
      </c>
      <c r="M160" s="39">
        <v>279900</v>
      </c>
      <c r="N160" s="29" t="s">
        <v>2826</v>
      </c>
      <c r="O160" s="36" t="s">
        <v>3220</v>
      </c>
      <c r="P160" s="28" t="s">
        <v>2826</v>
      </c>
    </row>
    <row r="161" spans="1:16" x14ac:dyDescent="0.3">
      <c r="A161" s="25" t="s">
        <v>3221</v>
      </c>
      <c r="B161" s="26">
        <v>46093</v>
      </c>
      <c r="C161" s="26">
        <v>46098</v>
      </c>
      <c r="D161" s="6">
        <v>3319</v>
      </c>
      <c r="E161" s="6">
        <v>327</v>
      </c>
      <c r="F161" s="25">
        <v>2</v>
      </c>
      <c r="G161" s="28">
        <v>1</v>
      </c>
      <c r="H161" s="28">
        <v>81433</v>
      </c>
      <c r="I161" s="28" t="s">
        <v>17</v>
      </c>
      <c r="J161" s="28">
        <v>24338674</v>
      </c>
      <c r="K161" s="28" t="s">
        <v>2466</v>
      </c>
      <c r="L161" t="s">
        <v>2476</v>
      </c>
      <c r="M161" s="39">
        <v>279900</v>
      </c>
      <c r="N161" s="29" t="s">
        <v>2826</v>
      </c>
      <c r="O161" s="36" t="s">
        <v>3220</v>
      </c>
      <c r="P161" s="28" t="s">
        <v>2826</v>
      </c>
    </row>
    <row r="162" spans="1:16" x14ac:dyDescent="0.3">
      <c r="A162" s="25" t="s">
        <v>3221</v>
      </c>
      <c r="B162" s="26">
        <v>46093</v>
      </c>
      <c r="C162" s="26">
        <v>46098</v>
      </c>
      <c r="D162" s="6">
        <v>3319</v>
      </c>
      <c r="E162" s="6">
        <v>327</v>
      </c>
      <c r="F162" s="25">
        <v>2</v>
      </c>
      <c r="G162" s="28">
        <v>1</v>
      </c>
      <c r="H162" s="28">
        <v>81433</v>
      </c>
      <c r="I162" s="28" t="s">
        <v>17</v>
      </c>
      <c r="J162" s="28">
        <v>24335864</v>
      </c>
      <c r="K162" s="28" t="s">
        <v>2428</v>
      </c>
      <c r="L162" t="s">
        <v>2429</v>
      </c>
      <c r="M162" s="39">
        <v>279900</v>
      </c>
      <c r="N162" s="29" t="s">
        <v>2826</v>
      </c>
      <c r="O162" s="36" t="s">
        <v>3220</v>
      </c>
      <c r="P162" s="28" t="s">
        <v>2826</v>
      </c>
    </row>
    <row r="163" spans="1:16" x14ac:dyDescent="0.3">
      <c r="A163" s="25" t="s">
        <v>3221</v>
      </c>
      <c r="B163" s="26">
        <v>46093</v>
      </c>
      <c r="C163" s="26">
        <v>46098</v>
      </c>
      <c r="D163" s="6">
        <v>3319</v>
      </c>
      <c r="E163" s="6">
        <v>327</v>
      </c>
      <c r="F163" s="25">
        <v>2</v>
      </c>
      <c r="G163" s="28">
        <v>1</v>
      </c>
      <c r="H163" s="28">
        <v>81433</v>
      </c>
      <c r="I163" s="28" t="s">
        <v>17</v>
      </c>
      <c r="J163" s="28">
        <v>24335711</v>
      </c>
      <c r="K163" s="28" t="s">
        <v>2428</v>
      </c>
      <c r="L163" t="s">
        <v>2430</v>
      </c>
      <c r="M163" s="39">
        <v>279900</v>
      </c>
      <c r="N163" s="29" t="s">
        <v>2826</v>
      </c>
      <c r="O163" s="36" t="s">
        <v>3220</v>
      </c>
      <c r="P163" s="28" t="s">
        <v>2826</v>
      </c>
    </row>
    <row r="164" spans="1:16" x14ac:dyDescent="0.3">
      <c r="A164" s="25" t="s">
        <v>3221</v>
      </c>
      <c r="B164" s="26">
        <v>46093</v>
      </c>
      <c r="C164" s="26">
        <v>46098</v>
      </c>
      <c r="D164" s="6">
        <v>3319</v>
      </c>
      <c r="E164" s="6">
        <v>327</v>
      </c>
      <c r="F164" s="25">
        <v>2</v>
      </c>
      <c r="G164" s="28">
        <v>1</v>
      </c>
      <c r="H164" s="28">
        <v>81433</v>
      </c>
      <c r="I164" s="28" t="s">
        <v>17</v>
      </c>
      <c r="J164" s="28">
        <v>24335739</v>
      </c>
      <c r="K164" s="28" t="s">
        <v>2428</v>
      </c>
      <c r="L164" t="s">
        <v>2431</v>
      </c>
      <c r="M164" s="39">
        <v>279900</v>
      </c>
      <c r="N164" s="29" t="s">
        <v>2826</v>
      </c>
      <c r="O164" s="36" t="s">
        <v>3220</v>
      </c>
      <c r="P164" s="28" t="s">
        <v>2826</v>
      </c>
    </row>
    <row r="165" spans="1:16" x14ac:dyDescent="0.3">
      <c r="A165" s="25" t="s">
        <v>3221</v>
      </c>
      <c r="B165" s="26">
        <v>46093</v>
      </c>
      <c r="C165" s="26">
        <v>46098</v>
      </c>
      <c r="D165" s="6">
        <v>3319</v>
      </c>
      <c r="E165" s="6">
        <v>327</v>
      </c>
      <c r="F165" s="25">
        <v>2</v>
      </c>
      <c r="G165" s="28">
        <v>1</v>
      </c>
      <c r="H165" s="28">
        <v>81433</v>
      </c>
      <c r="I165" s="28" t="s">
        <v>17</v>
      </c>
      <c r="J165" s="28">
        <v>24335748</v>
      </c>
      <c r="K165" s="28" t="s">
        <v>2428</v>
      </c>
      <c r="L165" t="s">
        <v>2432</v>
      </c>
      <c r="M165" s="39">
        <v>279900</v>
      </c>
      <c r="N165" s="29" t="s">
        <v>2826</v>
      </c>
      <c r="O165" s="36" t="s">
        <v>3220</v>
      </c>
      <c r="P165" s="28" t="s">
        <v>2826</v>
      </c>
    </row>
    <row r="166" spans="1:16" x14ac:dyDescent="0.3">
      <c r="A166" s="25" t="s">
        <v>3221</v>
      </c>
      <c r="B166" s="26">
        <v>46093</v>
      </c>
      <c r="C166" s="26">
        <v>46098</v>
      </c>
      <c r="D166" s="6">
        <v>3319</v>
      </c>
      <c r="E166" s="6">
        <v>327</v>
      </c>
      <c r="F166" s="25">
        <v>2</v>
      </c>
      <c r="G166" s="28">
        <v>1</v>
      </c>
      <c r="H166" s="28">
        <v>81433</v>
      </c>
      <c r="I166" s="28" t="s">
        <v>17</v>
      </c>
      <c r="J166" s="28">
        <v>24335757</v>
      </c>
      <c r="K166" s="28" t="s">
        <v>2428</v>
      </c>
      <c r="L166" t="s">
        <v>2433</v>
      </c>
      <c r="M166" s="39">
        <v>279900</v>
      </c>
      <c r="N166" s="29" t="s">
        <v>2826</v>
      </c>
      <c r="O166" s="36" t="s">
        <v>3220</v>
      </c>
      <c r="P166" s="28" t="s">
        <v>2826</v>
      </c>
    </row>
    <row r="167" spans="1:16" x14ac:dyDescent="0.3">
      <c r="A167" s="25" t="s">
        <v>3221</v>
      </c>
      <c r="B167" s="26">
        <v>46093</v>
      </c>
      <c r="C167" s="26">
        <v>46098</v>
      </c>
      <c r="D167" s="6">
        <v>3319</v>
      </c>
      <c r="E167" s="6">
        <v>327</v>
      </c>
      <c r="F167" s="25">
        <v>2</v>
      </c>
      <c r="G167" s="28">
        <v>1</v>
      </c>
      <c r="H167" s="28">
        <v>81433</v>
      </c>
      <c r="I167" s="28" t="s">
        <v>17</v>
      </c>
      <c r="J167" s="28">
        <v>24335766</v>
      </c>
      <c r="K167" s="28" t="s">
        <v>2428</v>
      </c>
      <c r="L167" t="s">
        <v>2434</v>
      </c>
      <c r="M167" s="39">
        <v>279900</v>
      </c>
      <c r="N167" s="29" t="s">
        <v>2826</v>
      </c>
      <c r="O167" s="36" t="s">
        <v>3220</v>
      </c>
      <c r="P167" s="28" t="s">
        <v>2826</v>
      </c>
    </row>
    <row r="168" spans="1:16" x14ac:dyDescent="0.3">
      <c r="A168" s="25" t="s">
        <v>3221</v>
      </c>
      <c r="B168" s="26">
        <v>46093</v>
      </c>
      <c r="C168" s="26">
        <v>46098</v>
      </c>
      <c r="D168" s="6">
        <v>3319</v>
      </c>
      <c r="E168" s="6">
        <v>327</v>
      </c>
      <c r="F168" s="25">
        <v>2</v>
      </c>
      <c r="G168" s="28">
        <v>1</v>
      </c>
      <c r="H168" s="28">
        <v>81433</v>
      </c>
      <c r="I168" s="28" t="s">
        <v>17</v>
      </c>
      <c r="J168" s="28">
        <v>24335793</v>
      </c>
      <c r="K168" s="28" t="s">
        <v>2428</v>
      </c>
      <c r="L168" t="s">
        <v>2435</v>
      </c>
      <c r="M168" s="39">
        <v>279900</v>
      </c>
      <c r="N168" s="29" t="s">
        <v>2826</v>
      </c>
      <c r="O168" s="36" t="s">
        <v>3220</v>
      </c>
      <c r="P168" s="28" t="s">
        <v>2826</v>
      </c>
    </row>
    <row r="169" spans="1:16" x14ac:dyDescent="0.3">
      <c r="A169" s="25" t="s">
        <v>3221</v>
      </c>
      <c r="B169" s="26">
        <v>46093</v>
      </c>
      <c r="C169" s="26">
        <v>46098</v>
      </c>
      <c r="D169" s="6">
        <v>3319</v>
      </c>
      <c r="E169" s="6">
        <v>327</v>
      </c>
      <c r="F169" s="25">
        <v>2</v>
      </c>
      <c r="G169" s="28">
        <v>1</v>
      </c>
      <c r="H169" s="28">
        <v>81433</v>
      </c>
      <c r="I169" s="28" t="s">
        <v>17</v>
      </c>
      <c r="J169" s="28">
        <v>24335800</v>
      </c>
      <c r="K169" s="28" t="s">
        <v>2428</v>
      </c>
      <c r="L169" t="s">
        <v>2436</v>
      </c>
      <c r="M169" s="39">
        <v>279900</v>
      </c>
      <c r="N169" s="29" t="s">
        <v>2826</v>
      </c>
      <c r="O169" s="36" t="s">
        <v>3220</v>
      </c>
      <c r="P169" s="28" t="s">
        <v>2826</v>
      </c>
    </row>
    <row r="170" spans="1:16" x14ac:dyDescent="0.3">
      <c r="A170" s="25" t="s">
        <v>3221</v>
      </c>
      <c r="B170" s="26">
        <v>46093</v>
      </c>
      <c r="C170" s="26">
        <v>46098</v>
      </c>
      <c r="D170" s="6">
        <v>3319</v>
      </c>
      <c r="E170" s="6">
        <v>327</v>
      </c>
      <c r="F170" s="25">
        <v>2</v>
      </c>
      <c r="G170" s="28">
        <v>1</v>
      </c>
      <c r="H170" s="28">
        <v>81433</v>
      </c>
      <c r="I170" s="28" t="s">
        <v>17</v>
      </c>
      <c r="J170" s="28">
        <v>24335828</v>
      </c>
      <c r="K170" s="28" t="s">
        <v>2428</v>
      </c>
      <c r="L170" t="s">
        <v>2437</v>
      </c>
      <c r="M170" s="39">
        <v>279900</v>
      </c>
      <c r="N170" s="29" t="s">
        <v>2826</v>
      </c>
      <c r="O170" s="36" t="s">
        <v>3220</v>
      </c>
      <c r="P170" s="28" t="s">
        <v>2826</v>
      </c>
    </row>
    <row r="171" spans="1:16" x14ac:dyDescent="0.3">
      <c r="A171" s="25" t="s">
        <v>3221</v>
      </c>
      <c r="B171" s="26">
        <v>46093</v>
      </c>
      <c r="C171" s="26">
        <v>46098</v>
      </c>
      <c r="D171" s="6">
        <v>3319</v>
      </c>
      <c r="E171" s="6">
        <v>327</v>
      </c>
      <c r="F171" s="25">
        <v>2</v>
      </c>
      <c r="G171" s="28">
        <v>1</v>
      </c>
      <c r="H171" s="28">
        <v>81433</v>
      </c>
      <c r="I171" s="28" t="s">
        <v>17</v>
      </c>
      <c r="J171" s="28">
        <v>24335855</v>
      </c>
      <c r="K171" s="28" t="s">
        <v>2428</v>
      </c>
      <c r="L171" t="s">
        <v>2438</v>
      </c>
      <c r="M171" s="39">
        <v>279900</v>
      </c>
      <c r="N171" s="29" t="s">
        <v>2826</v>
      </c>
      <c r="O171" s="36" t="s">
        <v>3220</v>
      </c>
      <c r="P171" s="28" t="s">
        <v>2826</v>
      </c>
    </row>
    <row r="172" spans="1:16" x14ac:dyDescent="0.3">
      <c r="A172" s="25" t="s">
        <v>3221</v>
      </c>
      <c r="B172" s="26">
        <v>46093</v>
      </c>
      <c r="C172" s="26">
        <v>46098</v>
      </c>
      <c r="D172" s="6">
        <v>3319</v>
      </c>
      <c r="E172" s="6">
        <v>327</v>
      </c>
      <c r="F172" s="25">
        <v>2</v>
      </c>
      <c r="G172" s="28">
        <v>1</v>
      </c>
      <c r="H172" s="28">
        <v>81433</v>
      </c>
      <c r="I172" s="28" t="s">
        <v>17</v>
      </c>
      <c r="J172" s="28">
        <v>24337782</v>
      </c>
      <c r="K172" s="28" t="s">
        <v>2439</v>
      </c>
      <c r="L172" t="s">
        <v>2465</v>
      </c>
      <c r="M172" s="39">
        <v>279900</v>
      </c>
      <c r="N172" s="29" t="s">
        <v>2826</v>
      </c>
      <c r="O172" s="36" t="s">
        <v>3220</v>
      </c>
      <c r="P172" s="28" t="s">
        <v>2826</v>
      </c>
    </row>
    <row r="173" spans="1:16" x14ac:dyDescent="0.3">
      <c r="A173" s="25" t="s">
        <v>3221</v>
      </c>
      <c r="B173" s="26">
        <v>46093</v>
      </c>
      <c r="C173" s="26">
        <v>46098</v>
      </c>
      <c r="D173" s="6">
        <v>3319</v>
      </c>
      <c r="E173" s="6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24337791</v>
      </c>
      <c r="K173" s="28" t="s">
        <v>2439</v>
      </c>
      <c r="L173" t="s">
        <v>2440</v>
      </c>
      <c r="M173" s="39">
        <v>279900</v>
      </c>
      <c r="N173" s="29" t="s">
        <v>2826</v>
      </c>
      <c r="O173" s="36" t="s">
        <v>3220</v>
      </c>
      <c r="P173" s="28" t="s">
        <v>2826</v>
      </c>
    </row>
    <row r="174" spans="1:16" x14ac:dyDescent="0.3">
      <c r="A174" s="25" t="s">
        <v>3221</v>
      </c>
      <c r="B174" s="26">
        <v>46093</v>
      </c>
      <c r="C174" s="26">
        <v>46098</v>
      </c>
      <c r="D174" s="6">
        <v>3319</v>
      </c>
      <c r="E174" s="6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24337808</v>
      </c>
      <c r="K174" s="28" t="s">
        <v>2439</v>
      </c>
      <c r="L174" t="s">
        <v>2441</v>
      </c>
      <c r="M174" s="39">
        <v>279900</v>
      </c>
      <c r="N174" s="29" t="s">
        <v>2826</v>
      </c>
      <c r="O174" s="36" t="s">
        <v>3220</v>
      </c>
      <c r="P174" s="28" t="s">
        <v>2826</v>
      </c>
    </row>
    <row r="175" spans="1:16" x14ac:dyDescent="0.3">
      <c r="A175" s="25" t="s">
        <v>3221</v>
      </c>
      <c r="B175" s="26">
        <v>46093</v>
      </c>
      <c r="C175" s="26">
        <v>46098</v>
      </c>
      <c r="D175" s="6">
        <v>3319</v>
      </c>
      <c r="E175" s="6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24337817</v>
      </c>
      <c r="K175" s="28" t="s">
        <v>2439</v>
      </c>
      <c r="L175" t="s">
        <v>2442</v>
      </c>
      <c r="M175" s="39">
        <v>279900</v>
      </c>
      <c r="N175" s="29" t="s">
        <v>2826</v>
      </c>
      <c r="O175" s="36" t="s">
        <v>3220</v>
      </c>
      <c r="P175" s="28" t="s">
        <v>2826</v>
      </c>
    </row>
    <row r="176" spans="1:16" x14ac:dyDescent="0.3">
      <c r="A176" s="25" t="s">
        <v>3221</v>
      </c>
      <c r="B176" s="26">
        <v>46093</v>
      </c>
      <c r="C176" s="26">
        <v>46098</v>
      </c>
      <c r="D176" s="6">
        <v>3319</v>
      </c>
      <c r="E176" s="6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24337826</v>
      </c>
      <c r="K176" s="28" t="s">
        <v>2439</v>
      </c>
      <c r="L176" t="s">
        <v>2443</v>
      </c>
      <c r="M176" s="39">
        <v>279900</v>
      </c>
      <c r="N176" s="29" t="s">
        <v>2826</v>
      </c>
      <c r="O176" s="36" t="s">
        <v>3220</v>
      </c>
      <c r="P176" s="28" t="s">
        <v>2826</v>
      </c>
    </row>
    <row r="177" spans="1:16" x14ac:dyDescent="0.3">
      <c r="A177" s="25" t="s">
        <v>3221</v>
      </c>
      <c r="B177" s="26">
        <v>46093</v>
      </c>
      <c r="C177" s="26">
        <v>46098</v>
      </c>
      <c r="D177" s="6">
        <v>3319</v>
      </c>
      <c r="E177" s="6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24337835</v>
      </c>
      <c r="K177" s="28" t="s">
        <v>2439</v>
      </c>
      <c r="L177" t="s">
        <v>2444</v>
      </c>
      <c r="M177" s="39">
        <v>279900</v>
      </c>
      <c r="N177" s="29" t="s">
        <v>2826</v>
      </c>
      <c r="O177" s="36" t="s">
        <v>3220</v>
      </c>
      <c r="P177" s="28" t="s">
        <v>2826</v>
      </c>
    </row>
    <row r="178" spans="1:16" x14ac:dyDescent="0.3">
      <c r="A178" s="25" t="s">
        <v>3221</v>
      </c>
      <c r="B178" s="26">
        <v>46093</v>
      </c>
      <c r="C178" s="26">
        <v>46098</v>
      </c>
      <c r="D178" s="6">
        <v>3319</v>
      </c>
      <c r="E178" s="6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24337844</v>
      </c>
      <c r="K178" s="28" t="s">
        <v>2439</v>
      </c>
      <c r="L178" t="s">
        <v>2445</v>
      </c>
      <c r="M178" s="39">
        <v>279900</v>
      </c>
      <c r="N178" s="29" t="s">
        <v>2826</v>
      </c>
      <c r="O178" s="36" t="s">
        <v>3220</v>
      </c>
      <c r="P178" s="28" t="s">
        <v>2826</v>
      </c>
    </row>
    <row r="179" spans="1:16" x14ac:dyDescent="0.3">
      <c r="A179" s="25" t="s">
        <v>3221</v>
      </c>
      <c r="B179" s="26">
        <v>46093</v>
      </c>
      <c r="C179" s="26">
        <v>46098</v>
      </c>
      <c r="D179" s="6">
        <v>3319</v>
      </c>
      <c r="E179" s="6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24337853</v>
      </c>
      <c r="K179" s="28" t="s">
        <v>2439</v>
      </c>
      <c r="L179" t="s">
        <v>2446</v>
      </c>
      <c r="M179" s="39">
        <v>279900</v>
      </c>
      <c r="N179" s="29" t="s">
        <v>2826</v>
      </c>
      <c r="O179" s="36" t="s">
        <v>3220</v>
      </c>
      <c r="P179" s="28" t="s">
        <v>2826</v>
      </c>
    </row>
    <row r="180" spans="1:16" x14ac:dyDescent="0.3">
      <c r="A180" s="25" t="s">
        <v>3221</v>
      </c>
      <c r="B180" s="26">
        <v>46093</v>
      </c>
      <c r="C180" s="26">
        <v>46098</v>
      </c>
      <c r="D180" s="6">
        <v>3319</v>
      </c>
      <c r="E180" s="6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24337862</v>
      </c>
      <c r="K180" s="28" t="s">
        <v>2439</v>
      </c>
      <c r="L180" t="s">
        <v>2447</v>
      </c>
      <c r="M180" s="39">
        <v>279900</v>
      </c>
      <c r="N180" s="29" t="s">
        <v>2826</v>
      </c>
      <c r="O180" s="36" t="s">
        <v>3220</v>
      </c>
      <c r="P180" s="28" t="s">
        <v>2826</v>
      </c>
    </row>
    <row r="181" spans="1:16" x14ac:dyDescent="0.3">
      <c r="A181" s="25" t="s">
        <v>3221</v>
      </c>
      <c r="B181" s="26">
        <v>46093</v>
      </c>
      <c r="C181" s="26">
        <v>46098</v>
      </c>
      <c r="D181" s="6">
        <v>3319</v>
      </c>
      <c r="E181" s="6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24337871</v>
      </c>
      <c r="K181" s="28" t="s">
        <v>2439</v>
      </c>
      <c r="L181" t="s">
        <v>2448</v>
      </c>
      <c r="M181" s="39">
        <v>279900</v>
      </c>
      <c r="N181" s="29" t="s">
        <v>2826</v>
      </c>
      <c r="O181" s="36" t="s">
        <v>3220</v>
      </c>
      <c r="P181" s="28" t="s">
        <v>2826</v>
      </c>
    </row>
    <row r="182" spans="1:16" x14ac:dyDescent="0.3">
      <c r="A182" s="25" t="s">
        <v>3221</v>
      </c>
      <c r="B182" s="26">
        <v>46093</v>
      </c>
      <c r="C182" s="26">
        <v>46098</v>
      </c>
      <c r="D182" s="6">
        <v>3319</v>
      </c>
      <c r="E182" s="6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24337880</v>
      </c>
      <c r="K182" s="28" t="s">
        <v>2439</v>
      </c>
      <c r="L182" t="s">
        <v>2449</v>
      </c>
      <c r="M182" s="39">
        <v>279900</v>
      </c>
      <c r="N182" s="29" t="s">
        <v>2826</v>
      </c>
      <c r="O182" s="36" t="s">
        <v>3220</v>
      </c>
      <c r="P182" s="28" t="s">
        <v>2826</v>
      </c>
    </row>
    <row r="183" spans="1:16" x14ac:dyDescent="0.3">
      <c r="A183" s="25" t="s">
        <v>3221</v>
      </c>
      <c r="B183" s="26">
        <v>46093</v>
      </c>
      <c r="C183" s="26">
        <v>46098</v>
      </c>
      <c r="D183" s="6">
        <v>3319</v>
      </c>
      <c r="E183" s="6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24337933</v>
      </c>
      <c r="K183" s="28" t="s">
        <v>2439</v>
      </c>
      <c r="L183" t="s">
        <v>2450</v>
      </c>
      <c r="M183" s="39">
        <v>279900</v>
      </c>
      <c r="N183" s="29" t="s">
        <v>2826</v>
      </c>
      <c r="O183" s="36" t="s">
        <v>3220</v>
      </c>
      <c r="P183" s="28" t="s">
        <v>2826</v>
      </c>
    </row>
    <row r="184" spans="1:16" x14ac:dyDescent="0.3">
      <c r="A184" s="25" t="s">
        <v>3221</v>
      </c>
      <c r="B184" s="26">
        <v>46093</v>
      </c>
      <c r="C184" s="26">
        <v>46098</v>
      </c>
      <c r="D184" s="6">
        <v>3319</v>
      </c>
      <c r="E184" s="6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24337942</v>
      </c>
      <c r="K184" s="28" t="s">
        <v>2439</v>
      </c>
      <c r="L184" t="s">
        <v>2451</v>
      </c>
      <c r="M184" s="39">
        <v>279900</v>
      </c>
      <c r="N184" s="29" t="s">
        <v>2826</v>
      </c>
      <c r="O184" s="36" t="s">
        <v>3220</v>
      </c>
      <c r="P184" s="28" t="s">
        <v>2826</v>
      </c>
    </row>
    <row r="185" spans="1:16" x14ac:dyDescent="0.3">
      <c r="A185" s="25" t="s">
        <v>3221</v>
      </c>
      <c r="B185" s="26">
        <v>46093</v>
      </c>
      <c r="C185" s="26">
        <v>46098</v>
      </c>
      <c r="D185" s="6">
        <v>3319</v>
      </c>
      <c r="E185" s="6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24337951</v>
      </c>
      <c r="K185" s="28" t="s">
        <v>2439</v>
      </c>
      <c r="L185" t="s">
        <v>2452</v>
      </c>
      <c r="M185" s="39">
        <v>279900</v>
      </c>
      <c r="N185" s="29" t="s">
        <v>2826</v>
      </c>
      <c r="O185" s="36" t="s">
        <v>3220</v>
      </c>
      <c r="P185" s="28" t="s">
        <v>2826</v>
      </c>
    </row>
    <row r="186" spans="1:16" x14ac:dyDescent="0.3">
      <c r="A186" s="25" t="s">
        <v>3221</v>
      </c>
      <c r="B186" s="26">
        <v>46093</v>
      </c>
      <c r="C186" s="26">
        <v>46098</v>
      </c>
      <c r="D186" s="6">
        <v>3319</v>
      </c>
      <c r="E186" s="6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24337960</v>
      </c>
      <c r="K186" s="28" t="s">
        <v>2439</v>
      </c>
      <c r="L186" t="s">
        <v>2453</v>
      </c>
      <c r="M186" s="39">
        <v>279900</v>
      </c>
      <c r="N186" s="29" t="s">
        <v>2826</v>
      </c>
      <c r="O186" s="36" t="s">
        <v>3220</v>
      </c>
      <c r="P186" s="28" t="s">
        <v>2826</v>
      </c>
    </row>
    <row r="187" spans="1:16" x14ac:dyDescent="0.3">
      <c r="A187" s="25" t="s">
        <v>3221</v>
      </c>
      <c r="B187" s="26">
        <v>46093</v>
      </c>
      <c r="C187" s="26">
        <v>46098</v>
      </c>
      <c r="D187" s="6">
        <v>3319</v>
      </c>
      <c r="E187" s="6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24338450</v>
      </c>
      <c r="K187" s="28" t="s">
        <v>2454</v>
      </c>
      <c r="L187" t="s">
        <v>2455</v>
      </c>
      <c r="M187" s="39">
        <v>279900</v>
      </c>
      <c r="N187" s="29" t="s">
        <v>2826</v>
      </c>
      <c r="O187" s="36" t="s">
        <v>3220</v>
      </c>
      <c r="P187" s="28" t="s">
        <v>2826</v>
      </c>
    </row>
    <row r="188" spans="1:16" x14ac:dyDescent="0.3">
      <c r="A188" s="25" t="s">
        <v>3221</v>
      </c>
      <c r="B188" s="26">
        <v>46093</v>
      </c>
      <c r="C188" s="26">
        <v>46098</v>
      </c>
      <c r="D188" s="6">
        <v>3319</v>
      </c>
      <c r="E188" s="6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24338469</v>
      </c>
      <c r="K188" s="28" t="s">
        <v>2454</v>
      </c>
      <c r="L188" t="s">
        <v>2456</v>
      </c>
      <c r="M188" s="39">
        <v>279900</v>
      </c>
      <c r="N188" s="29" t="s">
        <v>2826</v>
      </c>
      <c r="O188" s="36" t="s">
        <v>3220</v>
      </c>
      <c r="P188" s="28" t="s">
        <v>2826</v>
      </c>
    </row>
    <row r="189" spans="1:16" x14ac:dyDescent="0.3">
      <c r="A189" s="25" t="s">
        <v>3221</v>
      </c>
      <c r="B189" s="26">
        <v>46093</v>
      </c>
      <c r="C189" s="26">
        <v>46098</v>
      </c>
      <c r="D189" s="6">
        <v>3319</v>
      </c>
      <c r="E189" s="6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24338478</v>
      </c>
      <c r="K189" s="28" t="s">
        <v>2454</v>
      </c>
      <c r="L189" t="s">
        <v>2457</v>
      </c>
      <c r="M189" s="39">
        <v>279900</v>
      </c>
      <c r="N189" s="29" t="s">
        <v>2826</v>
      </c>
      <c r="O189" s="36" t="s">
        <v>3220</v>
      </c>
      <c r="P189" s="28" t="s">
        <v>2826</v>
      </c>
    </row>
    <row r="190" spans="1:16" x14ac:dyDescent="0.3">
      <c r="A190" s="25" t="s">
        <v>3221</v>
      </c>
      <c r="B190" s="26">
        <v>46093</v>
      </c>
      <c r="C190" s="26">
        <v>46098</v>
      </c>
      <c r="D190" s="6">
        <v>3319</v>
      </c>
      <c r="E190" s="6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24338487</v>
      </c>
      <c r="K190" s="28" t="s">
        <v>2454</v>
      </c>
      <c r="L190" t="s">
        <v>2458</v>
      </c>
      <c r="M190" s="39">
        <v>279900</v>
      </c>
      <c r="N190" s="29" t="s">
        <v>2826</v>
      </c>
      <c r="O190" s="36" t="s">
        <v>3220</v>
      </c>
      <c r="P190" s="28" t="s">
        <v>2826</v>
      </c>
    </row>
    <row r="191" spans="1:16" x14ac:dyDescent="0.3">
      <c r="A191" s="25" t="s">
        <v>3221</v>
      </c>
      <c r="B191" s="26">
        <v>46093</v>
      </c>
      <c r="C191" s="26">
        <v>46098</v>
      </c>
      <c r="D191" s="6">
        <v>3319</v>
      </c>
      <c r="E191" s="6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24338496</v>
      </c>
      <c r="K191" s="28" t="s">
        <v>2454</v>
      </c>
      <c r="L191" t="s">
        <v>2459</v>
      </c>
      <c r="M191" s="39">
        <v>279900</v>
      </c>
      <c r="N191" s="29" t="s">
        <v>2826</v>
      </c>
      <c r="O191" s="36" t="s">
        <v>3220</v>
      </c>
      <c r="P191" s="28" t="s">
        <v>2826</v>
      </c>
    </row>
    <row r="192" spans="1:16" x14ac:dyDescent="0.3">
      <c r="A192" s="25" t="s">
        <v>3221</v>
      </c>
      <c r="B192" s="26">
        <v>46093</v>
      </c>
      <c r="C192" s="26">
        <v>46098</v>
      </c>
      <c r="D192" s="6">
        <v>3319</v>
      </c>
      <c r="E192" s="6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24338503</v>
      </c>
      <c r="K192" s="28" t="s">
        <v>2454</v>
      </c>
      <c r="L192" t="s">
        <v>2460</v>
      </c>
      <c r="M192" s="39">
        <v>279900</v>
      </c>
      <c r="N192" s="29" t="s">
        <v>2826</v>
      </c>
      <c r="O192" s="36" t="s">
        <v>3220</v>
      </c>
      <c r="P192" s="28" t="s">
        <v>2826</v>
      </c>
    </row>
    <row r="193" spans="1:16" x14ac:dyDescent="0.3">
      <c r="A193" s="25" t="s">
        <v>3221</v>
      </c>
      <c r="B193" s="26">
        <v>46093</v>
      </c>
      <c r="C193" s="26">
        <v>46098</v>
      </c>
      <c r="D193" s="6">
        <v>3319</v>
      </c>
      <c r="E193" s="6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24338512</v>
      </c>
      <c r="K193" s="28" t="s">
        <v>2454</v>
      </c>
      <c r="L193" t="s">
        <v>2461</v>
      </c>
      <c r="M193" s="39">
        <v>279900</v>
      </c>
      <c r="N193" s="29" t="s">
        <v>2826</v>
      </c>
      <c r="O193" s="36" t="s">
        <v>3220</v>
      </c>
      <c r="P193" s="28" t="s">
        <v>2826</v>
      </c>
    </row>
    <row r="194" spans="1:16" x14ac:dyDescent="0.3">
      <c r="A194" s="25" t="s">
        <v>3221</v>
      </c>
      <c r="B194" s="26">
        <v>46093</v>
      </c>
      <c r="C194" s="26">
        <v>46098</v>
      </c>
      <c r="D194" s="6">
        <v>3319</v>
      </c>
      <c r="E194" s="6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24338521</v>
      </c>
      <c r="K194" s="28" t="s">
        <v>2454</v>
      </c>
      <c r="L194" t="s">
        <v>2462</v>
      </c>
      <c r="M194" s="39">
        <v>279900</v>
      </c>
      <c r="N194" s="29" t="s">
        <v>2826</v>
      </c>
      <c r="O194" s="36" t="s">
        <v>3220</v>
      </c>
      <c r="P194" s="28" t="s">
        <v>2826</v>
      </c>
    </row>
    <row r="195" spans="1:16" x14ac:dyDescent="0.3">
      <c r="A195" s="25" t="s">
        <v>3221</v>
      </c>
      <c r="B195" s="26">
        <v>46093</v>
      </c>
      <c r="C195" s="26">
        <v>46098</v>
      </c>
      <c r="D195" s="6">
        <v>3319</v>
      </c>
      <c r="E195" s="6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24338530</v>
      </c>
      <c r="K195" s="28" t="s">
        <v>2454</v>
      </c>
      <c r="L195" t="s">
        <v>2463</v>
      </c>
      <c r="M195" s="39">
        <v>279900</v>
      </c>
      <c r="N195" s="29" t="s">
        <v>2826</v>
      </c>
      <c r="O195" s="36" t="s">
        <v>3220</v>
      </c>
      <c r="P195" s="28" t="s">
        <v>2826</v>
      </c>
    </row>
    <row r="196" spans="1:16" x14ac:dyDescent="0.3">
      <c r="A196" s="25" t="s">
        <v>3221</v>
      </c>
      <c r="B196" s="26">
        <v>46093</v>
      </c>
      <c r="C196" s="26">
        <v>46098</v>
      </c>
      <c r="D196" s="6">
        <v>3319</v>
      </c>
      <c r="E196" s="6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24338549</v>
      </c>
      <c r="K196" s="28" t="s">
        <v>2454</v>
      </c>
      <c r="L196" t="s">
        <v>2464</v>
      </c>
      <c r="M196" s="39">
        <v>279900</v>
      </c>
      <c r="N196" s="29" t="s">
        <v>2826</v>
      </c>
      <c r="O196" s="36" t="s">
        <v>3220</v>
      </c>
      <c r="P196" s="28" t="s">
        <v>2826</v>
      </c>
    </row>
    <row r="197" spans="1:16" x14ac:dyDescent="0.3">
      <c r="A197" s="25" t="s">
        <v>3221</v>
      </c>
      <c r="B197" s="26">
        <v>46093</v>
      </c>
      <c r="C197" s="26">
        <v>46098</v>
      </c>
      <c r="D197" s="27">
        <v>3319</v>
      </c>
      <c r="E197" s="6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15909556</v>
      </c>
      <c r="K197" s="38" t="s">
        <v>1846</v>
      </c>
      <c r="L197" t="s">
        <v>1847</v>
      </c>
      <c r="M197" s="39">
        <v>259900</v>
      </c>
      <c r="N197" s="29" t="s">
        <v>2826</v>
      </c>
      <c r="O197" s="36" t="s">
        <v>3220</v>
      </c>
      <c r="P197" s="28" t="s">
        <v>2826</v>
      </c>
    </row>
    <row r="198" spans="1:16" x14ac:dyDescent="0.3">
      <c r="A198" s="25" t="s">
        <v>3221</v>
      </c>
      <c r="B198" s="26">
        <v>46093</v>
      </c>
      <c r="C198" s="26">
        <v>46098</v>
      </c>
      <c r="D198" s="27">
        <v>3319</v>
      </c>
      <c r="E198" s="6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15909565</v>
      </c>
      <c r="K198" s="38" t="s">
        <v>1846</v>
      </c>
      <c r="L198" t="s">
        <v>1848</v>
      </c>
      <c r="M198" s="39">
        <v>259900</v>
      </c>
      <c r="N198" s="29" t="s">
        <v>2826</v>
      </c>
      <c r="O198" s="36" t="s">
        <v>3220</v>
      </c>
      <c r="P198" s="28" t="s">
        <v>2826</v>
      </c>
    </row>
    <row r="199" spans="1:16" x14ac:dyDescent="0.3">
      <c r="A199" s="25" t="s">
        <v>3221</v>
      </c>
      <c r="B199" s="26">
        <v>46093</v>
      </c>
      <c r="C199" s="26">
        <v>46098</v>
      </c>
      <c r="D199" s="27">
        <v>3319</v>
      </c>
      <c r="E199" s="6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15909574</v>
      </c>
      <c r="K199" s="38" t="s">
        <v>1846</v>
      </c>
      <c r="L199" t="s">
        <v>1849</v>
      </c>
      <c r="M199" s="39">
        <v>259900</v>
      </c>
      <c r="N199" s="29" t="s">
        <v>2826</v>
      </c>
      <c r="O199" s="36" t="s">
        <v>3220</v>
      </c>
      <c r="P199" s="28" t="s">
        <v>2826</v>
      </c>
    </row>
    <row r="200" spans="1:16" x14ac:dyDescent="0.3">
      <c r="A200" s="25" t="s">
        <v>3221</v>
      </c>
      <c r="B200" s="26">
        <v>46093</v>
      </c>
      <c r="C200" s="26">
        <v>46098</v>
      </c>
      <c r="D200" s="27">
        <v>3319</v>
      </c>
      <c r="E200" s="6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15909583</v>
      </c>
      <c r="K200" s="38" t="s">
        <v>1846</v>
      </c>
      <c r="L200" t="s">
        <v>1850</v>
      </c>
      <c r="M200" s="39">
        <v>259900</v>
      </c>
      <c r="N200" s="29" t="s">
        <v>2826</v>
      </c>
      <c r="O200" s="36" t="s">
        <v>3220</v>
      </c>
      <c r="P200" s="28" t="s">
        <v>2826</v>
      </c>
    </row>
    <row r="201" spans="1:16" x14ac:dyDescent="0.3">
      <c r="A201" s="25" t="s">
        <v>3221</v>
      </c>
      <c r="B201" s="26">
        <v>46093</v>
      </c>
      <c r="C201" s="26">
        <v>46098</v>
      </c>
      <c r="D201" s="27">
        <v>3319</v>
      </c>
      <c r="E201" s="6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15909592</v>
      </c>
      <c r="K201" s="38" t="s">
        <v>1846</v>
      </c>
      <c r="L201" t="s">
        <v>1851</v>
      </c>
      <c r="M201" s="39">
        <v>259900</v>
      </c>
      <c r="N201" s="29" t="s">
        <v>2826</v>
      </c>
      <c r="O201" s="36" t="s">
        <v>3220</v>
      </c>
      <c r="P201" s="28" t="s">
        <v>2826</v>
      </c>
    </row>
    <row r="202" spans="1:16" x14ac:dyDescent="0.3">
      <c r="A202" s="25" t="s">
        <v>3221</v>
      </c>
      <c r="B202" s="26">
        <v>46093</v>
      </c>
      <c r="C202" s="26">
        <v>46098</v>
      </c>
      <c r="D202" s="27">
        <v>3319</v>
      </c>
      <c r="E202" s="6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15909609</v>
      </c>
      <c r="K202" s="38" t="s">
        <v>1846</v>
      </c>
      <c r="L202" t="s">
        <v>1852</v>
      </c>
      <c r="M202" s="39">
        <v>259900</v>
      </c>
      <c r="N202" s="29" t="s">
        <v>2826</v>
      </c>
      <c r="O202" s="36" t="s">
        <v>3220</v>
      </c>
      <c r="P202" s="28" t="s">
        <v>2826</v>
      </c>
    </row>
    <row r="203" spans="1:16" x14ac:dyDescent="0.3">
      <c r="A203" s="25" t="s">
        <v>3221</v>
      </c>
      <c r="B203" s="26">
        <v>46093</v>
      </c>
      <c r="C203" s="26">
        <v>46098</v>
      </c>
      <c r="D203" s="27">
        <v>3319</v>
      </c>
      <c r="E203" s="6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15909618</v>
      </c>
      <c r="K203" s="38" t="s">
        <v>1846</v>
      </c>
      <c r="L203" t="s">
        <v>1853</v>
      </c>
      <c r="M203" s="39">
        <v>259900</v>
      </c>
      <c r="N203" s="29" t="s">
        <v>2826</v>
      </c>
      <c r="O203" s="36" t="s">
        <v>3220</v>
      </c>
      <c r="P203" s="28" t="s">
        <v>2826</v>
      </c>
    </row>
    <row r="204" spans="1:16" x14ac:dyDescent="0.3">
      <c r="A204" s="25" t="s">
        <v>3221</v>
      </c>
      <c r="B204" s="26">
        <v>46093</v>
      </c>
      <c r="C204" s="26">
        <v>46098</v>
      </c>
      <c r="D204" s="27">
        <v>3319</v>
      </c>
      <c r="E204" s="6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15909627</v>
      </c>
      <c r="K204" s="38" t="s">
        <v>1846</v>
      </c>
      <c r="L204" t="s">
        <v>1854</v>
      </c>
      <c r="M204" s="39">
        <v>259900</v>
      </c>
      <c r="N204" s="29" t="s">
        <v>2826</v>
      </c>
      <c r="O204" s="36" t="s">
        <v>3220</v>
      </c>
      <c r="P204" s="28" t="s">
        <v>2826</v>
      </c>
    </row>
    <row r="205" spans="1:16" x14ac:dyDescent="0.3">
      <c r="A205" s="25" t="s">
        <v>3221</v>
      </c>
      <c r="B205" s="26">
        <v>46093</v>
      </c>
      <c r="C205" s="26">
        <v>46098</v>
      </c>
      <c r="D205" s="27">
        <v>3319</v>
      </c>
      <c r="E205" s="6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15909636</v>
      </c>
      <c r="K205" s="38" t="s">
        <v>1846</v>
      </c>
      <c r="L205" t="s">
        <v>1855</v>
      </c>
      <c r="M205" s="39">
        <v>259900</v>
      </c>
      <c r="N205" s="29" t="s">
        <v>2826</v>
      </c>
      <c r="O205" s="36" t="s">
        <v>3220</v>
      </c>
      <c r="P205" s="28" t="s">
        <v>2826</v>
      </c>
    </row>
    <row r="206" spans="1:16" x14ac:dyDescent="0.3">
      <c r="A206" s="25" t="s">
        <v>3221</v>
      </c>
      <c r="B206" s="26">
        <v>46093</v>
      </c>
      <c r="C206" s="26">
        <v>46098</v>
      </c>
      <c r="D206" s="27">
        <v>3319</v>
      </c>
      <c r="E206" s="6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15909645</v>
      </c>
      <c r="K206" s="38" t="s">
        <v>1846</v>
      </c>
      <c r="L206" t="s">
        <v>1856</v>
      </c>
      <c r="M206" s="39">
        <v>259900</v>
      </c>
      <c r="N206" s="29" t="s">
        <v>2826</v>
      </c>
      <c r="O206" s="36" t="s">
        <v>3220</v>
      </c>
      <c r="P206" s="28" t="s">
        <v>2826</v>
      </c>
    </row>
    <row r="207" spans="1:16" x14ac:dyDescent="0.3">
      <c r="A207" s="25" t="s">
        <v>3221</v>
      </c>
      <c r="B207" s="26">
        <v>46093</v>
      </c>
      <c r="C207" s="26">
        <v>46098</v>
      </c>
      <c r="D207" s="27">
        <v>3319</v>
      </c>
      <c r="E207" s="6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15909654</v>
      </c>
      <c r="K207" s="38" t="s">
        <v>1857</v>
      </c>
      <c r="L207" t="s">
        <v>1858</v>
      </c>
      <c r="M207" s="39">
        <v>259900</v>
      </c>
      <c r="N207" s="29" t="s">
        <v>2826</v>
      </c>
      <c r="O207" s="36" t="s">
        <v>3220</v>
      </c>
      <c r="P207" s="28" t="s">
        <v>2826</v>
      </c>
    </row>
    <row r="208" spans="1:16" x14ac:dyDescent="0.3">
      <c r="A208" s="25" t="s">
        <v>3221</v>
      </c>
      <c r="B208" s="26">
        <v>46093</v>
      </c>
      <c r="C208" s="26">
        <v>46098</v>
      </c>
      <c r="D208" s="27">
        <v>3319</v>
      </c>
      <c r="E208" s="6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15909663</v>
      </c>
      <c r="K208" s="38" t="s">
        <v>1857</v>
      </c>
      <c r="L208" t="s">
        <v>1859</v>
      </c>
      <c r="M208" s="39">
        <v>259900</v>
      </c>
      <c r="N208" s="29" t="s">
        <v>2826</v>
      </c>
      <c r="O208" s="36" t="s">
        <v>3220</v>
      </c>
      <c r="P208" s="28" t="s">
        <v>2826</v>
      </c>
    </row>
    <row r="209" spans="1:16" x14ac:dyDescent="0.3">
      <c r="A209" s="25" t="s">
        <v>3221</v>
      </c>
      <c r="B209" s="26">
        <v>46093</v>
      </c>
      <c r="C209" s="26">
        <v>46098</v>
      </c>
      <c r="D209" s="27">
        <v>3319</v>
      </c>
      <c r="E209" s="6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15909672</v>
      </c>
      <c r="K209" s="38" t="s">
        <v>1857</v>
      </c>
      <c r="L209" t="s">
        <v>1860</v>
      </c>
      <c r="M209" s="39">
        <v>259900</v>
      </c>
      <c r="N209" s="29" t="s">
        <v>2826</v>
      </c>
      <c r="O209" s="36" t="s">
        <v>3220</v>
      </c>
      <c r="P209" s="28" t="s">
        <v>2826</v>
      </c>
    </row>
    <row r="210" spans="1:16" x14ac:dyDescent="0.3">
      <c r="A210" s="25" t="s">
        <v>3221</v>
      </c>
      <c r="B210" s="26">
        <v>46093</v>
      </c>
      <c r="C210" s="26">
        <v>46098</v>
      </c>
      <c r="D210" s="27">
        <v>3319</v>
      </c>
      <c r="E210" s="6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15909681</v>
      </c>
      <c r="K210" s="38" t="s">
        <v>1857</v>
      </c>
      <c r="L210" t="s">
        <v>1861</v>
      </c>
      <c r="M210" s="39">
        <v>259900</v>
      </c>
      <c r="N210" s="29" t="s">
        <v>2826</v>
      </c>
      <c r="O210" s="36" t="s">
        <v>3220</v>
      </c>
      <c r="P210" s="28" t="s">
        <v>2826</v>
      </c>
    </row>
    <row r="211" spans="1:16" x14ac:dyDescent="0.3">
      <c r="A211" s="25" t="s">
        <v>3221</v>
      </c>
      <c r="B211" s="26">
        <v>46093</v>
      </c>
      <c r="C211" s="26">
        <v>46098</v>
      </c>
      <c r="D211" s="27">
        <v>3319</v>
      </c>
      <c r="E211" s="6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15909690</v>
      </c>
      <c r="K211" s="38" t="s">
        <v>1857</v>
      </c>
      <c r="L211" t="s">
        <v>1862</v>
      </c>
      <c r="M211" s="39">
        <v>259900</v>
      </c>
      <c r="N211" s="29" t="s">
        <v>2826</v>
      </c>
      <c r="O211" s="36" t="s">
        <v>3220</v>
      </c>
      <c r="P211" s="28" t="s">
        <v>2826</v>
      </c>
    </row>
    <row r="212" spans="1:16" x14ac:dyDescent="0.3">
      <c r="A212" s="25" t="s">
        <v>3221</v>
      </c>
      <c r="B212" s="26">
        <v>46093</v>
      </c>
      <c r="C212" s="26">
        <v>46098</v>
      </c>
      <c r="D212" s="27">
        <v>3319</v>
      </c>
      <c r="E212" s="6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15909707</v>
      </c>
      <c r="K212" s="38" t="s">
        <v>1857</v>
      </c>
      <c r="L212" t="s">
        <v>1863</v>
      </c>
      <c r="M212" s="39">
        <v>259900</v>
      </c>
      <c r="N212" s="29" t="s">
        <v>2826</v>
      </c>
      <c r="O212" s="36" t="s">
        <v>3220</v>
      </c>
      <c r="P212" s="28" t="s">
        <v>2826</v>
      </c>
    </row>
    <row r="213" spans="1:16" x14ac:dyDescent="0.3">
      <c r="A213" s="25" t="s">
        <v>3221</v>
      </c>
      <c r="B213" s="26">
        <v>46093</v>
      </c>
      <c r="C213" s="26">
        <v>46098</v>
      </c>
      <c r="D213" s="27">
        <v>3319</v>
      </c>
      <c r="E213" s="6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15909716</v>
      </c>
      <c r="K213" s="38" t="s">
        <v>1857</v>
      </c>
      <c r="L213" t="s">
        <v>1864</v>
      </c>
      <c r="M213" s="39">
        <v>259900</v>
      </c>
      <c r="N213" s="29" t="s">
        <v>2826</v>
      </c>
      <c r="O213" s="36" t="s">
        <v>3220</v>
      </c>
      <c r="P213" s="28" t="s">
        <v>2826</v>
      </c>
    </row>
    <row r="214" spans="1:16" x14ac:dyDescent="0.3">
      <c r="A214" s="25" t="s">
        <v>3221</v>
      </c>
      <c r="B214" s="26">
        <v>46093</v>
      </c>
      <c r="C214" s="26">
        <v>46098</v>
      </c>
      <c r="D214" s="27">
        <v>3319</v>
      </c>
      <c r="E214" s="6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15909725</v>
      </c>
      <c r="K214" s="38" t="s">
        <v>1857</v>
      </c>
      <c r="L214" t="s">
        <v>1865</v>
      </c>
      <c r="M214" s="39">
        <v>259900</v>
      </c>
      <c r="N214" s="29" t="s">
        <v>2826</v>
      </c>
      <c r="O214" s="36" t="s">
        <v>3220</v>
      </c>
      <c r="P214" s="28" t="s">
        <v>2826</v>
      </c>
    </row>
    <row r="215" spans="1:16" x14ac:dyDescent="0.3">
      <c r="A215" s="25" t="s">
        <v>3221</v>
      </c>
      <c r="B215" s="26">
        <v>46093</v>
      </c>
      <c r="C215" s="26">
        <v>46098</v>
      </c>
      <c r="D215" s="27">
        <v>3319</v>
      </c>
      <c r="E215" s="6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15909734</v>
      </c>
      <c r="K215" s="38" t="s">
        <v>1857</v>
      </c>
      <c r="L215" t="s">
        <v>1866</v>
      </c>
      <c r="M215" s="39">
        <v>259900</v>
      </c>
      <c r="N215" s="29" t="s">
        <v>2826</v>
      </c>
      <c r="O215" s="36" t="s">
        <v>3220</v>
      </c>
      <c r="P215" s="28" t="s">
        <v>2826</v>
      </c>
    </row>
    <row r="216" spans="1:16" x14ac:dyDescent="0.3">
      <c r="A216" s="25" t="s">
        <v>3221</v>
      </c>
      <c r="B216" s="26">
        <v>46093</v>
      </c>
      <c r="C216" s="26">
        <v>46098</v>
      </c>
      <c r="D216" s="27">
        <v>3319</v>
      </c>
      <c r="E216" s="6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15909743</v>
      </c>
      <c r="K216" s="38" t="s">
        <v>1857</v>
      </c>
      <c r="L216" t="s">
        <v>1867</v>
      </c>
      <c r="M216" s="39">
        <v>259900</v>
      </c>
      <c r="N216" s="29" t="s">
        <v>2826</v>
      </c>
      <c r="O216" s="36" t="s">
        <v>3220</v>
      </c>
      <c r="P216" s="28" t="s">
        <v>2826</v>
      </c>
    </row>
    <row r="217" spans="1:16" x14ac:dyDescent="0.3">
      <c r="A217" s="25" t="s">
        <v>3221</v>
      </c>
      <c r="B217" s="26">
        <v>46093</v>
      </c>
      <c r="C217" s="26">
        <v>46098</v>
      </c>
      <c r="D217" s="27">
        <v>3319</v>
      </c>
      <c r="E217" s="6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13839091</v>
      </c>
      <c r="K217" s="38" t="s">
        <v>1879</v>
      </c>
      <c r="L217" t="s">
        <v>1880</v>
      </c>
      <c r="M217" s="39">
        <v>259900</v>
      </c>
      <c r="N217" s="29" t="s">
        <v>2826</v>
      </c>
      <c r="O217" s="36" t="s">
        <v>3220</v>
      </c>
      <c r="P217" s="28" t="s">
        <v>2826</v>
      </c>
    </row>
    <row r="218" spans="1:16" x14ac:dyDescent="0.3">
      <c r="A218" s="25" t="s">
        <v>3221</v>
      </c>
      <c r="B218" s="26">
        <v>46093</v>
      </c>
      <c r="C218" s="26">
        <v>46098</v>
      </c>
      <c r="D218" s="27">
        <v>3319</v>
      </c>
      <c r="E218" s="6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13839108</v>
      </c>
      <c r="K218" s="38" t="s">
        <v>1879</v>
      </c>
      <c r="L218" t="s">
        <v>1881</v>
      </c>
      <c r="M218" s="39">
        <v>259900</v>
      </c>
      <c r="N218" s="29" t="s">
        <v>2826</v>
      </c>
      <c r="O218" s="36" t="s">
        <v>3220</v>
      </c>
      <c r="P218" s="28" t="s">
        <v>2826</v>
      </c>
    </row>
    <row r="219" spans="1:16" x14ac:dyDescent="0.3">
      <c r="A219" s="25" t="s">
        <v>3221</v>
      </c>
      <c r="B219" s="26">
        <v>46093</v>
      </c>
      <c r="C219" s="26">
        <v>46098</v>
      </c>
      <c r="D219" s="27">
        <v>3319</v>
      </c>
      <c r="E219" s="6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13839117</v>
      </c>
      <c r="K219" s="38" t="s">
        <v>1879</v>
      </c>
      <c r="L219" t="s">
        <v>1882</v>
      </c>
      <c r="M219" s="39">
        <v>259900</v>
      </c>
      <c r="N219" s="29" t="s">
        <v>2826</v>
      </c>
      <c r="O219" s="36" t="s">
        <v>3220</v>
      </c>
      <c r="P219" s="28" t="s">
        <v>2826</v>
      </c>
    </row>
    <row r="220" spans="1:16" x14ac:dyDescent="0.3">
      <c r="A220" s="25" t="s">
        <v>3221</v>
      </c>
      <c r="B220" s="26">
        <v>46093</v>
      </c>
      <c r="C220" s="26">
        <v>46098</v>
      </c>
      <c r="D220" s="27">
        <v>3319</v>
      </c>
      <c r="E220" s="6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13839126</v>
      </c>
      <c r="K220" s="38" t="s">
        <v>1879</v>
      </c>
      <c r="L220" t="s">
        <v>1883</v>
      </c>
      <c r="M220" s="39">
        <v>259900</v>
      </c>
      <c r="N220" s="29" t="s">
        <v>2826</v>
      </c>
      <c r="O220" s="36" t="s">
        <v>3220</v>
      </c>
      <c r="P220" s="28" t="s">
        <v>2826</v>
      </c>
    </row>
    <row r="221" spans="1:16" x14ac:dyDescent="0.3">
      <c r="A221" s="25" t="s">
        <v>3221</v>
      </c>
      <c r="B221" s="26">
        <v>46093</v>
      </c>
      <c r="C221" s="26">
        <v>46098</v>
      </c>
      <c r="D221" s="27">
        <v>3319</v>
      </c>
      <c r="E221" s="6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13839135</v>
      </c>
      <c r="K221" s="38" t="s">
        <v>1879</v>
      </c>
      <c r="L221" t="s">
        <v>1884</v>
      </c>
      <c r="M221" s="39">
        <v>259900</v>
      </c>
      <c r="N221" s="29" t="s">
        <v>2826</v>
      </c>
      <c r="O221" s="36" t="s">
        <v>3220</v>
      </c>
      <c r="P221" s="28" t="s">
        <v>2826</v>
      </c>
    </row>
    <row r="222" spans="1:16" x14ac:dyDescent="0.3">
      <c r="A222" s="25" t="s">
        <v>3221</v>
      </c>
      <c r="B222" s="26">
        <v>46093</v>
      </c>
      <c r="C222" s="26">
        <v>46098</v>
      </c>
      <c r="D222" s="27">
        <v>3319</v>
      </c>
      <c r="E222" s="6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13839144</v>
      </c>
      <c r="K222" s="38" t="s">
        <v>1879</v>
      </c>
      <c r="L222" t="s">
        <v>1885</v>
      </c>
      <c r="M222" s="39">
        <v>259900</v>
      </c>
      <c r="N222" s="29" t="s">
        <v>2826</v>
      </c>
      <c r="O222" s="36" t="s">
        <v>3220</v>
      </c>
      <c r="P222" s="28" t="s">
        <v>2826</v>
      </c>
    </row>
    <row r="223" spans="1:16" x14ac:dyDescent="0.3">
      <c r="A223" s="25" t="s">
        <v>3221</v>
      </c>
      <c r="B223" s="26">
        <v>46093</v>
      </c>
      <c r="C223" s="26">
        <v>46098</v>
      </c>
      <c r="D223" s="27">
        <v>3319</v>
      </c>
      <c r="E223" s="6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13839153</v>
      </c>
      <c r="K223" s="38" t="s">
        <v>1879</v>
      </c>
      <c r="L223" t="s">
        <v>1886</v>
      </c>
      <c r="M223" s="39">
        <v>259900</v>
      </c>
      <c r="N223" s="29" t="s">
        <v>2826</v>
      </c>
      <c r="O223" s="36" t="s">
        <v>3220</v>
      </c>
      <c r="P223" s="28" t="s">
        <v>2826</v>
      </c>
    </row>
    <row r="224" spans="1:16" x14ac:dyDescent="0.3">
      <c r="A224" s="25" t="s">
        <v>3221</v>
      </c>
      <c r="B224" s="26">
        <v>46093</v>
      </c>
      <c r="C224" s="26">
        <v>46098</v>
      </c>
      <c r="D224" s="27">
        <v>3319</v>
      </c>
      <c r="E224" s="6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13839162</v>
      </c>
      <c r="K224" s="38" t="s">
        <v>1879</v>
      </c>
      <c r="L224" t="s">
        <v>1887</v>
      </c>
      <c r="M224" s="39">
        <v>259900</v>
      </c>
      <c r="N224" s="29" t="s">
        <v>2826</v>
      </c>
      <c r="O224" s="36" t="s">
        <v>3220</v>
      </c>
      <c r="P224" s="28" t="s">
        <v>2826</v>
      </c>
    </row>
    <row r="225" spans="1:16" x14ac:dyDescent="0.3">
      <c r="A225" s="25" t="s">
        <v>3221</v>
      </c>
      <c r="B225" s="26">
        <v>46093</v>
      </c>
      <c r="C225" s="26">
        <v>46098</v>
      </c>
      <c r="D225" s="27">
        <v>3319</v>
      </c>
      <c r="E225" s="6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13839171</v>
      </c>
      <c r="K225" s="38" t="s">
        <v>1879</v>
      </c>
      <c r="L225" t="s">
        <v>1888</v>
      </c>
      <c r="M225" s="39">
        <v>259900</v>
      </c>
      <c r="N225" s="29" t="s">
        <v>2826</v>
      </c>
      <c r="O225" s="36" t="s">
        <v>3220</v>
      </c>
      <c r="P225" s="28" t="s">
        <v>2826</v>
      </c>
    </row>
    <row r="226" spans="1:16" x14ac:dyDescent="0.3">
      <c r="A226" s="25" t="s">
        <v>3221</v>
      </c>
      <c r="B226" s="26">
        <v>46093</v>
      </c>
      <c r="C226" s="26">
        <v>46098</v>
      </c>
      <c r="D226" s="27">
        <v>3319</v>
      </c>
      <c r="E226" s="6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13839233</v>
      </c>
      <c r="K226" s="38" t="s">
        <v>1900</v>
      </c>
      <c r="L226" t="s">
        <v>1901</v>
      </c>
      <c r="M226" s="39">
        <v>259900</v>
      </c>
      <c r="N226" s="29" t="s">
        <v>2826</v>
      </c>
      <c r="O226" s="36" t="s">
        <v>3220</v>
      </c>
      <c r="P226" s="28" t="s">
        <v>2826</v>
      </c>
    </row>
    <row r="227" spans="1:16" x14ac:dyDescent="0.3">
      <c r="A227" s="25" t="s">
        <v>3221</v>
      </c>
      <c r="B227" s="26">
        <v>46093</v>
      </c>
      <c r="C227" s="26">
        <v>46098</v>
      </c>
      <c r="D227" s="27">
        <v>3319</v>
      </c>
      <c r="E227" s="6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13839242</v>
      </c>
      <c r="K227" s="38" t="s">
        <v>1900</v>
      </c>
      <c r="L227" t="s">
        <v>1902</v>
      </c>
      <c r="M227" s="39">
        <v>259900</v>
      </c>
      <c r="N227" s="29" t="s">
        <v>2826</v>
      </c>
      <c r="O227" s="36" t="s">
        <v>3220</v>
      </c>
      <c r="P227" s="28" t="s">
        <v>2826</v>
      </c>
    </row>
    <row r="228" spans="1:16" x14ac:dyDescent="0.3">
      <c r="A228" s="25" t="s">
        <v>3221</v>
      </c>
      <c r="B228" s="26">
        <v>46093</v>
      </c>
      <c r="C228" s="26">
        <v>46098</v>
      </c>
      <c r="D228" s="27">
        <v>3319</v>
      </c>
      <c r="E228" s="6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13839251</v>
      </c>
      <c r="K228" s="38" t="s">
        <v>1900</v>
      </c>
      <c r="L228" t="s">
        <v>1903</v>
      </c>
      <c r="M228" s="39">
        <v>259900</v>
      </c>
      <c r="N228" s="29" t="s">
        <v>2826</v>
      </c>
      <c r="O228" s="36" t="s">
        <v>3220</v>
      </c>
      <c r="P228" s="28" t="s">
        <v>2826</v>
      </c>
    </row>
    <row r="229" spans="1:16" x14ac:dyDescent="0.3">
      <c r="A229" s="25" t="s">
        <v>3221</v>
      </c>
      <c r="B229" s="26">
        <v>46093</v>
      </c>
      <c r="C229" s="26">
        <v>46098</v>
      </c>
      <c r="D229" s="27">
        <v>3319</v>
      </c>
      <c r="E229" s="6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13839260</v>
      </c>
      <c r="K229" s="38" t="s">
        <v>1900</v>
      </c>
      <c r="L229" t="s">
        <v>1904</v>
      </c>
      <c r="M229" s="39">
        <v>259900</v>
      </c>
      <c r="N229" s="29" t="s">
        <v>2826</v>
      </c>
      <c r="O229" s="36" t="s">
        <v>3220</v>
      </c>
      <c r="P229" s="28" t="s">
        <v>2826</v>
      </c>
    </row>
    <row r="230" spans="1:16" x14ac:dyDescent="0.3">
      <c r="A230" s="25" t="s">
        <v>3221</v>
      </c>
      <c r="B230" s="26">
        <v>46093</v>
      </c>
      <c r="C230" s="26">
        <v>46098</v>
      </c>
      <c r="D230" s="27">
        <v>3319</v>
      </c>
      <c r="E230" s="6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13839279</v>
      </c>
      <c r="K230" s="38" t="s">
        <v>1900</v>
      </c>
      <c r="L230" t="s">
        <v>1905</v>
      </c>
      <c r="M230" s="39">
        <v>259900</v>
      </c>
      <c r="N230" s="29" t="s">
        <v>2826</v>
      </c>
      <c r="O230" s="36" t="s">
        <v>3220</v>
      </c>
      <c r="P230" s="28" t="s">
        <v>2826</v>
      </c>
    </row>
    <row r="231" spans="1:16" x14ac:dyDescent="0.3">
      <c r="A231" s="25" t="s">
        <v>3221</v>
      </c>
      <c r="B231" s="26">
        <v>46093</v>
      </c>
      <c r="C231" s="26">
        <v>46098</v>
      </c>
      <c r="D231" s="27">
        <v>3319</v>
      </c>
      <c r="E231" s="6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15909378</v>
      </c>
      <c r="K231" s="38" t="s">
        <v>1928</v>
      </c>
      <c r="L231" t="s">
        <v>1929</v>
      </c>
      <c r="M231" s="39">
        <v>259900</v>
      </c>
      <c r="N231" s="29" t="s">
        <v>2826</v>
      </c>
      <c r="O231" s="36" t="s">
        <v>3220</v>
      </c>
      <c r="P231" s="28" t="s">
        <v>2826</v>
      </c>
    </row>
    <row r="232" spans="1:16" x14ac:dyDescent="0.3">
      <c r="A232" s="25" t="s">
        <v>3221</v>
      </c>
      <c r="B232" s="26">
        <v>46093</v>
      </c>
      <c r="C232" s="26">
        <v>46098</v>
      </c>
      <c r="D232" s="27">
        <v>3319</v>
      </c>
      <c r="E232" s="6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15909387</v>
      </c>
      <c r="K232" s="38" t="s">
        <v>1928</v>
      </c>
      <c r="L232" t="s">
        <v>1930</v>
      </c>
      <c r="M232" s="39">
        <v>259900</v>
      </c>
      <c r="N232" s="29" t="s">
        <v>2826</v>
      </c>
      <c r="O232" s="36" t="s">
        <v>3220</v>
      </c>
      <c r="P232" s="28" t="s">
        <v>2826</v>
      </c>
    </row>
    <row r="233" spans="1:16" x14ac:dyDescent="0.3">
      <c r="A233" s="25" t="s">
        <v>3221</v>
      </c>
      <c r="B233" s="26">
        <v>46093</v>
      </c>
      <c r="C233" s="26">
        <v>46098</v>
      </c>
      <c r="D233" s="27">
        <v>3319</v>
      </c>
      <c r="E233" s="6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15909396</v>
      </c>
      <c r="K233" s="38" t="s">
        <v>1928</v>
      </c>
      <c r="L233" t="s">
        <v>1931</v>
      </c>
      <c r="M233" s="39">
        <v>259900</v>
      </c>
      <c r="N233" s="29" t="s">
        <v>2826</v>
      </c>
      <c r="O233" s="36" t="s">
        <v>3220</v>
      </c>
      <c r="P233" s="28" t="s">
        <v>2826</v>
      </c>
    </row>
    <row r="234" spans="1:16" x14ac:dyDescent="0.3">
      <c r="A234" s="25" t="s">
        <v>3221</v>
      </c>
      <c r="B234" s="26">
        <v>46093</v>
      </c>
      <c r="C234" s="26">
        <v>46098</v>
      </c>
      <c r="D234" s="27">
        <v>3319</v>
      </c>
      <c r="E234" s="6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15909403</v>
      </c>
      <c r="K234" s="38" t="s">
        <v>1928</v>
      </c>
      <c r="L234" t="s">
        <v>1932</v>
      </c>
      <c r="M234" s="39">
        <v>259900</v>
      </c>
      <c r="N234" s="29" t="s">
        <v>2826</v>
      </c>
      <c r="O234" s="36" t="s">
        <v>3220</v>
      </c>
      <c r="P234" s="28" t="s">
        <v>2826</v>
      </c>
    </row>
    <row r="235" spans="1:16" x14ac:dyDescent="0.3">
      <c r="A235" s="25" t="s">
        <v>3221</v>
      </c>
      <c r="B235" s="26">
        <v>46093</v>
      </c>
      <c r="C235" s="26">
        <v>46098</v>
      </c>
      <c r="D235" s="27">
        <v>3319</v>
      </c>
      <c r="E235" s="6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15909412</v>
      </c>
      <c r="K235" s="38" t="s">
        <v>1928</v>
      </c>
      <c r="L235" t="s">
        <v>1933</v>
      </c>
      <c r="M235" s="39">
        <v>259900</v>
      </c>
      <c r="N235" s="29" t="s">
        <v>2826</v>
      </c>
      <c r="O235" s="36" t="s">
        <v>3220</v>
      </c>
      <c r="P235" s="28" t="s">
        <v>2826</v>
      </c>
    </row>
    <row r="236" spans="1:16" x14ac:dyDescent="0.3">
      <c r="A236" s="25" t="s">
        <v>3221</v>
      </c>
      <c r="B236" s="26">
        <v>46093</v>
      </c>
      <c r="C236" s="26">
        <v>46098</v>
      </c>
      <c r="D236" s="27">
        <v>3319</v>
      </c>
      <c r="E236" s="6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15909421</v>
      </c>
      <c r="K236" s="38" t="s">
        <v>1928</v>
      </c>
      <c r="L236" t="s">
        <v>1934</v>
      </c>
      <c r="M236" s="39">
        <v>259900</v>
      </c>
      <c r="N236" s="29" t="s">
        <v>2826</v>
      </c>
      <c r="O236" s="36" t="s">
        <v>3220</v>
      </c>
      <c r="P236" s="28" t="s">
        <v>2826</v>
      </c>
    </row>
    <row r="237" spans="1:16" x14ac:dyDescent="0.3">
      <c r="A237" s="25" t="s">
        <v>3221</v>
      </c>
      <c r="B237" s="26">
        <v>46093</v>
      </c>
      <c r="C237" s="26">
        <v>46098</v>
      </c>
      <c r="D237" s="27">
        <v>3319</v>
      </c>
      <c r="E237" s="6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15909430</v>
      </c>
      <c r="K237" s="38" t="s">
        <v>1928</v>
      </c>
      <c r="L237" t="s">
        <v>1935</v>
      </c>
      <c r="M237" s="39">
        <v>259900</v>
      </c>
      <c r="N237" s="29" t="s">
        <v>2826</v>
      </c>
      <c r="O237" s="36" t="s">
        <v>3220</v>
      </c>
      <c r="P237" s="28" t="s">
        <v>2826</v>
      </c>
    </row>
    <row r="238" spans="1:16" x14ac:dyDescent="0.3">
      <c r="A238" s="25" t="s">
        <v>3221</v>
      </c>
      <c r="B238" s="26">
        <v>46093</v>
      </c>
      <c r="C238" s="26">
        <v>46098</v>
      </c>
      <c r="D238" s="27">
        <v>3319</v>
      </c>
      <c r="E238" s="6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15909449</v>
      </c>
      <c r="K238" s="38" t="s">
        <v>1928</v>
      </c>
      <c r="L238" t="s">
        <v>1936</v>
      </c>
      <c r="M238" s="39">
        <v>259900</v>
      </c>
      <c r="N238" s="29" t="s">
        <v>2826</v>
      </c>
      <c r="O238" s="36" t="s">
        <v>3220</v>
      </c>
      <c r="P238" s="28" t="s">
        <v>2826</v>
      </c>
    </row>
    <row r="239" spans="1:16" x14ac:dyDescent="0.3">
      <c r="A239" s="25" t="s">
        <v>3221</v>
      </c>
      <c r="B239" s="26">
        <v>46093</v>
      </c>
      <c r="C239" s="26">
        <v>46098</v>
      </c>
      <c r="D239" s="27">
        <v>3319</v>
      </c>
      <c r="E239" s="6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15909458</v>
      </c>
      <c r="K239" s="38" t="s">
        <v>1928</v>
      </c>
      <c r="L239" t="s">
        <v>1937</v>
      </c>
      <c r="M239" s="39">
        <v>259900</v>
      </c>
      <c r="N239" s="29" t="s">
        <v>2826</v>
      </c>
      <c r="O239" s="36" t="s">
        <v>3220</v>
      </c>
      <c r="P239" s="28" t="s">
        <v>2826</v>
      </c>
    </row>
    <row r="240" spans="1:16" x14ac:dyDescent="0.3">
      <c r="A240" s="25" t="s">
        <v>3221</v>
      </c>
      <c r="B240" s="26">
        <v>46093</v>
      </c>
      <c r="C240" s="26">
        <v>46098</v>
      </c>
      <c r="D240" s="27">
        <v>3319</v>
      </c>
      <c r="E240" s="6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15909467</v>
      </c>
      <c r="K240" s="38" t="s">
        <v>1928</v>
      </c>
      <c r="L240" t="s">
        <v>1938</v>
      </c>
      <c r="M240" s="39">
        <v>259900</v>
      </c>
      <c r="N240" s="29" t="s">
        <v>2826</v>
      </c>
      <c r="O240" s="36" t="s">
        <v>3220</v>
      </c>
      <c r="P240" s="28" t="s">
        <v>2826</v>
      </c>
    </row>
    <row r="241" spans="1:16" x14ac:dyDescent="0.3">
      <c r="A241" s="25" t="s">
        <v>3221</v>
      </c>
      <c r="B241" s="26">
        <v>46093</v>
      </c>
      <c r="C241" s="26">
        <v>46098</v>
      </c>
      <c r="D241" s="27">
        <v>3319</v>
      </c>
      <c r="E241" s="6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13839180</v>
      </c>
      <c r="K241" s="38" t="s">
        <v>1900</v>
      </c>
      <c r="L241" t="s">
        <v>1949</v>
      </c>
      <c r="M241" s="39">
        <v>259900</v>
      </c>
      <c r="N241" s="29" t="s">
        <v>2826</v>
      </c>
      <c r="O241" s="36" t="s">
        <v>3220</v>
      </c>
      <c r="P241" s="28" t="s">
        <v>2826</v>
      </c>
    </row>
    <row r="242" spans="1:16" x14ac:dyDescent="0.3">
      <c r="A242" s="25" t="s">
        <v>3221</v>
      </c>
      <c r="B242" s="26">
        <v>46093</v>
      </c>
      <c r="C242" s="26">
        <v>46098</v>
      </c>
      <c r="D242" s="27">
        <v>3319</v>
      </c>
      <c r="E242" s="6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13839199</v>
      </c>
      <c r="K242" s="38" t="s">
        <v>1900</v>
      </c>
      <c r="L242" t="s">
        <v>1950</v>
      </c>
      <c r="M242" s="39">
        <v>259900</v>
      </c>
      <c r="N242" s="29" t="s">
        <v>2826</v>
      </c>
      <c r="O242" s="36" t="s">
        <v>3220</v>
      </c>
      <c r="P242" s="28" t="s">
        <v>2826</v>
      </c>
    </row>
    <row r="243" spans="1:16" x14ac:dyDescent="0.3">
      <c r="A243" s="25" t="s">
        <v>3221</v>
      </c>
      <c r="B243" s="26">
        <v>46093</v>
      </c>
      <c r="C243" s="26">
        <v>46098</v>
      </c>
      <c r="D243" s="27">
        <v>3319</v>
      </c>
      <c r="E243" s="6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13839206</v>
      </c>
      <c r="K243" s="38" t="s">
        <v>1900</v>
      </c>
      <c r="L243" t="s">
        <v>1951</v>
      </c>
      <c r="M243" s="39">
        <v>259900</v>
      </c>
      <c r="N243" s="29" t="s">
        <v>2826</v>
      </c>
      <c r="O243" s="36" t="s">
        <v>3220</v>
      </c>
      <c r="P243" s="28" t="s">
        <v>2826</v>
      </c>
    </row>
    <row r="244" spans="1:16" x14ac:dyDescent="0.3">
      <c r="A244" s="25" t="s">
        <v>3221</v>
      </c>
      <c r="B244" s="26">
        <v>46093</v>
      </c>
      <c r="C244" s="26">
        <v>46098</v>
      </c>
      <c r="D244" s="27">
        <v>3319</v>
      </c>
      <c r="E244" s="6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13839215</v>
      </c>
      <c r="K244" s="38" t="s">
        <v>1900</v>
      </c>
      <c r="L244" t="s">
        <v>1952</v>
      </c>
      <c r="M244" s="39">
        <v>259900</v>
      </c>
      <c r="N244" s="29" t="s">
        <v>2826</v>
      </c>
      <c r="O244" s="36" t="s">
        <v>3220</v>
      </c>
      <c r="P244" s="28" t="s">
        <v>2826</v>
      </c>
    </row>
    <row r="245" spans="1:16" x14ac:dyDescent="0.3">
      <c r="A245" s="25" t="s">
        <v>3221</v>
      </c>
      <c r="B245" s="26">
        <v>46093</v>
      </c>
      <c r="C245" s="26">
        <v>46098</v>
      </c>
      <c r="D245" s="27">
        <v>3319</v>
      </c>
      <c r="E245" s="6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13839224</v>
      </c>
      <c r="K245" s="38" t="s">
        <v>1900</v>
      </c>
      <c r="L245" t="s">
        <v>1953</v>
      </c>
      <c r="M245" s="39">
        <v>259900</v>
      </c>
      <c r="N245" s="29" t="s">
        <v>2826</v>
      </c>
      <c r="O245" s="36" t="s">
        <v>3220</v>
      </c>
      <c r="P245" s="28" t="s">
        <v>2826</v>
      </c>
    </row>
    <row r="246" spans="1:16" x14ac:dyDescent="0.3">
      <c r="A246" s="25" t="s">
        <v>3221</v>
      </c>
      <c r="B246" s="26">
        <v>46093</v>
      </c>
      <c r="C246" s="26">
        <v>46098</v>
      </c>
      <c r="D246" s="27">
        <v>3319</v>
      </c>
      <c r="E246" s="6">
        <v>327</v>
      </c>
      <c r="F246" s="25">
        <v>2</v>
      </c>
      <c r="G246" s="28">
        <v>1</v>
      </c>
      <c r="H246" s="28">
        <v>81778</v>
      </c>
      <c r="I246" s="28" t="s">
        <v>17</v>
      </c>
      <c r="J246" s="28">
        <v>14226992</v>
      </c>
      <c r="K246" s="38" t="s">
        <v>1976</v>
      </c>
      <c r="L246" t="s">
        <v>1977</v>
      </c>
      <c r="M246" s="39">
        <v>259900</v>
      </c>
      <c r="N246" s="29" t="s">
        <v>2826</v>
      </c>
      <c r="O246" s="36" t="s">
        <v>3220</v>
      </c>
      <c r="P246" s="28" t="s">
        <v>2826</v>
      </c>
    </row>
    <row r="247" spans="1:16" x14ac:dyDescent="0.3">
      <c r="A247" s="25" t="s">
        <v>3221</v>
      </c>
      <c r="B247" s="26">
        <v>46093</v>
      </c>
      <c r="C247" s="26">
        <v>46098</v>
      </c>
      <c r="D247" s="27">
        <v>3319</v>
      </c>
      <c r="E247" s="6">
        <v>327</v>
      </c>
      <c r="F247" s="25">
        <v>2</v>
      </c>
      <c r="G247" s="28">
        <v>1</v>
      </c>
      <c r="H247" s="28">
        <v>81778</v>
      </c>
      <c r="I247" s="28" t="s">
        <v>17</v>
      </c>
      <c r="J247" s="28">
        <v>14227008</v>
      </c>
      <c r="K247" s="38" t="s">
        <v>1976</v>
      </c>
      <c r="L247" t="s">
        <v>1978</v>
      </c>
      <c r="M247" s="39">
        <v>259900</v>
      </c>
      <c r="N247" s="29" t="s">
        <v>2826</v>
      </c>
      <c r="O247" s="36" t="s">
        <v>3220</v>
      </c>
      <c r="P247" s="28" t="s">
        <v>2826</v>
      </c>
    </row>
    <row r="248" spans="1:16" x14ac:dyDescent="0.3">
      <c r="A248" s="25" t="s">
        <v>3221</v>
      </c>
      <c r="B248" s="26">
        <v>46093</v>
      </c>
      <c r="C248" s="26">
        <v>46098</v>
      </c>
      <c r="D248" s="27">
        <v>3319</v>
      </c>
      <c r="E248" s="6">
        <v>327</v>
      </c>
      <c r="F248" s="25">
        <v>2</v>
      </c>
      <c r="G248" s="28">
        <v>1</v>
      </c>
      <c r="H248" s="28">
        <v>81778</v>
      </c>
      <c r="I248" s="28" t="s">
        <v>17</v>
      </c>
      <c r="J248" s="28">
        <v>14227017</v>
      </c>
      <c r="K248" s="38" t="s">
        <v>1976</v>
      </c>
      <c r="L248" t="s">
        <v>1979</v>
      </c>
      <c r="M248" s="39">
        <v>259900</v>
      </c>
      <c r="N248" s="29" t="s">
        <v>2826</v>
      </c>
      <c r="O248" s="36" t="s">
        <v>3220</v>
      </c>
      <c r="P248" s="28" t="s">
        <v>2826</v>
      </c>
    </row>
    <row r="249" spans="1:16" x14ac:dyDescent="0.3">
      <c r="A249" s="25" t="s">
        <v>3221</v>
      </c>
      <c r="B249" s="26">
        <v>46093</v>
      </c>
      <c r="C249" s="26">
        <v>46098</v>
      </c>
      <c r="D249" s="27">
        <v>3319</v>
      </c>
      <c r="E249" s="6">
        <v>327</v>
      </c>
      <c r="F249" s="25">
        <v>2</v>
      </c>
      <c r="G249" s="28">
        <v>1</v>
      </c>
      <c r="H249" s="28">
        <v>81778</v>
      </c>
      <c r="I249" s="28" t="s">
        <v>17</v>
      </c>
      <c r="J249" s="28">
        <v>14227026</v>
      </c>
      <c r="K249" s="38" t="s">
        <v>1976</v>
      </c>
      <c r="L249" t="s">
        <v>1980</v>
      </c>
      <c r="M249" s="39">
        <v>259900</v>
      </c>
      <c r="N249" s="29" t="s">
        <v>2826</v>
      </c>
      <c r="O249" s="36" t="s">
        <v>3220</v>
      </c>
      <c r="P249" s="28" t="s">
        <v>2826</v>
      </c>
    </row>
    <row r="250" spans="1:16" x14ac:dyDescent="0.3">
      <c r="A250" s="25" t="s">
        <v>3221</v>
      </c>
      <c r="B250" s="26">
        <v>46093</v>
      </c>
      <c r="C250" s="26">
        <v>46098</v>
      </c>
      <c r="D250" s="27">
        <v>3319</v>
      </c>
      <c r="E250" s="6">
        <v>327</v>
      </c>
      <c r="F250" s="25">
        <v>2</v>
      </c>
      <c r="G250" s="28">
        <v>1</v>
      </c>
      <c r="H250" s="28">
        <v>81778</v>
      </c>
      <c r="I250" s="28" t="s">
        <v>17</v>
      </c>
      <c r="J250" s="28">
        <v>14227035</v>
      </c>
      <c r="K250" s="38" t="s">
        <v>1976</v>
      </c>
      <c r="L250" t="s">
        <v>1981</v>
      </c>
      <c r="M250" s="39">
        <v>259900</v>
      </c>
      <c r="N250" s="29" t="s">
        <v>2826</v>
      </c>
      <c r="O250" s="36" t="s">
        <v>3220</v>
      </c>
      <c r="P250" s="28" t="s">
        <v>2826</v>
      </c>
    </row>
    <row r="251" spans="1:16" x14ac:dyDescent="0.3">
      <c r="A251" s="25" t="s">
        <v>3221</v>
      </c>
      <c r="B251" s="26">
        <v>46093</v>
      </c>
      <c r="C251" s="26">
        <v>46098</v>
      </c>
      <c r="D251" s="27">
        <v>3319</v>
      </c>
      <c r="E251" s="6">
        <v>327</v>
      </c>
      <c r="F251" s="25">
        <v>2</v>
      </c>
      <c r="G251" s="28">
        <v>1</v>
      </c>
      <c r="H251" s="28">
        <v>81778</v>
      </c>
      <c r="I251" s="28" t="s">
        <v>17</v>
      </c>
      <c r="J251" s="28">
        <v>14227044</v>
      </c>
      <c r="K251" s="38" t="s">
        <v>1976</v>
      </c>
      <c r="L251" t="s">
        <v>1982</v>
      </c>
      <c r="M251" s="39">
        <v>259900</v>
      </c>
      <c r="N251" s="29" t="s">
        <v>2826</v>
      </c>
      <c r="O251" s="36" t="s">
        <v>3220</v>
      </c>
      <c r="P251" s="28" t="s">
        <v>2826</v>
      </c>
    </row>
    <row r="252" spans="1:16" x14ac:dyDescent="0.3">
      <c r="A252" s="25" t="s">
        <v>3221</v>
      </c>
      <c r="B252" s="26">
        <v>46093</v>
      </c>
      <c r="C252" s="26">
        <v>46098</v>
      </c>
      <c r="D252" s="27">
        <v>3319</v>
      </c>
      <c r="E252" s="6">
        <v>327</v>
      </c>
      <c r="F252" s="25">
        <v>2</v>
      </c>
      <c r="G252" s="28">
        <v>1</v>
      </c>
      <c r="H252" s="28">
        <v>81778</v>
      </c>
      <c r="I252" s="28" t="s">
        <v>17</v>
      </c>
      <c r="J252" s="28">
        <v>14227053</v>
      </c>
      <c r="K252" s="38" t="s">
        <v>1976</v>
      </c>
      <c r="L252" t="s">
        <v>1983</v>
      </c>
      <c r="M252" s="39">
        <v>259900</v>
      </c>
      <c r="N252" s="29" t="s">
        <v>2826</v>
      </c>
      <c r="O252" s="36" t="s">
        <v>3220</v>
      </c>
      <c r="P252" s="28" t="s">
        <v>2826</v>
      </c>
    </row>
    <row r="253" spans="1:16" x14ac:dyDescent="0.3">
      <c r="A253" s="25" t="s">
        <v>3221</v>
      </c>
      <c r="B253" s="26">
        <v>46093</v>
      </c>
      <c r="C253" s="26">
        <v>46098</v>
      </c>
      <c r="D253" s="27">
        <v>3319</v>
      </c>
      <c r="E253" s="6">
        <v>327</v>
      </c>
      <c r="F253" s="25">
        <v>2</v>
      </c>
      <c r="G253" s="28">
        <v>1</v>
      </c>
      <c r="H253" s="28">
        <v>81778</v>
      </c>
      <c r="I253" s="28" t="s">
        <v>17</v>
      </c>
      <c r="J253" s="28">
        <v>14227062</v>
      </c>
      <c r="K253" s="38" t="s">
        <v>1976</v>
      </c>
      <c r="L253" t="s">
        <v>1984</v>
      </c>
      <c r="M253" s="39">
        <v>259900</v>
      </c>
      <c r="N253" s="29" t="s">
        <v>2826</v>
      </c>
      <c r="O253" s="36" t="s">
        <v>3220</v>
      </c>
      <c r="P253" s="28" t="s">
        <v>2826</v>
      </c>
    </row>
    <row r="254" spans="1:16" x14ac:dyDescent="0.3">
      <c r="A254" s="25" t="s">
        <v>3221</v>
      </c>
      <c r="B254" s="26">
        <v>46093</v>
      </c>
      <c r="C254" s="26">
        <v>46098</v>
      </c>
      <c r="D254" s="27">
        <v>3319</v>
      </c>
      <c r="E254" s="6">
        <v>327</v>
      </c>
      <c r="F254" s="25">
        <v>2</v>
      </c>
      <c r="G254" s="28">
        <v>1</v>
      </c>
      <c r="H254" s="28">
        <v>81778</v>
      </c>
      <c r="I254" s="28" t="s">
        <v>17</v>
      </c>
      <c r="J254" s="28">
        <v>14227071</v>
      </c>
      <c r="K254" s="38" t="s">
        <v>1976</v>
      </c>
      <c r="L254" t="s">
        <v>1985</v>
      </c>
      <c r="M254" s="39">
        <v>259900</v>
      </c>
      <c r="N254" s="29" t="s">
        <v>2826</v>
      </c>
      <c r="O254" s="36" t="s">
        <v>3220</v>
      </c>
      <c r="P254" s="28" t="s">
        <v>2826</v>
      </c>
    </row>
    <row r="255" spans="1:16" x14ac:dyDescent="0.3">
      <c r="A255" s="25" t="s">
        <v>3221</v>
      </c>
      <c r="B255" s="26">
        <v>46093</v>
      </c>
      <c r="C255" s="26">
        <v>46098</v>
      </c>
      <c r="D255" s="27">
        <v>3319</v>
      </c>
      <c r="E255" s="6">
        <v>327</v>
      </c>
      <c r="F255" s="25">
        <v>2</v>
      </c>
      <c r="G255" s="28">
        <v>1</v>
      </c>
      <c r="H255" s="28">
        <v>81778</v>
      </c>
      <c r="I255" s="28" t="s">
        <v>17</v>
      </c>
      <c r="J255" s="28">
        <v>14227080</v>
      </c>
      <c r="K255" s="38" t="s">
        <v>1976</v>
      </c>
      <c r="L255" t="s">
        <v>1986</v>
      </c>
      <c r="M255" s="39">
        <v>259900</v>
      </c>
      <c r="N255" s="29" t="s">
        <v>2826</v>
      </c>
      <c r="O255" s="36" t="s">
        <v>3220</v>
      </c>
      <c r="P255" s="28" t="s">
        <v>2826</v>
      </c>
    </row>
    <row r="256" spans="1:16" x14ac:dyDescent="0.3">
      <c r="A256" s="25" t="s">
        <v>3221</v>
      </c>
      <c r="B256" s="26">
        <v>46093</v>
      </c>
      <c r="C256" s="26">
        <v>46098</v>
      </c>
      <c r="D256" s="27">
        <v>3319</v>
      </c>
      <c r="E256" s="6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15806363</v>
      </c>
      <c r="K256" s="38" t="s">
        <v>2063</v>
      </c>
      <c r="L256" t="s">
        <v>2064</v>
      </c>
      <c r="M256" s="39">
        <v>259900</v>
      </c>
      <c r="N256" s="29" t="s">
        <v>2826</v>
      </c>
      <c r="O256" s="36" t="s">
        <v>3220</v>
      </c>
      <c r="P256" s="28" t="s">
        <v>2826</v>
      </c>
    </row>
    <row r="257" spans="1:16" x14ac:dyDescent="0.3">
      <c r="A257" s="25" t="s">
        <v>3221</v>
      </c>
      <c r="B257" s="26">
        <v>46093</v>
      </c>
      <c r="C257" s="26">
        <v>46098</v>
      </c>
      <c r="D257" s="27">
        <v>3319</v>
      </c>
      <c r="E257" s="6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15806372</v>
      </c>
      <c r="K257" s="38" t="s">
        <v>2063</v>
      </c>
      <c r="L257" t="s">
        <v>2065</v>
      </c>
      <c r="M257" s="39">
        <v>259900</v>
      </c>
      <c r="N257" s="29" t="s">
        <v>2826</v>
      </c>
      <c r="O257" s="36" t="s">
        <v>3220</v>
      </c>
      <c r="P257" s="28" t="s">
        <v>2826</v>
      </c>
    </row>
    <row r="258" spans="1:16" x14ac:dyDescent="0.3">
      <c r="A258" s="25" t="s">
        <v>3221</v>
      </c>
      <c r="B258" s="26">
        <v>46093</v>
      </c>
      <c r="C258" s="26">
        <v>46098</v>
      </c>
      <c r="D258" s="27">
        <v>3319</v>
      </c>
      <c r="E258" s="6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15806381</v>
      </c>
      <c r="K258" s="38" t="s">
        <v>2063</v>
      </c>
      <c r="L258" t="s">
        <v>2066</v>
      </c>
      <c r="M258" s="39">
        <v>259900</v>
      </c>
      <c r="N258" s="29" t="s">
        <v>2826</v>
      </c>
      <c r="O258" s="36" t="s">
        <v>3220</v>
      </c>
      <c r="P258" s="28" t="s">
        <v>2826</v>
      </c>
    </row>
    <row r="259" spans="1:16" x14ac:dyDescent="0.3">
      <c r="A259" s="25" t="s">
        <v>3221</v>
      </c>
      <c r="B259" s="26">
        <v>46093</v>
      </c>
      <c r="C259" s="26">
        <v>46098</v>
      </c>
      <c r="D259" s="27">
        <v>3319</v>
      </c>
      <c r="E259" s="6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15806390</v>
      </c>
      <c r="K259" s="38" t="s">
        <v>2063</v>
      </c>
      <c r="L259" t="s">
        <v>2067</v>
      </c>
      <c r="M259" s="39">
        <v>259900</v>
      </c>
      <c r="N259" s="29" t="s">
        <v>2826</v>
      </c>
      <c r="O259" s="36" t="s">
        <v>3220</v>
      </c>
      <c r="P259" s="28" t="s">
        <v>2826</v>
      </c>
    </row>
    <row r="260" spans="1:16" x14ac:dyDescent="0.3">
      <c r="A260" s="25" t="s">
        <v>3221</v>
      </c>
      <c r="B260" s="26">
        <v>46093</v>
      </c>
      <c r="C260" s="26">
        <v>46098</v>
      </c>
      <c r="D260" s="27">
        <v>3319</v>
      </c>
      <c r="E260" s="6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15806407</v>
      </c>
      <c r="K260" s="38" t="s">
        <v>2063</v>
      </c>
      <c r="L260" t="s">
        <v>2068</v>
      </c>
      <c r="M260" s="39">
        <v>259900</v>
      </c>
      <c r="N260" s="29" t="s">
        <v>2826</v>
      </c>
      <c r="O260" s="36" t="s">
        <v>3220</v>
      </c>
      <c r="P260" s="28" t="s">
        <v>2826</v>
      </c>
    </row>
    <row r="261" spans="1:16" x14ac:dyDescent="0.3">
      <c r="A261" s="25" t="s">
        <v>3221</v>
      </c>
      <c r="B261" s="26">
        <v>46093</v>
      </c>
      <c r="C261" s="26">
        <v>46098</v>
      </c>
      <c r="D261" s="27">
        <v>3319</v>
      </c>
      <c r="E261" s="6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15806318</v>
      </c>
      <c r="K261" s="38" t="s">
        <v>2052</v>
      </c>
      <c r="L261" t="s">
        <v>2058</v>
      </c>
      <c r="M261" s="39">
        <v>259900</v>
      </c>
      <c r="N261" s="29" t="s">
        <v>2826</v>
      </c>
      <c r="O261" s="36" t="s">
        <v>3220</v>
      </c>
      <c r="P261" s="28" t="s">
        <v>2826</v>
      </c>
    </row>
    <row r="262" spans="1:16" x14ac:dyDescent="0.3">
      <c r="A262" s="25" t="s">
        <v>3221</v>
      </c>
      <c r="B262" s="26">
        <v>46093</v>
      </c>
      <c r="C262" s="26">
        <v>46098</v>
      </c>
      <c r="D262" s="27">
        <v>3319</v>
      </c>
      <c r="E262" s="6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15806327</v>
      </c>
      <c r="K262" s="38" t="s">
        <v>2052</v>
      </c>
      <c r="L262" t="s">
        <v>2059</v>
      </c>
      <c r="M262" s="39">
        <v>259900</v>
      </c>
      <c r="N262" s="29" t="s">
        <v>2826</v>
      </c>
      <c r="O262" s="36" t="s">
        <v>3220</v>
      </c>
      <c r="P262" s="28" t="s">
        <v>2826</v>
      </c>
    </row>
    <row r="263" spans="1:16" x14ac:dyDescent="0.3">
      <c r="A263" s="25" t="s">
        <v>3221</v>
      </c>
      <c r="B263" s="26">
        <v>46093</v>
      </c>
      <c r="C263" s="26">
        <v>46098</v>
      </c>
      <c r="D263" s="27">
        <v>3319</v>
      </c>
      <c r="E263" s="6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15806336</v>
      </c>
      <c r="K263" s="38" t="s">
        <v>2052</v>
      </c>
      <c r="L263" t="s">
        <v>2060</v>
      </c>
      <c r="M263" s="39">
        <v>259900</v>
      </c>
      <c r="N263" s="29" t="s">
        <v>2826</v>
      </c>
      <c r="O263" s="36" t="s">
        <v>3220</v>
      </c>
      <c r="P263" s="28" t="s">
        <v>2826</v>
      </c>
    </row>
    <row r="264" spans="1:16" x14ac:dyDescent="0.3">
      <c r="A264" s="25" t="s">
        <v>3221</v>
      </c>
      <c r="B264" s="26">
        <v>46093</v>
      </c>
      <c r="C264" s="26">
        <v>46098</v>
      </c>
      <c r="D264" s="27">
        <v>3319</v>
      </c>
      <c r="E264" s="6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15806345</v>
      </c>
      <c r="K264" s="38" t="s">
        <v>2052</v>
      </c>
      <c r="L264" t="s">
        <v>2061</v>
      </c>
      <c r="M264" s="39">
        <v>259900</v>
      </c>
      <c r="N264" s="29" t="s">
        <v>2826</v>
      </c>
      <c r="O264" s="36" t="s">
        <v>3220</v>
      </c>
      <c r="P264" s="28" t="s">
        <v>2826</v>
      </c>
    </row>
    <row r="265" spans="1:16" x14ac:dyDescent="0.3">
      <c r="A265" s="25" t="s">
        <v>3221</v>
      </c>
      <c r="B265" s="26">
        <v>46093</v>
      </c>
      <c r="C265" s="26">
        <v>46098</v>
      </c>
      <c r="D265" s="27">
        <v>3319</v>
      </c>
      <c r="E265" s="6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15806354</v>
      </c>
      <c r="K265" s="38" t="s">
        <v>2052</v>
      </c>
      <c r="L265" t="s">
        <v>2062</v>
      </c>
      <c r="M265" s="39">
        <v>259900</v>
      </c>
      <c r="N265" s="29" t="s">
        <v>2826</v>
      </c>
      <c r="O265" s="36" t="s">
        <v>3220</v>
      </c>
      <c r="P265" s="28" t="s">
        <v>2826</v>
      </c>
    </row>
    <row r="266" spans="1:16" x14ac:dyDescent="0.3">
      <c r="A266" s="25" t="s">
        <v>3221</v>
      </c>
      <c r="B266" s="26">
        <v>46093</v>
      </c>
      <c r="C266" s="26">
        <v>46098</v>
      </c>
      <c r="D266" s="27">
        <v>3319</v>
      </c>
      <c r="E266" s="6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13838850</v>
      </c>
      <c r="K266" s="38" t="s">
        <v>31</v>
      </c>
      <c r="L266" t="s">
        <v>1709</v>
      </c>
      <c r="M266" s="39">
        <v>279900</v>
      </c>
      <c r="N266" s="29" t="s">
        <v>2826</v>
      </c>
      <c r="O266" s="36" t="s">
        <v>3220</v>
      </c>
      <c r="P266" s="28" t="s">
        <v>2826</v>
      </c>
    </row>
    <row r="267" spans="1:16" x14ac:dyDescent="0.3">
      <c r="A267" s="25" t="s">
        <v>3221</v>
      </c>
      <c r="B267" s="26">
        <v>46093</v>
      </c>
      <c r="C267" s="26">
        <v>46098</v>
      </c>
      <c r="D267" s="27">
        <v>3319</v>
      </c>
      <c r="E267" s="6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13838887</v>
      </c>
      <c r="K267" s="38" t="s">
        <v>31</v>
      </c>
      <c r="L267" t="s">
        <v>1712</v>
      </c>
      <c r="M267" s="39">
        <v>279900</v>
      </c>
      <c r="N267" s="29" t="s">
        <v>2826</v>
      </c>
      <c r="O267" s="36" t="s">
        <v>3220</v>
      </c>
      <c r="P267" s="28" t="s">
        <v>2826</v>
      </c>
    </row>
    <row r="268" spans="1:16" x14ac:dyDescent="0.3">
      <c r="A268" s="25" t="s">
        <v>3221</v>
      </c>
      <c r="B268" s="26">
        <v>46093</v>
      </c>
      <c r="C268" s="26">
        <v>46098</v>
      </c>
      <c r="D268" s="27">
        <v>3319</v>
      </c>
      <c r="E268" s="6">
        <v>327</v>
      </c>
      <c r="F268" s="25">
        <v>2</v>
      </c>
      <c r="G268" s="28">
        <v>1</v>
      </c>
      <c r="H268" s="28">
        <v>81778</v>
      </c>
      <c r="I268" s="28" t="s">
        <v>17</v>
      </c>
      <c r="J268" s="28">
        <v>13838270</v>
      </c>
      <c r="K268" s="38" t="s">
        <v>19</v>
      </c>
      <c r="L268" t="s">
        <v>24</v>
      </c>
      <c r="M268" s="39">
        <v>259900</v>
      </c>
      <c r="N268" s="29" t="s">
        <v>2826</v>
      </c>
      <c r="O268" s="36" t="s">
        <v>3220</v>
      </c>
      <c r="P268" s="28" t="s">
        <v>2826</v>
      </c>
    </row>
    <row r="269" spans="1:16" x14ac:dyDescent="0.3">
      <c r="A269" s="25" t="s">
        <v>3221</v>
      </c>
      <c r="B269" s="26">
        <v>46093</v>
      </c>
      <c r="C269" s="26">
        <v>46098</v>
      </c>
      <c r="D269" s="27">
        <v>3319</v>
      </c>
      <c r="E269" s="6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82228906</v>
      </c>
      <c r="K269" s="38" t="s">
        <v>1681</v>
      </c>
      <c r="L269" t="s">
        <v>1684</v>
      </c>
      <c r="M269" s="39">
        <v>279900</v>
      </c>
      <c r="N269" s="29" t="s">
        <v>2826</v>
      </c>
      <c r="O269" s="36" t="s">
        <v>3220</v>
      </c>
      <c r="P269" s="28" t="s">
        <v>2826</v>
      </c>
    </row>
    <row r="270" spans="1:16" x14ac:dyDescent="0.3">
      <c r="A270" s="25" t="s">
        <v>3221</v>
      </c>
      <c r="B270" s="26">
        <v>46093</v>
      </c>
      <c r="C270" s="26">
        <v>46098</v>
      </c>
      <c r="D270" s="27">
        <v>3319</v>
      </c>
      <c r="E270" s="6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13838387</v>
      </c>
      <c r="K270" s="38" t="s">
        <v>1816</v>
      </c>
      <c r="L270" t="s">
        <v>1822</v>
      </c>
      <c r="M270" s="39">
        <v>259900</v>
      </c>
      <c r="N270" s="29" t="s">
        <v>2826</v>
      </c>
      <c r="O270" s="36" t="s">
        <v>3220</v>
      </c>
      <c r="P270" s="28" t="s">
        <v>2826</v>
      </c>
    </row>
    <row r="271" spans="1:16" x14ac:dyDescent="0.3">
      <c r="A271" s="25" t="s">
        <v>3221</v>
      </c>
      <c r="B271" s="26">
        <v>46093</v>
      </c>
      <c r="C271" s="26">
        <v>46098</v>
      </c>
      <c r="D271" s="27">
        <v>3319</v>
      </c>
      <c r="E271" s="6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13838396</v>
      </c>
      <c r="K271" s="38" t="s">
        <v>1816</v>
      </c>
      <c r="L271" t="s">
        <v>1823</v>
      </c>
      <c r="M271" s="39">
        <v>259900</v>
      </c>
      <c r="N271" s="29" t="s">
        <v>2826</v>
      </c>
      <c r="O271" s="36" t="s">
        <v>3220</v>
      </c>
      <c r="P271" s="28" t="s">
        <v>2826</v>
      </c>
    </row>
    <row r="272" spans="1:16" x14ac:dyDescent="0.3">
      <c r="A272" s="25" t="s">
        <v>3221</v>
      </c>
      <c r="B272" s="26">
        <v>46093</v>
      </c>
      <c r="C272" s="26">
        <v>46098</v>
      </c>
      <c r="D272" s="27">
        <v>3319</v>
      </c>
      <c r="E272" s="6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13838403</v>
      </c>
      <c r="K272" s="38" t="s">
        <v>1816</v>
      </c>
      <c r="L272" t="s">
        <v>1824</v>
      </c>
      <c r="M272" s="39">
        <v>259900</v>
      </c>
      <c r="N272" s="29" t="s">
        <v>2826</v>
      </c>
      <c r="O272" s="36" t="s">
        <v>3220</v>
      </c>
      <c r="P272" s="28" t="s">
        <v>2826</v>
      </c>
    </row>
    <row r="273" spans="1:16" x14ac:dyDescent="0.3">
      <c r="A273" s="25" t="s">
        <v>3221</v>
      </c>
      <c r="B273" s="26">
        <v>46093</v>
      </c>
      <c r="C273" s="26">
        <v>46098</v>
      </c>
      <c r="D273" s="27">
        <v>3319</v>
      </c>
      <c r="E273" s="6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13838412</v>
      </c>
      <c r="K273" s="38" t="s">
        <v>1816</v>
      </c>
      <c r="L273" t="s">
        <v>1825</v>
      </c>
      <c r="M273" s="39">
        <v>259900</v>
      </c>
      <c r="N273" s="29" t="s">
        <v>2826</v>
      </c>
      <c r="O273" s="36" t="s">
        <v>3220</v>
      </c>
      <c r="P273" s="28" t="s">
        <v>2826</v>
      </c>
    </row>
    <row r="274" spans="1:16" x14ac:dyDescent="0.3">
      <c r="A274" s="25" t="s">
        <v>3221</v>
      </c>
      <c r="B274" s="26">
        <v>46093</v>
      </c>
      <c r="C274" s="26">
        <v>46098</v>
      </c>
      <c r="D274" s="27">
        <v>3319</v>
      </c>
      <c r="E274" s="6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13838421</v>
      </c>
      <c r="K274" s="38" t="s">
        <v>1816</v>
      </c>
      <c r="L274" t="s">
        <v>1826</v>
      </c>
      <c r="M274" s="39">
        <v>259900</v>
      </c>
      <c r="N274" s="29" t="s">
        <v>2826</v>
      </c>
      <c r="O274" s="36" t="s">
        <v>3220</v>
      </c>
      <c r="P274" s="28" t="s">
        <v>2826</v>
      </c>
    </row>
    <row r="275" spans="1:16" x14ac:dyDescent="0.3">
      <c r="A275" s="25" t="s">
        <v>3221</v>
      </c>
      <c r="B275" s="26">
        <v>46093</v>
      </c>
      <c r="C275" s="26">
        <v>46098</v>
      </c>
      <c r="D275" s="27">
        <v>3319</v>
      </c>
      <c r="E275" s="6">
        <v>327</v>
      </c>
      <c r="F275" s="25">
        <v>2</v>
      </c>
      <c r="G275" s="28">
        <v>1</v>
      </c>
      <c r="H275" s="28">
        <v>81778</v>
      </c>
      <c r="I275" s="28" t="s">
        <v>17</v>
      </c>
      <c r="J275" s="28">
        <v>13838181</v>
      </c>
      <c r="K275" s="38" t="s">
        <v>1838</v>
      </c>
      <c r="L275" t="s">
        <v>1839</v>
      </c>
      <c r="M275" s="39">
        <v>279900</v>
      </c>
      <c r="N275" s="29" t="s">
        <v>2826</v>
      </c>
      <c r="O275" s="36" t="s">
        <v>3220</v>
      </c>
      <c r="P275" s="28" t="s">
        <v>2826</v>
      </c>
    </row>
    <row r="276" spans="1:16" x14ac:dyDescent="0.3">
      <c r="A276" s="25" t="s">
        <v>3221</v>
      </c>
      <c r="B276" s="26">
        <v>46093</v>
      </c>
      <c r="C276" s="26">
        <v>46098</v>
      </c>
      <c r="D276" s="27">
        <v>3319</v>
      </c>
      <c r="E276" s="6">
        <v>327</v>
      </c>
      <c r="F276" s="25">
        <v>2</v>
      </c>
      <c r="G276" s="28">
        <v>1</v>
      </c>
      <c r="H276" s="28">
        <v>81778</v>
      </c>
      <c r="I276" s="28" t="s">
        <v>17</v>
      </c>
      <c r="J276" s="28">
        <v>13838207</v>
      </c>
      <c r="K276" s="38" t="s">
        <v>1838</v>
      </c>
      <c r="L276" t="s">
        <v>1841</v>
      </c>
      <c r="M276" s="39">
        <v>279900</v>
      </c>
      <c r="N276" s="29" t="s">
        <v>2826</v>
      </c>
      <c r="O276" s="36" t="s">
        <v>3220</v>
      </c>
      <c r="P276" s="28" t="s">
        <v>2826</v>
      </c>
    </row>
    <row r="277" spans="1:16" x14ac:dyDescent="0.3">
      <c r="A277" s="25" t="s">
        <v>3221</v>
      </c>
      <c r="B277" s="26">
        <v>46093</v>
      </c>
      <c r="C277" s="26">
        <v>46098</v>
      </c>
      <c r="D277" s="27">
        <v>3319</v>
      </c>
      <c r="E277" s="6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13839288</v>
      </c>
      <c r="K277" s="38" t="s">
        <v>1889</v>
      </c>
      <c r="L277" t="s">
        <v>1890</v>
      </c>
      <c r="M277" s="39">
        <v>259900</v>
      </c>
      <c r="N277" s="29" t="s">
        <v>2826</v>
      </c>
      <c r="O277" s="36" t="s">
        <v>3220</v>
      </c>
      <c r="P277" s="28" t="s">
        <v>2826</v>
      </c>
    </row>
    <row r="278" spans="1:16" x14ac:dyDescent="0.3">
      <c r="A278" s="25" t="s">
        <v>3221</v>
      </c>
      <c r="B278" s="26">
        <v>46093</v>
      </c>
      <c r="C278" s="26">
        <v>46098</v>
      </c>
      <c r="D278" s="27">
        <v>3319</v>
      </c>
      <c r="E278" s="6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13839297</v>
      </c>
      <c r="K278" s="38" t="s">
        <v>1889</v>
      </c>
      <c r="L278" t="s">
        <v>1891</v>
      </c>
      <c r="M278" s="39">
        <v>259900</v>
      </c>
      <c r="N278" s="29" t="s">
        <v>2826</v>
      </c>
      <c r="O278" s="36" t="s">
        <v>3220</v>
      </c>
      <c r="P278" s="28" t="s">
        <v>2826</v>
      </c>
    </row>
    <row r="279" spans="1:16" x14ac:dyDescent="0.3">
      <c r="A279" s="25" t="s">
        <v>3221</v>
      </c>
      <c r="B279" s="26">
        <v>46093</v>
      </c>
      <c r="C279" s="26">
        <v>46098</v>
      </c>
      <c r="D279" s="27">
        <v>3319</v>
      </c>
      <c r="E279" s="6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13839304</v>
      </c>
      <c r="K279" s="38" t="s">
        <v>1889</v>
      </c>
      <c r="L279" t="s">
        <v>1892</v>
      </c>
      <c r="M279" s="39">
        <v>259900</v>
      </c>
      <c r="N279" s="29" t="s">
        <v>2826</v>
      </c>
      <c r="O279" s="36" t="s">
        <v>3220</v>
      </c>
      <c r="P279" s="28" t="s">
        <v>2826</v>
      </c>
    </row>
    <row r="280" spans="1:16" x14ac:dyDescent="0.3">
      <c r="A280" s="25" t="s">
        <v>3221</v>
      </c>
      <c r="B280" s="26">
        <v>46093</v>
      </c>
      <c r="C280" s="26">
        <v>46098</v>
      </c>
      <c r="D280" s="27">
        <v>3319</v>
      </c>
      <c r="E280" s="6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13839313</v>
      </c>
      <c r="K280" s="38" t="s">
        <v>1889</v>
      </c>
      <c r="L280" t="s">
        <v>1893</v>
      </c>
      <c r="M280" s="39">
        <v>259900</v>
      </c>
      <c r="N280" s="29" t="s">
        <v>2826</v>
      </c>
      <c r="O280" s="36" t="s">
        <v>3220</v>
      </c>
      <c r="P280" s="28" t="s">
        <v>2826</v>
      </c>
    </row>
    <row r="281" spans="1:16" x14ac:dyDescent="0.3">
      <c r="A281" s="25" t="s">
        <v>3221</v>
      </c>
      <c r="B281" s="26">
        <v>46093</v>
      </c>
      <c r="C281" s="26">
        <v>46098</v>
      </c>
      <c r="D281" s="27">
        <v>3319</v>
      </c>
      <c r="E281" s="6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13839322</v>
      </c>
      <c r="K281" s="38" t="s">
        <v>1889</v>
      </c>
      <c r="L281" t="s">
        <v>1894</v>
      </c>
      <c r="M281" s="39">
        <v>259900</v>
      </c>
      <c r="N281" s="29" t="s">
        <v>2826</v>
      </c>
      <c r="O281" s="36" t="s">
        <v>3220</v>
      </c>
      <c r="P281" s="28" t="s">
        <v>2826</v>
      </c>
    </row>
    <row r="282" spans="1:16" x14ac:dyDescent="0.3">
      <c r="A282" s="25" t="s">
        <v>3221</v>
      </c>
      <c r="B282" s="26">
        <v>46093</v>
      </c>
      <c r="C282" s="26">
        <v>46098</v>
      </c>
      <c r="D282" s="27">
        <v>3319</v>
      </c>
      <c r="E282" s="6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13839331</v>
      </c>
      <c r="K282" s="38" t="s">
        <v>1889</v>
      </c>
      <c r="L282" t="s">
        <v>1895</v>
      </c>
      <c r="M282" s="39">
        <v>259900</v>
      </c>
      <c r="N282" s="29" t="s">
        <v>2826</v>
      </c>
      <c r="O282" s="36" t="s">
        <v>3220</v>
      </c>
      <c r="P282" s="28" t="s">
        <v>2826</v>
      </c>
    </row>
    <row r="283" spans="1:16" x14ac:dyDescent="0.3">
      <c r="A283" s="25" t="s">
        <v>3221</v>
      </c>
      <c r="B283" s="26">
        <v>46093</v>
      </c>
      <c r="C283" s="26">
        <v>46098</v>
      </c>
      <c r="D283" s="27">
        <v>3319</v>
      </c>
      <c r="E283" s="6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13839340</v>
      </c>
      <c r="K283" s="38" t="s">
        <v>1889</v>
      </c>
      <c r="L283" t="s">
        <v>1896</v>
      </c>
      <c r="M283" s="39">
        <v>259900</v>
      </c>
      <c r="N283" s="29" t="s">
        <v>2826</v>
      </c>
      <c r="O283" s="36" t="s">
        <v>3220</v>
      </c>
      <c r="P283" s="28" t="s">
        <v>2826</v>
      </c>
    </row>
    <row r="284" spans="1:16" x14ac:dyDescent="0.3">
      <c r="A284" s="25" t="s">
        <v>3221</v>
      </c>
      <c r="B284" s="26">
        <v>46093</v>
      </c>
      <c r="C284" s="26">
        <v>46098</v>
      </c>
      <c r="D284" s="27">
        <v>3319</v>
      </c>
      <c r="E284" s="6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13839368</v>
      </c>
      <c r="K284" s="38" t="s">
        <v>1889</v>
      </c>
      <c r="L284" t="s">
        <v>1897</v>
      </c>
      <c r="M284" s="39">
        <v>259900</v>
      </c>
      <c r="N284" s="29" t="s">
        <v>2826</v>
      </c>
      <c r="O284" s="36" t="s">
        <v>3220</v>
      </c>
      <c r="P284" s="28" t="s">
        <v>2826</v>
      </c>
    </row>
    <row r="285" spans="1:16" x14ac:dyDescent="0.3">
      <c r="A285" s="25" t="s">
        <v>3221</v>
      </c>
      <c r="B285" s="26">
        <v>46093</v>
      </c>
      <c r="C285" s="26">
        <v>46098</v>
      </c>
      <c r="D285" s="27">
        <v>3319</v>
      </c>
      <c r="E285" s="6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13839377</v>
      </c>
      <c r="K285" s="38" t="s">
        <v>1889</v>
      </c>
      <c r="L285" t="s">
        <v>1898</v>
      </c>
      <c r="M285" s="39">
        <v>259900</v>
      </c>
      <c r="N285" s="29" t="s">
        <v>2826</v>
      </c>
      <c r="O285" s="36" t="s">
        <v>3220</v>
      </c>
      <c r="P285" s="28" t="s">
        <v>2826</v>
      </c>
    </row>
    <row r="286" spans="1:16" x14ac:dyDescent="0.3">
      <c r="A286" s="25" t="s">
        <v>3221</v>
      </c>
      <c r="B286" s="26">
        <v>46093</v>
      </c>
      <c r="C286" s="26">
        <v>46098</v>
      </c>
      <c r="D286" s="27">
        <v>3319</v>
      </c>
      <c r="E286" s="6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13839359</v>
      </c>
      <c r="K286" s="38" t="s">
        <v>1889</v>
      </c>
      <c r="L286" t="s">
        <v>1899</v>
      </c>
      <c r="M286" s="39">
        <v>259900</v>
      </c>
      <c r="N286" s="29" t="s">
        <v>2826</v>
      </c>
      <c r="O286" s="36" t="s">
        <v>3220</v>
      </c>
      <c r="P286" s="28" t="s">
        <v>2826</v>
      </c>
    </row>
    <row r="287" spans="1:16" x14ac:dyDescent="0.3">
      <c r="A287" s="25" t="s">
        <v>3221</v>
      </c>
      <c r="B287" s="26">
        <v>46093</v>
      </c>
      <c r="C287" s="26">
        <v>46098</v>
      </c>
      <c r="D287" s="27">
        <v>3319</v>
      </c>
      <c r="E287" s="6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81119704</v>
      </c>
      <c r="K287" s="38" t="s">
        <v>1917</v>
      </c>
      <c r="L287" t="s">
        <v>1923</v>
      </c>
      <c r="M287" s="39">
        <v>259900</v>
      </c>
      <c r="N287" s="29" t="s">
        <v>2826</v>
      </c>
      <c r="O287" s="36" t="s">
        <v>3220</v>
      </c>
      <c r="P287" s="28" t="s">
        <v>2826</v>
      </c>
    </row>
    <row r="288" spans="1:16" x14ac:dyDescent="0.3">
      <c r="A288" s="25" t="s">
        <v>3221</v>
      </c>
      <c r="B288" s="26">
        <v>46093</v>
      </c>
      <c r="C288" s="26">
        <v>46098</v>
      </c>
      <c r="D288" s="27">
        <v>3319</v>
      </c>
      <c r="E288" s="6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81119713</v>
      </c>
      <c r="K288" s="38" t="s">
        <v>1917</v>
      </c>
      <c r="L288" t="s">
        <v>1924</v>
      </c>
      <c r="M288" s="39">
        <v>259900</v>
      </c>
      <c r="N288" s="29" t="s">
        <v>2826</v>
      </c>
      <c r="O288" s="36" t="s">
        <v>3220</v>
      </c>
      <c r="P288" s="28" t="s">
        <v>2826</v>
      </c>
    </row>
    <row r="289" spans="1:16" x14ac:dyDescent="0.3">
      <c r="A289" s="25" t="s">
        <v>3221</v>
      </c>
      <c r="B289" s="26">
        <v>46093</v>
      </c>
      <c r="C289" s="26">
        <v>46098</v>
      </c>
      <c r="D289" s="27">
        <v>3319</v>
      </c>
      <c r="E289" s="6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81119722</v>
      </c>
      <c r="K289" s="38" t="s">
        <v>1917</v>
      </c>
      <c r="L289" t="s">
        <v>1925</v>
      </c>
      <c r="M289" s="39">
        <v>259900</v>
      </c>
      <c r="N289" s="29" t="s">
        <v>2826</v>
      </c>
      <c r="O289" s="36" t="s">
        <v>3220</v>
      </c>
      <c r="P289" s="28" t="s">
        <v>2826</v>
      </c>
    </row>
    <row r="290" spans="1:16" x14ac:dyDescent="0.3">
      <c r="A290" s="25" t="s">
        <v>3221</v>
      </c>
      <c r="B290" s="26">
        <v>46093</v>
      </c>
      <c r="C290" s="26">
        <v>46098</v>
      </c>
      <c r="D290" s="27">
        <v>3319</v>
      </c>
      <c r="E290" s="6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81119731</v>
      </c>
      <c r="K290" s="38" t="s">
        <v>1917</v>
      </c>
      <c r="L290" t="s">
        <v>1926</v>
      </c>
      <c r="M290" s="39">
        <v>259900</v>
      </c>
      <c r="N290" s="29" t="s">
        <v>2826</v>
      </c>
      <c r="O290" s="36" t="s">
        <v>3220</v>
      </c>
      <c r="P290" s="28" t="s">
        <v>2826</v>
      </c>
    </row>
    <row r="291" spans="1:16" x14ac:dyDescent="0.3">
      <c r="A291" s="25" t="s">
        <v>3221</v>
      </c>
      <c r="B291" s="26">
        <v>46093</v>
      </c>
      <c r="C291" s="26">
        <v>46098</v>
      </c>
      <c r="D291" s="27">
        <v>3319</v>
      </c>
      <c r="E291" s="6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81119740</v>
      </c>
      <c r="K291" s="38" t="s">
        <v>1917</v>
      </c>
      <c r="L291" t="s">
        <v>1927</v>
      </c>
      <c r="M291" s="39">
        <v>259900</v>
      </c>
      <c r="N291" s="29" t="s">
        <v>2826</v>
      </c>
      <c r="O291" s="36" t="s">
        <v>3220</v>
      </c>
      <c r="P291" s="28" t="s">
        <v>2826</v>
      </c>
    </row>
    <row r="292" spans="1:16" x14ac:dyDescent="0.3">
      <c r="A292" s="25" t="s">
        <v>3221</v>
      </c>
      <c r="B292" s="26">
        <v>46093</v>
      </c>
      <c r="C292" s="26">
        <v>46098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66146472</v>
      </c>
      <c r="K292" t="s">
        <v>1407</v>
      </c>
      <c r="L292" t="s">
        <v>1703</v>
      </c>
      <c r="M292" s="39">
        <v>279900</v>
      </c>
      <c r="N292" s="29" t="s">
        <v>2826</v>
      </c>
      <c r="O292" s="36" t="s">
        <v>3220</v>
      </c>
      <c r="P292" s="28" t="s">
        <v>2826</v>
      </c>
    </row>
    <row r="293" spans="1:16" x14ac:dyDescent="0.3">
      <c r="A293" s="25" t="s">
        <v>3221</v>
      </c>
      <c r="B293" s="26">
        <v>46093</v>
      </c>
      <c r="C293" s="26">
        <v>46098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66146454</v>
      </c>
      <c r="K293" t="s">
        <v>1407</v>
      </c>
      <c r="L293" t="s">
        <v>1704</v>
      </c>
      <c r="M293" s="39">
        <v>279900</v>
      </c>
      <c r="N293" s="29" t="s">
        <v>2826</v>
      </c>
      <c r="O293" s="36" t="s">
        <v>3220</v>
      </c>
      <c r="P293" s="28" t="s">
        <v>2826</v>
      </c>
    </row>
    <row r="294" spans="1:16" x14ac:dyDescent="0.3">
      <c r="A294" s="25" t="s">
        <v>3221</v>
      </c>
      <c r="B294" s="26">
        <v>46093</v>
      </c>
      <c r="C294" s="26">
        <v>46098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66146445</v>
      </c>
      <c r="K294" t="s">
        <v>1407</v>
      </c>
      <c r="L294" t="s">
        <v>1705</v>
      </c>
      <c r="M294" s="39">
        <v>279900</v>
      </c>
      <c r="N294" s="29" t="s">
        <v>2826</v>
      </c>
      <c r="O294" s="36" t="s">
        <v>3220</v>
      </c>
      <c r="P294" s="28" t="s">
        <v>2826</v>
      </c>
    </row>
    <row r="295" spans="1:16" x14ac:dyDescent="0.3">
      <c r="A295" s="25" t="s">
        <v>3221</v>
      </c>
      <c r="B295" s="26">
        <v>46093</v>
      </c>
      <c r="C295" s="26">
        <v>46098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66146463</v>
      </c>
      <c r="K295" t="s">
        <v>1407</v>
      </c>
      <c r="L295" t="s">
        <v>1706</v>
      </c>
      <c r="M295" s="39">
        <v>279900</v>
      </c>
      <c r="N295" s="29" t="s">
        <v>2826</v>
      </c>
      <c r="O295" s="36" t="s">
        <v>3220</v>
      </c>
      <c r="P295" s="28" t="s">
        <v>2826</v>
      </c>
    </row>
    <row r="296" spans="1:16" x14ac:dyDescent="0.3">
      <c r="A296" s="25" t="s">
        <v>3221</v>
      </c>
      <c r="B296" s="26">
        <v>46093</v>
      </c>
      <c r="C296" s="26">
        <v>46098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66146481</v>
      </c>
      <c r="K296" t="s">
        <v>1407</v>
      </c>
      <c r="L296" t="s">
        <v>1707</v>
      </c>
      <c r="M296" s="39">
        <v>279900</v>
      </c>
      <c r="N296" s="29" t="s">
        <v>2826</v>
      </c>
      <c r="O296" s="36" t="s">
        <v>3220</v>
      </c>
      <c r="P296" s="28" t="s">
        <v>2826</v>
      </c>
    </row>
  </sheetData>
  <autoFilter ref="A1:Q101" xr:uid="{76876888-DEB8-404B-AAB6-CD1D118DF904}"/>
  <phoneticPr fontId="14" type="noConversion"/>
  <conditionalFormatting sqref="J1">
    <cfRule type="duplicateValues" dxfId="176" priority="64"/>
    <cfRule type="duplicateValues" dxfId="175" priority="71"/>
    <cfRule type="duplicateValues" dxfId="174" priority="70"/>
    <cfRule type="duplicateValues" dxfId="173" priority="69"/>
    <cfRule type="duplicateValues" dxfId="172" priority="68"/>
    <cfRule type="duplicateValues" dxfId="171" priority="67"/>
    <cfRule type="duplicateValues" dxfId="170" priority="66"/>
    <cfRule type="duplicateValues" dxfId="169" priority="65"/>
    <cfRule type="duplicateValues" dxfId="168" priority="63"/>
  </conditionalFormatting>
  <conditionalFormatting sqref="J57:J65">
    <cfRule type="duplicateValues" dxfId="167" priority="79"/>
    <cfRule type="duplicateValues" dxfId="166" priority="78"/>
    <cfRule type="duplicateValues" dxfId="165" priority="77"/>
  </conditionalFormatting>
  <conditionalFormatting sqref="J66">
    <cfRule type="duplicateValues" dxfId="164" priority="62"/>
    <cfRule type="duplicateValues" dxfId="163" priority="61"/>
    <cfRule type="duplicateValues" dxfId="162" priority="60"/>
  </conditionalFormatting>
  <conditionalFormatting sqref="J67:J71">
    <cfRule type="duplicateValues" dxfId="161" priority="75"/>
    <cfRule type="duplicateValues" dxfId="160" priority="74"/>
    <cfRule type="duplicateValues" dxfId="159" priority="76"/>
    <cfRule type="duplicateValues" dxfId="158" priority="73"/>
    <cfRule type="duplicateValues" dxfId="157" priority="72"/>
  </conditionalFormatting>
  <conditionalFormatting sqref="J72:J81 J2:J56">
    <cfRule type="duplicateValues" dxfId="156" priority="86"/>
    <cfRule type="duplicateValues" dxfId="155" priority="85"/>
    <cfRule type="duplicateValues" dxfId="154" priority="84"/>
    <cfRule type="duplicateValues" dxfId="153" priority="83"/>
  </conditionalFormatting>
  <conditionalFormatting sqref="J82:J101">
    <cfRule type="duplicateValues" dxfId="152" priority="518"/>
    <cfRule type="duplicateValues" dxfId="151" priority="519"/>
    <cfRule type="duplicateValues" dxfId="150" priority="520"/>
  </conditionalFormatting>
  <conditionalFormatting sqref="J102:J111">
    <cfRule type="duplicateValues" dxfId="149" priority="57"/>
    <cfRule type="duplicateValues" dxfId="148" priority="56"/>
    <cfRule type="duplicateValues" dxfId="147" priority="59"/>
    <cfRule type="duplicateValues" dxfId="146" priority="58"/>
  </conditionalFormatting>
  <conditionalFormatting sqref="J112:J116">
    <cfRule type="duplicateValues" dxfId="145" priority="53"/>
    <cfRule type="duplicateValues" dxfId="144" priority="52"/>
    <cfRule type="duplicateValues" dxfId="143" priority="51"/>
    <cfRule type="duplicateValues" dxfId="142" priority="50"/>
    <cfRule type="duplicateValues" dxfId="141" priority="54"/>
  </conditionalFormatting>
  <conditionalFormatting sqref="J117:J126">
    <cfRule type="duplicateValues" dxfId="140" priority="49"/>
    <cfRule type="duplicateValues" dxfId="139" priority="48"/>
    <cfRule type="duplicateValues" dxfId="138" priority="47"/>
    <cfRule type="duplicateValues" dxfId="137" priority="46"/>
    <cfRule type="duplicateValues" dxfId="136" priority="45"/>
  </conditionalFormatting>
  <conditionalFormatting sqref="J127:J131">
    <cfRule type="duplicateValues" dxfId="135" priority="42"/>
    <cfRule type="duplicateValues" dxfId="134" priority="43"/>
    <cfRule type="duplicateValues" dxfId="133" priority="44"/>
    <cfRule type="duplicateValues" dxfId="132" priority="40"/>
    <cfRule type="duplicateValues" dxfId="131" priority="41"/>
  </conditionalFormatting>
  <conditionalFormatting sqref="J132:J141 J102:J111">
    <cfRule type="duplicateValues" dxfId="130" priority="55"/>
  </conditionalFormatting>
  <conditionalFormatting sqref="J142:J151">
    <cfRule type="duplicateValues" dxfId="129" priority="35"/>
    <cfRule type="duplicateValues" dxfId="128" priority="33"/>
    <cfRule type="duplicateValues" dxfId="127" priority="32"/>
    <cfRule type="duplicateValues" dxfId="126" priority="31"/>
    <cfRule type="duplicateValues" dxfId="125" priority="34"/>
  </conditionalFormatting>
  <conditionalFormatting sqref="J152:J161">
    <cfRule type="duplicateValues" dxfId="124" priority="27"/>
    <cfRule type="duplicateValues" dxfId="123" priority="26"/>
    <cfRule type="duplicateValues" dxfId="122" priority="30"/>
    <cfRule type="duplicateValues" dxfId="121" priority="29"/>
    <cfRule type="duplicateValues" dxfId="120" priority="28"/>
  </conditionalFormatting>
  <conditionalFormatting sqref="J162:J196">
    <cfRule type="duplicateValues" dxfId="119" priority="37"/>
    <cfRule type="duplicateValues" dxfId="118" priority="36"/>
    <cfRule type="duplicateValues" dxfId="117" priority="39"/>
    <cfRule type="duplicateValues" dxfId="116" priority="38"/>
  </conditionalFormatting>
  <conditionalFormatting sqref="J197:J255">
    <cfRule type="duplicateValues" dxfId="115" priority="16"/>
  </conditionalFormatting>
  <conditionalFormatting sqref="J197:J265">
    <cfRule type="duplicateValues" dxfId="114" priority="5"/>
  </conditionalFormatting>
  <conditionalFormatting sqref="J256:J260">
    <cfRule type="duplicateValues" dxfId="113" priority="15"/>
    <cfRule type="duplicateValues" dxfId="112" priority="14"/>
    <cfRule type="duplicateValues" dxfId="111" priority="13"/>
    <cfRule type="duplicateValues" dxfId="110" priority="12"/>
    <cfRule type="duplicateValues" dxfId="109" priority="11"/>
  </conditionalFormatting>
  <conditionalFormatting sqref="J261:J265">
    <cfRule type="duplicateValues" dxfId="108" priority="10"/>
    <cfRule type="duplicateValues" dxfId="107" priority="9"/>
    <cfRule type="duplicateValues" dxfId="106" priority="8"/>
    <cfRule type="duplicateValues" dxfId="105" priority="7"/>
    <cfRule type="duplicateValues" dxfId="104" priority="6"/>
  </conditionalFormatting>
  <conditionalFormatting sqref="J266:J267">
    <cfRule type="duplicateValues" dxfId="103" priority="17"/>
  </conditionalFormatting>
  <conditionalFormatting sqref="J266:J291">
    <cfRule type="duplicateValues" dxfId="102" priority="25"/>
  </conditionalFormatting>
  <conditionalFormatting sqref="J268">
    <cfRule type="duplicateValues" dxfId="101" priority="20"/>
    <cfRule type="duplicateValues" dxfId="100" priority="19"/>
    <cfRule type="duplicateValues" dxfId="99" priority="18"/>
  </conditionalFormatting>
  <conditionalFormatting sqref="J269">
    <cfRule type="duplicateValues" dxfId="98" priority="22"/>
    <cfRule type="duplicateValues" dxfId="97" priority="21"/>
  </conditionalFormatting>
  <conditionalFormatting sqref="J270:J291">
    <cfRule type="duplicateValues" dxfId="96" priority="24"/>
    <cfRule type="duplicateValues" dxfId="95" priority="23"/>
  </conditionalFormatting>
  <conditionalFormatting sqref="J292:J296">
    <cfRule type="duplicateValues" dxfId="94" priority="1"/>
    <cfRule type="duplicateValues" dxfId="93" priority="4"/>
    <cfRule type="duplicateValues" dxfId="92" priority="3"/>
    <cfRule type="duplicateValues" dxfId="91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zoomScale="85" zoomScaleNormal="85" workbookViewId="0">
      <selection activeCell="H7" sqref="H7"/>
    </sheetView>
  </sheetViews>
  <sheetFormatPr defaultRowHeight="14.4" x14ac:dyDescent="0.3"/>
  <cols>
    <col min="1" max="1" width="29.33203125" style="28" customWidth="1"/>
    <col min="2" max="3" width="11.6640625" style="28" customWidth="1"/>
    <col min="4" max="5" width="8.6640625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4.5546875" style="37" customWidth="1"/>
    <col min="16" max="16" width="15.664062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3211</v>
      </c>
      <c r="B2" s="26">
        <v>46093</v>
      </c>
      <c r="C2" s="26">
        <v>46098</v>
      </c>
      <c r="D2" s="6">
        <v>3319</v>
      </c>
      <c r="E2" s="6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33219857</v>
      </c>
      <c r="K2" s="28" t="s">
        <v>1797</v>
      </c>
      <c r="L2" t="s">
        <v>1798</v>
      </c>
      <c r="M2" s="39">
        <v>259900</v>
      </c>
      <c r="N2" s="29" t="s">
        <v>2826</v>
      </c>
      <c r="O2" s="36" t="s">
        <v>3212</v>
      </c>
      <c r="P2" s="28" t="s">
        <v>2826</v>
      </c>
    </row>
    <row r="3" spans="1:16" x14ac:dyDescent="0.3">
      <c r="A3" s="25" t="s">
        <v>3211</v>
      </c>
      <c r="B3" s="26">
        <v>46093</v>
      </c>
      <c r="C3" s="26">
        <v>46098</v>
      </c>
      <c r="D3" s="6">
        <v>3319</v>
      </c>
      <c r="E3" s="6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33219866</v>
      </c>
      <c r="K3" s="28" t="s">
        <v>1797</v>
      </c>
      <c r="L3" t="s">
        <v>1799</v>
      </c>
      <c r="M3" s="39">
        <v>259900</v>
      </c>
      <c r="N3" s="29" t="s">
        <v>2826</v>
      </c>
      <c r="O3" s="36" t="s">
        <v>3212</v>
      </c>
      <c r="P3" s="28" t="s">
        <v>2826</v>
      </c>
    </row>
    <row r="4" spans="1:16" x14ac:dyDescent="0.3">
      <c r="A4" s="25" t="s">
        <v>3211</v>
      </c>
      <c r="B4" s="26">
        <v>46093</v>
      </c>
      <c r="C4" s="26">
        <v>46098</v>
      </c>
      <c r="D4" s="6">
        <v>3319</v>
      </c>
      <c r="E4" s="6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33219875</v>
      </c>
      <c r="K4" s="28" t="s">
        <v>1797</v>
      </c>
      <c r="L4" t="s">
        <v>1801</v>
      </c>
      <c r="M4" s="39">
        <v>259900</v>
      </c>
      <c r="N4" s="29" t="s">
        <v>2826</v>
      </c>
      <c r="O4" s="36" t="s">
        <v>3212</v>
      </c>
      <c r="P4" s="28" t="s">
        <v>2826</v>
      </c>
    </row>
    <row r="5" spans="1:16" x14ac:dyDescent="0.3">
      <c r="A5" s="25" t="s">
        <v>3211</v>
      </c>
      <c r="B5" s="26">
        <v>46093</v>
      </c>
      <c r="C5" s="26">
        <v>46098</v>
      </c>
      <c r="D5" s="6">
        <v>3319</v>
      </c>
      <c r="E5" s="6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33219884</v>
      </c>
      <c r="K5" s="28" t="s">
        <v>1797</v>
      </c>
      <c r="L5" t="s">
        <v>1802</v>
      </c>
      <c r="M5" s="39">
        <v>259900</v>
      </c>
      <c r="N5" s="29" t="s">
        <v>2826</v>
      </c>
      <c r="O5" s="36" t="s">
        <v>3212</v>
      </c>
      <c r="P5" s="28" t="s">
        <v>2826</v>
      </c>
    </row>
    <row r="6" spans="1:16" x14ac:dyDescent="0.3">
      <c r="A6" s="25" t="s">
        <v>3211</v>
      </c>
      <c r="B6" s="26">
        <v>46093</v>
      </c>
      <c r="C6" s="26">
        <v>46098</v>
      </c>
      <c r="D6" s="6">
        <v>3319</v>
      </c>
      <c r="E6" s="6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33219893</v>
      </c>
      <c r="K6" s="28" t="s">
        <v>1797</v>
      </c>
      <c r="L6" t="s">
        <v>1806</v>
      </c>
      <c r="M6" s="39">
        <v>259900</v>
      </c>
      <c r="N6" s="29" t="s">
        <v>2826</v>
      </c>
      <c r="O6" s="36" t="s">
        <v>3212</v>
      </c>
      <c r="P6" s="28" t="s">
        <v>2826</v>
      </c>
    </row>
    <row r="7" spans="1:16" x14ac:dyDescent="0.3">
      <c r="A7" s="25" t="s">
        <v>3211</v>
      </c>
      <c r="B7" s="26">
        <v>46093</v>
      </c>
      <c r="C7" s="26">
        <v>46098</v>
      </c>
      <c r="D7" s="6">
        <v>3319</v>
      </c>
      <c r="E7" s="6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81119651</v>
      </c>
      <c r="K7" s="28" t="s">
        <v>1917</v>
      </c>
      <c r="L7" t="s">
        <v>1918</v>
      </c>
      <c r="M7" s="39">
        <v>259900</v>
      </c>
      <c r="N7" s="29" t="s">
        <v>2826</v>
      </c>
      <c r="O7" s="36" t="s">
        <v>3212</v>
      </c>
      <c r="P7" s="28" t="s">
        <v>2826</v>
      </c>
    </row>
    <row r="8" spans="1:16" x14ac:dyDescent="0.3">
      <c r="A8" s="25" t="s">
        <v>3211</v>
      </c>
      <c r="B8" s="26">
        <v>46093</v>
      </c>
      <c r="C8" s="26">
        <v>46098</v>
      </c>
      <c r="D8" s="6">
        <v>3319</v>
      </c>
      <c r="E8" s="6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81119660</v>
      </c>
      <c r="K8" s="28" t="s">
        <v>1917</v>
      </c>
      <c r="L8" t="s">
        <v>1919</v>
      </c>
      <c r="M8" s="39">
        <v>259900</v>
      </c>
      <c r="N8" s="29" t="s">
        <v>2826</v>
      </c>
      <c r="O8" s="36" t="s">
        <v>3212</v>
      </c>
      <c r="P8" s="28" t="s">
        <v>2826</v>
      </c>
    </row>
    <row r="9" spans="1:16" x14ac:dyDescent="0.3">
      <c r="A9" s="25" t="s">
        <v>3211</v>
      </c>
      <c r="B9" s="26">
        <v>46093</v>
      </c>
      <c r="C9" s="26">
        <v>46098</v>
      </c>
      <c r="D9" s="6">
        <v>3319</v>
      </c>
      <c r="E9" s="6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81119679</v>
      </c>
      <c r="K9" s="28" t="s">
        <v>1917</v>
      </c>
      <c r="L9" t="s">
        <v>1920</v>
      </c>
      <c r="M9" s="39">
        <v>259900</v>
      </c>
      <c r="N9" s="29" t="s">
        <v>2826</v>
      </c>
      <c r="O9" s="36" t="s">
        <v>3212</v>
      </c>
      <c r="P9" s="28" t="s">
        <v>2826</v>
      </c>
    </row>
    <row r="10" spans="1:16" x14ac:dyDescent="0.3">
      <c r="A10" s="25" t="s">
        <v>3211</v>
      </c>
      <c r="B10" s="26">
        <v>46093</v>
      </c>
      <c r="C10" s="26">
        <v>46098</v>
      </c>
      <c r="D10" s="6">
        <v>3319</v>
      </c>
      <c r="E10" s="6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81119688</v>
      </c>
      <c r="K10" s="28" t="s">
        <v>1917</v>
      </c>
      <c r="L10" t="s">
        <v>1921</v>
      </c>
      <c r="M10" s="39">
        <v>259900</v>
      </c>
      <c r="N10" s="29" t="s">
        <v>2826</v>
      </c>
      <c r="O10" s="36" t="s">
        <v>3212</v>
      </c>
      <c r="P10" s="28" t="s">
        <v>2826</v>
      </c>
    </row>
    <row r="11" spans="1:16" x14ac:dyDescent="0.3">
      <c r="A11" s="25" t="s">
        <v>3211</v>
      </c>
      <c r="B11" s="26">
        <v>46093</v>
      </c>
      <c r="C11" s="26">
        <v>46098</v>
      </c>
      <c r="D11" s="6">
        <v>3319</v>
      </c>
      <c r="E11" s="6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81119697</v>
      </c>
      <c r="K11" s="28" t="s">
        <v>1917</v>
      </c>
      <c r="L11" t="s">
        <v>1922</v>
      </c>
      <c r="M11" s="39">
        <v>259900</v>
      </c>
      <c r="N11" s="29" t="s">
        <v>2826</v>
      </c>
      <c r="O11" s="36" t="s">
        <v>3212</v>
      </c>
      <c r="P11" s="28" t="s">
        <v>2826</v>
      </c>
    </row>
    <row r="12" spans="1:16" x14ac:dyDescent="0.3">
      <c r="A12" s="25" t="s">
        <v>3211</v>
      </c>
      <c r="B12" s="26">
        <v>46093</v>
      </c>
      <c r="C12" s="26">
        <v>46098</v>
      </c>
      <c r="D12" s="6">
        <v>3319</v>
      </c>
      <c r="E12" s="6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19295971</v>
      </c>
      <c r="K12" s="28" t="s">
        <v>1816</v>
      </c>
      <c r="L12" t="s">
        <v>2114</v>
      </c>
      <c r="M12" s="39">
        <v>279900</v>
      </c>
      <c r="N12" s="29" t="s">
        <v>2826</v>
      </c>
      <c r="O12" s="36" t="s">
        <v>3212</v>
      </c>
      <c r="P12" s="28" t="s">
        <v>2826</v>
      </c>
    </row>
    <row r="13" spans="1:16" x14ac:dyDescent="0.3">
      <c r="A13" s="25" t="s">
        <v>3211</v>
      </c>
      <c r="B13" s="26">
        <v>46093</v>
      </c>
      <c r="C13" s="26">
        <v>46098</v>
      </c>
      <c r="D13" s="6">
        <v>3319</v>
      </c>
      <c r="E13" s="6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19295980</v>
      </c>
      <c r="K13" s="28" t="s">
        <v>1816</v>
      </c>
      <c r="L13" t="s">
        <v>2115</v>
      </c>
      <c r="M13" s="39">
        <v>279900</v>
      </c>
      <c r="N13" s="29" t="s">
        <v>2826</v>
      </c>
      <c r="O13" s="36" t="s">
        <v>3212</v>
      </c>
      <c r="P13" s="28" t="s">
        <v>2826</v>
      </c>
    </row>
    <row r="14" spans="1:16" x14ac:dyDescent="0.3">
      <c r="A14" s="25" t="s">
        <v>3211</v>
      </c>
      <c r="B14" s="26">
        <v>46093</v>
      </c>
      <c r="C14" s="26">
        <v>46098</v>
      </c>
      <c r="D14" s="6">
        <v>3319</v>
      </c>
      <c r="E14" s="6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19295999</v>
      </c>
      <c r="K14" s="28" t="s">
        <v>1816</v>
      </c>
      <c r="L14" t="s">
        <v>2116</v>
      </c>
      <c r="M14" s="39">
        <v>279900</v>
      </c>
      <c r="N14" s="29" t="s">
        <v>2826</v>
      </c>
      <c r="O14" s="36" t="s">
        <v>3212</v>
      </c>
      <c r="P14" s="28" t="s">
        <v>2826</v>
      </c>
    </row>
    <row r="15" spans="1:16" x14ac:dyDescent="0.3">
      <c r="A15" s="25" t="s">
        <v>3211</v>
      </c>
      <c r="B15" s="26">
        <v>46093</v>
      </c>
      <c r="C15" s="26">
        <v>46098</v>
      </c>
      <c r="D15" s="6">
        <v>3319</v>
      </c>
      <c r="E15" s="6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19296005</v>
      </c>
      <c r="K15" s="28" t="s">
        <v>1816</v>
      </c>
      <c r="L15" t="s">
        <v>2117</v>
      </c>
      <c r="M15" s="39">
        <v>279900</v>
      </c>
      <c r="N15" s="29" t="s">
        <v>2826</v>
      </c>
      <c r="O15" s="36" t="s">
        <v>3212</v>
      </c>
      <c r="P15" s="28" t="s">
        <v>2826</v>
      </c>
    </row>
    <row r="16" spans="1:16" x14ac:dyDescent="0.3">
      <c r="A16" s="25" t="s">
        <v>3211</v>
      </c>
      <c r="B16" s="26">
        <v>46093</v>
      </c>
      <c r="C16" s="26">
        <v>46098</v>
      </c>
      <c r="D16" s="6">
        <v>3319</v>
      </c>
      <c r="E16" s="6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19296014</v>
      </c>
      <c r="K16" s="28" t="s">
        <v>1816</v>
      </c>
      <c r="L16" t="s">
        <v>2118</v>
      </c>
      <c r="M16" s="39">
        <v>279900</v>
      </c>
      <c r="N16" s="29" t="s">
        <v>2826</v>
      </c>
      <c r="O16" s="36" t="s">
        <v>3212</v>
      </c>
      <c r="P16" s="28" t="s">
        <v>2826</v>
      </c>
    </row>
    <row r="17" spans="1:16" x14ac:dyDescent="0.3">
      <c r="A17" s="25" t="s">
        <v>3211</v>
      </c>
      <c r="B17" s="26">
        <v>46093</v>
      </c>
      <c r="C17" s="26">
        <v>46098</v>
      </c>
      <c r="D17" s="6">
        <v>3319</v>
      </c>
      <c r="E17" s="6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67293767</v>
      </c>
      <c r="K17" s="28" t="s">
        <v>31</v>
      </c>
      <c r="L17" t="s">
        <v>1939</v>
      </c>
      <c r="M17" s="39">
        <v>279900</v>
      </c>
      <c r="N17" s="29" t="s">
        <v>2826</v>
      </c>
      <c r="O17" s="36" t="s">
        <v>3212</v>
      </c>
      <c r="P17" s="28" t="s">
        <v>2826</v>
      </c>
    </row>
    <row r="18" spans="1:16" x14ac:dyDescent="0.3">
      <c r="A18" s="25" t="s">
        <v>3211</v>
      </c>
      <c r="B18" s="26">
        <v>46093</v>
      </c>
      <c r="C18" s="26">
        <v>46098</v>
      </c>
      <c r="D18" s="6">
        <v>3319</v>
      </c>
      <c r="E18" s="6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67293749</v>
      </c>
      <c r="K18" s="28" t="s">
        <v>31</v>
      </c>
      <c r="L18" t="s">
        <v>1940</v>
      </c>
      <c r="M18" s="39">
        <v>279900</v>
      </c>
      <c r="N18" s="29" t="s">
        <v>2826</v>
      </c>
      <c r="O18" s="36" t="s">
        <v>3212</v>
      </c>
      <c r="P18" s="28" t="s">
        <v>2826</v>
      </c>
    </row>
    <row r="19" spans="1:16" x14ac:dyDescent="0.3">
      <c r="A19" s="25" t="s">
        <v>3211</v>
      </c>
      <c r="B19" s="26">
        <v>46093</v>
      </c>
      <c r="C19" s="26">
        <v>46098</v>
      </c>
      <c r="D19" s="6">
        <v>3319</v>
      </c>
      <c r="E19" s="6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67293721</v>
      </c>
      <c r="K19" s="28" t="s">
        <v>31</v>
      </c>
      <c r="L19" t="s">
        <v>1941</v>
      </c>
      <c r="M19" s="39">
        <v>279900</v>
      </c>
      <c r="N19" s="29" t="s">
        <v>2826</v>
      </c>
      <c r="O19" s="36" t="s">
        <v>3212</v>
      </c>
      <c r="P19" s="28" t="s">
        <v>2826</v>
      </c>
    </row>
    <row r="20" spans="1:16" x14ac:dyDescent="0.3">
      <c r="A20" s="25" t="s">
        <v>3211</v>
      </c>
      <c r="B20" s="26">
        <v>46093</v>
      </c>
      <c r="C20" s="26">
        <v>46098</v>
      </c>
      <c r="D20" s="6">
        <v>3319</v>
      </c>
      <c r="E20" s="6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67293730</v>
      </c>
      <c r="K20" s="28" t="s">
        <v>31</v>
      </c>
      <c r="L20" t="s">
        <v>1942</v>
      </c>
      <c r="M20" s="39">
        <v>279900</v>
      </c>
      <c r="N20" s="29" t="s">
        <v>2826</v>
      </c>
      <c r="O20" s="36" t="s">
        <v>3212</v>
      </c>
      <c r="P20" s="28" t="s">
        <v>2826</v>
      </c>
    </row>
    <row r="21" spans="1:16" x14ac:dyDescent="0.3">
      <c r="A21" s="25" t="s">
        <v>3211</v>
      </c>
      <c r="B21" s="26">
        <v>46093</v>
      </c>
      <c r="C21" s="26">
        <v>46098</v>
      </c>
      <c r="D21" s="6">
        <v>3319</v>
      </c>
      <c r="E21" s="6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67293758</v>
      </c>
      <c r="K21" s="28" t="s">
        <v>31</v>
      </c>
      <c r="L21" t="s">
        <v>1943</v>
      </c>
      <c r="M21" s="39">
        <v>279900</v>
      </c>
      <c r="N21" s="29" t="s">
        <v>2826</v>
      </c>
      <c r="O21" s="36" t="s">
        <v>3212</v>
      </c>
      <c r="P21" s="28" t="s">
        <v>2826</v>
      </c>
    </row>
    <row r="22" spans="1:16" x14ac:dyDescent="0.3">
      <c r="A22" s="25" t="s">
        <v>3211</v>
      </c>
      <c r="B22" s="26">
        <v>46093</v>
      </c>
      <c r="C22" s="26">
        <v>46098</v>
      </c>
      <c r="D22" s="6">
        <v>3319</v>
      </c>
      <c r="E22" s="6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13838798</v>
      </c>
      <c r="K22" s="28" t="s">
        <v>31</v>
      </c>
      <c r="L22" t="s">
        <v>1944</v>
      </c>
      <c r="M22" s="39">
        <v>279900</v>
      </c>
      <c r="N22" s="29" t="s">
        <v>2826</v>
      </c>
      <c r="O22" s="36" t="s">
        <v>3212</v>
      </c>
      <c r="P22" s="28" t="s">
        <v>2826</v>
      </c>
    </row>
    <row r="23" spans="1:16" x14ac:dyDescent="0.3">
      <c r="A23" s="25" t="s">
        <v>3211</v>
      </c>
      <c r="B23" s="26">
        <v>46093</v>
      </c>
      <c r="C23" s="26">
        <v>46098</v>
      </c>
      <c r="D23" s="6">
        <v>3319</v>
      </c>
      <c r="E23" s="6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13838805</v>
      </c>
      <c r="K23" s="28" t="s">
        <v>31</v>
      </c>
      <c r="L23" t="s">
        <v>1945</v>
      </c>
      <c r="M23" s="39">
        <v>279900</v>
      </c>
      <c r="N23" s="29" t="s">
        <v>2826</v>
      </c>
      <c r="O23" s="36" t="s">
        <v>3212</v>
      </c>
      <c r="P23" s="28" t="s">
        <v>2826</v>
      </c>
    </row>
    <row r="24" spans="1:16" x14ac:dyDescent="0.3">
      <c r="A24" s="25" t="s">
        <v>3211</v>
      </c>
      <c r="B24" s="26">
        <v>46093</v>
      </c>
      <c r="C24" s="26">
        <v>46098</v>
      </c>
      <c r="D24" s="6">
        <v>3319</v>
      </c>
      <c r="E24" s="6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13838814</v>
      </c>
      <c r="K24" s="28" t="s">
        <v>31</v>
      </c>
      <c r="L24" t="s">
        <v>1946</v>
      </c>
      <c r="M24" s="39">
        <v>279900</v>
      </c>
      <c r="N24" s="29" t="s">
        <v>2826</v>
      </c>
      <c r="O24" s="36" t="s">
        <v>3212</v>
      </c>
      <c r="P24" s="28" t="s">
        <v>2826</v>
      </c>
    </row>
    <row r="25" spans="1:16" x14ac:dyDescent="0.3">
      <c r="A25" s="25" t="s">
        <v>3211</v>
      </c>
      <c r="B25" s="26">
        <v>46093</v>
      </c>
      <c r="C25" s="26">
        <v>46098</v>
      </c>
      <c r="D25" s="6">
        <v>3319</v>
      </c>
      <c r="E25" s="6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13838823</v>
      </c>
      <c r="K25" s="28" t="s">
        <v>31</v>
      </c>
      <c r="L25" t="s">
        <v>1947</v>
      </c>
      <c r="M25" s="39">
        <v>279900</v>
      </c>
      <c r="N25" s="29" t="s">
        <v>2826</v>
      </c>
      <c r="O25" s="36" t="s">
        <v>3212</v>
      </c>
      <c r="P25" s="28" t="s">
        <v>2826</v>
      </c>
    </row>
    <row r="26" spans="1:16" x14ac:dyDescent="0.3">
      <c r="A26" s="25" t="s">
        <v>3211</v>
      </c>
      <c r="B26" s="26">
        <v>46093</v>
      </c>
      <c r="C26" s="26">
        <v>46098</v>
      </c>
      <c r="D26" s="6">
        <v>3319</v>
      </c>
      <c r="E26" s="6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13838832</v>
      </c>
      <c r="K26" s="28" t="s">
        <v>31</v>
      </c>
      <c r="L26" t="s">
        <v>1948</v>
      </c>
      <c r="M26" s="39">
        <v>279900</v>
      </c>
      <c r="N26" s="29" t="s">
        <v>2826</v>
      </c>
      <c r="O26" s="36" t="s">
        <v>3212</v>
      </c>
      <c r="P26" s="28" t="s">
        <v>2826</v>
      </c>
    </row>
    <row r="27" spans="1:16" x14ac:dyDescent="0.3">
      <c r="A27" s="25" t="s">
        <v>3211</v>
      </c>
      <c r="B27" s="26">
        <v>46093</v>
      </c>
      <c r="C27" s="26">
        <v>46098</v>
      </c>
      <c r="D27" s="6">
        <v>3319</v>
      </c>
      <c r="E27" s="6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33219946</v>
      </c>
      <c r="K27" s="28" t="s">
        <v>1797</v>
      </c>
      <c r="L27" t="s">
        <v>1805</v>
      </c>
      <c r="M27" s="39">
        <v>279900</v>
      </c>
      <c r="N27" s="29" t="s">
        <v>2826</v>
      </c>
      <c r="O27" s="36" t="s">
        <v>3212</v>
      </c>
      <c r="P27" s="28" t="s">
        <v>2826</v>
      </c>
    </row>
    <row r="28" spans="1:16" x14ac:dyDescent="0.3">
      <c r="A28" s="25" t="s">
        <v>3211</v>
      </c>
      <c r="B28" s="26">
        <v>46093</v>
      </c>
      <c r="C28" s="26">
        <v>46098</v>
      </c>
      <c r="D28" s="6">
        <v>3319</v>
      </c>
      <c r="E28" s="6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33219900</v>
      </c>
      <c r="K28" s="28" t="s">
        <v>1797</v>
      </c>
      <c r="L28" t="s">
        <v>1800</v>
      </c>
      <c r="M28" s="39">
        <v>279900</v>
      </c>
      <c r="N28" s="29" t="s">
        <v>2826</v>
      </c>
      <c r="O28" s="36" t="s">
        <v>3212</v>
      </c>
      <c r="P28" s="28" t="s">
        <v>2826</v>
      </c>
    </row>
    <row r="29" spans="1:16" x14ac:dyDescent="0.3">
      <c r="A29" s="25" t="s">
        <v>3211</v>
      </c>
      <c r="B29" s="26">
        <v>46093</v>
      </c>
      <c r="C29" s="26">
        <v>46098</v>
      </c>
      <c r="D29" s="6">
        <v>3319</v>
      </c>
      <c r="E29" s="6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33219937</v>
      </c>
      <c r="K29" s="28" t="s">
        <v>1797</v>
      </c>
      <c r="L29" t="s">
        <v>1803</v>
      </c>
      <c r="M29" s="39">
        <v>279900</v>
      </c>
      <c r="N29" s="29" t="s">
        <v>2826</v>
      </c>
      <c r="O29" s="36" t="s">
        <v>3212</v>
      </c>
      <c r="P29" s="28" t="s">
        <v>2826</v>
      </c>
    </row>
    <row r="30" spans="1:16" x14ac:dyDescent="0.3">
      <c r="A30" s="25" t="s">
        <v>3211</v>
      </c>
      <c r="B30" s="26">
        <v>46093</v>
      </c>
      <c r="C30" s="26">
        <v>46098</v>
      </c>
      <c r="D30" s="6">
        <v>3319</v>
      </c>
      <c r="E30" s="6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33219928</v>
      </c>
      <c r="K30" s="28" t="s">
        <v>1797</v>
      </c>
      <c r="L30" t="s">
        <v>1804</v>
      </c>
      <c r="M30" s="39">
        <v>279900</v>
      </c>
      <c r="N30" s="29" t="s">
        <v>2826</v>
      </c>
      <c r="O30" s="36" t="s">
        <v>3212</v>
      </c>
      <c r="P30" s="28" t="s">
        <v>2826</v>
      </c>
    </row>
    <row r="31" spans="1:16" x14ac:dyDescent="0.3">
      <c r="A31" s="25" t="s">
        <v>3211</v>
      </c>
      <c r="B31" s="26">
        <v>46093</v>
      </c>
      <c r="C31" s="26">
        <v>46098</v>
      </c>
      <c r="D31" s="6">
        <v>3319</v>
      </c>
      <c r="E31" s="6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33219919</v>
      </c>
      <c r="K31" s="28" t="s">
        <v>1797</v>
      </c>
      <c r="L31" t="s">
        <v>1845</v>
      </c>
      <c r="M31" s="39">
        <v>279900</v>
      </c>
      <c r="N31" s="29" t="s">
        <v>2826</v>
      </c>
      <c r="O31" s="36" t="s">
        <v>3212</v>
      </c>
      <c r="P31" s="28" t="s">
        <v>2826</v>
      </c>
    </row>
    <row r="32" spans="1:16" x14ac:dyDescent="0.3">
      <c r="A32" s="25" t="s">
        <v>3211</v>
      </c>
      <c r="B32" s="26">
        <v>46093</v>
      </c>
      <c r="C32" s="26">
        <v>46098</v>
      </c>
      <c r="D32" s="6">
        <v>3319</v>
      </c>
      <c r="E32" s="6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51673224</v>
      </c>
      <c r="K32" s="28" t="s">
        <v>2148</v>
      </c>
      <c r="L32" t="s">
        <v>2413</v>
      </c>
      <c r="M32" s="39">
        <v>279900</v>
      </c>
      <c r="N32" s="29" t="s">
        <v>2826</v>
      </c>
      <c r="O32" s="36" t="s">
        <v>3212</v>
      </c>
      <c r="P32" s="28" t="s">
        <v>2826</v>
      </c>
    </row>
    <row r="33" spans="1:16" x14ac:dyDescent="0.3">
      <c r="A33" s="25" t="s">
        <v>3211</v>
      </c>
      <c r="B33" s="26">
        <v>46093</v>
      </c>
      <c r="C33" s="26">
        <v>46098</v>
      </c>
      <c r="D33" s="6">
        <v>3319</v>
      </c>
      <c r="E33" s="6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51673180</v>
      </c>
      <c r="K33" s="28" t="s">
        <v>2148</v>
      </c>
      <c r="L33" t="s">
        <v>2419</v>
      </c>
      <c r="M33" s="39">
        <v>279900</v>
      </c>
      <c r="N33" s="29" t="s">
        <v>2826</v>
      </c>
      <c r="O33" s="36" t="s">
        <v>3212</v>
      </c>
      <c r="P33" s="28" t="s">
        <v>2826</v>
      </c>
    </row>
    <row r="34" spans="1:16" x14ac:dyDescent="0.3">
      <c r="A34" s="25" t="s">
        <v>3211</v>
      </c>
      <c r="B34" s="26">
        <v>46093</v>
      </c>
      <c r="C34" s="26">
        <v>46098</v>
      </c>
      <c r="D34" s="6">
        <v>3319</v>
      </c>
      <c r="E34" s="6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51673199</v>
      </c>
      <c r="K34" s="28" t="s">
        <v>2148</v>
      </c>
      <c r="L34" t="s">
        <v>2420</v>
      </c>
      <c r="M34" s="39">
        <v>279900</v>
      </c>
      <c r="N34" s="29" t="s">
        <v>2826</v>
      </c>
      <c r="O34" s="36" t="s">
        <v>3212</v>
      </c>
      <c r="P34" s="28" t="s">
        <v>2826</v>
      </c>
    </row>
    <row r="35" spans="1:16" x14ac:dyDescent="0.3">
      <c r="A35" s="25" t="s">
        <v>3211</v>
      </c>
      <c r="B35" s="26">
        <v>46093</v>
      </c>
      <c r="C35" s="26">
        <v>46098</v>
      </c>
      <c r="D35" s="6">
        <v>3319</v>
      </c>
      <c r="E35" s="6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51673206</v>
      </c>
      <c r="K35" s="28" t="s">
        <v>2148</v>
      </c>
      <c r="L35" t="s">
        <v>2421</v>
      </c>
      <c r="M35" s="39">
        <v>279900</v>
      </c>
      <c r="N35" s="29" t="s">
        <v>2826</v>
      </c>
      <c r="O35" s="36" t="s">
        <v>3212</v>
      </c>
      <c r="P35" s="28" t="s">
        <v>2826</v>
      </c>
    </row>
    <row r="36" spans="1:16" x14ac:dyDescent="0.3">
      <c r="A36" s="25" t="s">
        <v>3211</v>
      </c>
      <c r="B36" s="26">
        <v>46093</v>
      </c>
      <c r="C36" s="26">
        <v>46098</v>
      </c>
      <c r="D36" s="6">
        <v>3319</v>
      </c>
      <c r="E36" s="6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51673215</v>
      </c>
      <c r="K36" s="28" t="s">
        <v>2148</v>
      </c>
      <c r="L36" t="s">
        <v>2422</v>
      </c>
      <c r="M36" s="39">
        <v>279900</v>
      </c>
      <c r="N36" s="29" t="s">
        <v>2826</v>
      </c>
      <c r="O36" s="36" t="s">
        <v>3212</v>
      </c>
      <c r="P36" s="28" t="s">
        <v>2826</v>
      </c>
    </row>
    <row r="37" spans="1:16" x14ac:dyDescent="0.3">
      <c r="A37" s="25" t="s">
        <v>3211</v>
      </c>
      <c r="B37" s="26">
        <v>46093</v>
      </c>
      <c r="C37" s="26">
        <v>46098</v>
      </c>
      <c r="D37" s="6">
        <v>3319</v>
      </c>
      <c r="E37" s="6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51673322</v>
      </c>
      <c r="K37" s="28" t="s">
        <v>1917</v>
      </c>
      <c r="L37" t="s">
        <v>2423</v>
      </c>
      <c r="M37" s="39">
        <v>279900</v>
      </c>
      <c r="N37" s="29" t="s">
        <v>2826</v>
      </c>
      <c r="O37" s="36" t="s">
        <v>3212</v>
      </c>
      <c r="P37" s="28" t="s">
        <v>2826</v>
      </c>
    </row>
    <row r="38" spans="1:16" x14ac:dyDescent="0.3">
      <c r="A38" s="25" t="s">
        <v>3211</v>
      </c>
      <c r="B38" s="26">
        <v>46093</v>
      </c>
      <c r="C38" s="26">
        <v>46098</v>
      </c>
      <c r="D38" s="6">
        <v>3319</v>
      </c>
      <c r="E38" s="6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51673313</v>
      </c>
      <c r="K38" s="28" t="s">
        <v>1917</v>
      </c>
      <c r="L38" t="s">
        <v>2424</v>
      </c>
      <c r="M38" s="39">
        <v>279900</v>
      </c>
      <c r="N38" s="29" t="s">
        <v>2826</v>
      </c>
      <c r="O38" s="36" t="s">
        <v>3212</v>
      </c>
      <c r="P38" s="28" t="s">
        <v>2826</v>
      </c>
    </row>
    <row r="39" spans="1:16" x14ac:dyDescent="0.3">
      <c r="A39" s="25" t="s">
        <v>3211</v>
      </c>
      <c r="B39" s="26">
        <v>46093</v>
      </c>
      <c r="C39" s="26">
        <v>46098</v>
      </c>
      <c r="D39" s="6">
        <v>3319</v>
      </c>
      <c r="E39" s="6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51673288</v>
      </c>
      <c r="K39" s="28" t="s">
        <v>1917</v>
      </c>
      <c r="L39" t="s">
        <v>2425</v>
      </c>
      <c r="M39" s="39">
        <v>279900</v>
      </c>
      <c r="N39" s="29" t="s">
        <v>2826</v>
      </c>
      <c r="O39" s="36" t="s">
        <v>3212</v>
      </c>
      <c r="P39" s="28" t="s">
        <v>2826</v>
      </c>
    </row>
    <row r="40" spans="1:16" x14ac:dyDescent="0.3">
      <c r="A40" s="25" t="s">
        <v>3211</v>
      </c>
      <c r="B40" s="26">
        <v>46093</v>
      </c>
      <c r="C40" s="26">
        <v>46098</v>
      </c>
      <c r="D40" s="6">
        <v>3319</v>
      </c>
      <c r="E40" s="6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51673297</v>
      </c>
      <c r="K40" s="28" t="s">
        <v>1917</v>
      </c>
      <c r="L40" t="s">
        <v>2426</v>
      </c>
      <c r="M40" s="39">
        <v>279900</v>
      </c>
      <c r="N40" s="29" t="s">
        <v>2826</v>
      </c>
      <c r="O40" s="36" t="s">
        <v>3212</v>
      </c>
      <c r="P40" s="28" t="s">
        <v>2826</v>
      </c>
    </row>
    <row r="41" spans="1:16" x14ac:dyDescent="0.3">
      <c r="A41" s="25" t="s">
        <v>3211</v>
      </c>
      <c r="B41" s="26">
        <v>46093</v>
      </c>
      <c r="C41" s="26">
        <v>46098</v>
      </c>
      <c r="D41" s="6">
        <v>3319</v>
      </c>
      <c r="E41" s="6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51673304</v>
      </c>
      <c r="K41" s="28" t="s">
        <v>1917</v>
      </c>
      <c r="L41" t="s">
        <v>2427</v>
      </c>
      <c r="M41" s="39">
        <v>279900</v>
      </c>
      <c r="N41" s="29" t="s">
        <v>2826</v>
      </c>
      <c r="O41" s="36" t="s">
        <v>3212</v>
      </c>
      <c r="P41" s="28" t="s">
        <v>2826</v>
      </c>
    </row>
    <row r="42" spans="1:16" x14ac:dyDescent="0.3">
      <c r="A42" s="25" t="s">
        <v>3211</v>
      </c>
      <c r="B42" s="26">
        <v>46093</v>
      </c>
      <c r="C42" s="26">
        <v>46098</v>
      </c>
      <c r="D42" s="6">
        <v>3319</v>
      </c>
      <c r="E42" s="6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24336381</v>
      </c>
      <c r="K42" s="28" t="s">
        <v>2477</v>
      </c>
      <c r="L42" t="s">
        <v>2478</v>
      </c>
      <c r="M42" s="39">
        <v>279900</v>
      </c>
      <c r="N42" s="29" t="s">
        <v>2826</v>
      </c>
      <c r="O42" s="36" t="s">
        <v>3212</v>
      </c>
      <c r="P42" s="28" t="s">
        <v>2826</v>
      </c>
    </row>
    <row r="43" spans="1:16" x14ac:dyDescent="0.3">
      <c r="A43" s="25" t="s">
        <v>3211</v>
      </c>
      <c r="B43" s="26">
        <v>46093</v>
      </c>
      <c r="C43" s="26">
        <v>46098</v>
      </c>
      <c r="D43" s="6">
        <v>3319</v>
      </c>
      <c r="E43" s="6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24336390</v>
      </c>
      <c r="K43" s="28" t="s">
        <v>2477</v>
      </c>
      <c r="L43" t="s">
        <v>2479</v>
      </c>
      <c r="M43" s="39">
        <v>279900</v>
      </c>
      <c r="N43" s="29" t="s">
        <v>2826</v>
      </c>
      <c r="O43" s="36" t="s">
        <v>3212</v>
      </c>
      <c r="P43" s="28" t="s">
        <v>2826</v>
      </c>
    </row>
    <row r="44" spans="1:16" x14ac:dyDescent="0.3">
      <c r="A44" s="25" t="s">
        <v>3211</v>
      </c>
      <c r="B44" s="26">
        <v>46093</v>
      </c>
      <c r="C44" s="26">
        <v>46098</v>
      </c>
      <c r="D44" s="6">
        <v>3319</v>
      </c>
      <c r="E44" s="6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24336452</v>
      </c>
      <c r="K44" s="28" t="s">
        <v>2477</v>
      </c>
      <c r="L44" t="s">
        <v>2480</v>
      </c>
      <c r="M44" s="39">
        <v>279900</v>
      </c>
      <c r="N44" s="29" t="s">
        <v>2826</v>
      </c>
      <c r="O44" s="36" t="s">
        <v>3212</v>
      </c>
      <c r="P44" s="28" t="s">
        <v>2826</v>
      </c>
    </row>
    <row r="45" spans="1:16" x14ac:dyDescent="0.3">
      <c r="A45" s="25" t="s">
        <v>3211</v>
      </c>
      <c r="B45" s="26">
        <v>46093</v>
      </c>
      <c r="C45" s="26">
        <v>46098</v>
      </c>
      <c r="D45" s="6">
        <v>3319</v>
      </c>
      <c r="E45" s="6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24336461</v>
      </c>
      <c r="K45" s="28" t="s">
        <v>2477</v>
      </c>
      <c r="L45" t="s">
        <v>2481</v>
      </c>
      <c r="M45" s="39">
        <v>279900</v>
      </c>
      <c r="N45" s="29" t="s">
        <v>2826</v>
      </c>
      <c r="O45" s="36" t="s">
        <v>3212</v>
      </c>
      <c r="P45" s="28" t="s">
        <v>2826</v>
      </c>
    </row>
    <row r="46" spans="1:16" x14ac:dyDescent="0.3">
      <c r="A46" s="25" t="s">
        <v>3211</v>
      </c>
      <c r="B46" s="26">
        <v>46093</v>
      </c>
      <c r="C46" s="26">
        <v>46098</v>
      </c>
      <c r="D46" s="6">
        <v>3319</v>
      </c>
      <c r="E46" s="6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24336470</v>
      </c>
      <c r="K46" s="28" t="s">
        <v>2477</v>
      </c>
      <c r="L46" t="s">
        <v>2482</v>
      </c>
      <c r="M46" s="39">
        <v>279900</v>
      </c>
      <c r="N46" s="29" t="s">
        <v>2826</v>
      </c>
      <c r="O46" s="36" t="s">
        <v>3212</v>
      </c>
      <c r="P46" s="28" t="s">
        <v>2826</v>
      </c>
    </row>
    <row r="47" spans="1:16" x14ac:dyDescent="0.3">
      <c r="A47" s="25" t="s">
        <v>3211</v>
      </c>
      <c r="B47" s="26">
        <v>46093</v>
      </c>
      <c r="C47" s="26">
        <v>46098</v>
      </c>
      <c r="D47" s="6">
        <v>3319</v>
      </c>
      <c r="E47" s="6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24336489</v>
      </c>
      <c r="K47" s="28" t="s">
        <v>2477</v>
      </c>
      <c r="L47" t="s">
        <v>2483</v>
      </c>
      <c r="M47" s="39">
        <v>279900</v>
      </c>
      <c r="N47" s="29" t="s">
        <v>2826</v>
      </c>
      <c r="O47" s="36" t="s">
        <v>3212</v>
      </c>
      <c r="P47" s="28" t="s">
        <v>2826</v>
      </c>
    </row>
    <row r="48" spans="1:16" x14ac:dyDescent="0.3">
      <c r="A48" s="25" t="s">
        <v>3211</v>
      </c>
      <c r="B48" s="26">
        <v>46093</v>
      </c>
      <c r="C48" s="26">
        <v>46098</v>
      </c>
      <c r="D48" s="6">
        <v>3319</v>
      </c>
      <c r="E48" s="6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24337193</v>
      </c>
      <c r="K48" s="28" t="s">
        <v>2477</v>
      </c>
      <c r="L48" t="s">
        <v>2484</v>
      </c>
      <c r="M48" s="39">
        <v>279900</v>
      </c>
      <c r="N48" s="29" t="s">
        <v>2826</v>
      </c>
      <c r="O48" s="36" t="s">
        <v>3212</v>
      </c>
      <c r="P48" s="28" t="s">
        <v>2826</v>
      </c>
    </row>
    <row r="49" spans="1:16" x14ac:dyDescent="0.3">
      <c r="A49" s="25" t="s">
        <v>3211</v>
      </c>
      <c r="B49" s="26">
        <v>46093</v>
      </c>
      <c r="C49" s="26">
        <v>46098</v>
      </c>
      <c r="D49" s="6">
        <v>3319</v>
      </c>
      <c r="E49" s="6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24337577</v>
      </c>
      <c r="K49" s="28" t="s">
        <v>2477</v>
      </c>
      <c r="L49" t="s">
        <v>2485</v>
      </c>
      <c r="M49" s="39">
        <v>279900</v>
      </c>
      <c r="N49" s="29" t="s">
        <v>2826</v>
      </c>
      <c r="O49" s="36" t="s">
        <v>3212</v>
      </c>
      <c r="P49" s="28" t="s">
        <v>2826</v>
      </c>
    </row>
    <row r="50" spans="1:16" x14ac:dyDescent="0.3">
      <c r="A50" s="25" t="s">
        <v>3211</v>
      </c>
      <c r="B50" s="26">
        <v>46093</v>
      </c>
      <c r="C50" s="26">
        <v>46098</v>
      </c>
      <c r="D50" s="6">
        <v>3319</v>
      </c>
      <c r="E50" s="6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24337586</v>
      </c>
      <c r="K50" s="28" t="s">
        <v>2477</v>
      </c>
      <c r="L50" t="s">
        <v>2486</v>
      </c>
      <c r="M50" s="39">
        <v>279900</v>
      </c>
      <c r="N50" s="29" t="s">
        <v>2826</v>
      </c>
      <c r="O50" s="36" t="s">
        <v>3212</v>
      </c>
      <c r="P50" s="28" t="s">
        <v>2826</v>
      </c>
    </row>
    <row r="51" spans="1:16" x14ac:dyDescent="0.3">
      <c r="A51" s="25" t="s">
        <v>3211</v>
      </c>
      <c r="B51" s="26">
        <v>46093</v>
      </c>
      <c r="C51" s="26">
        <v>46098</v>
      </c>
      <c r="D51" s="6">
        <v>3319</v>
      </c>
      <c r="E51" s="6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24337595</v>
      </c>
      <c r="K51" s="28" t="s">
        <v>2477</v>
      </c>
      <c r="L51" t="s">
        <v>2487</v>
      </c>
      <c r="M51" s="39">
        <v>279900</v>
      </c>
      <c r="N51" s="29" t="s">
        <v>2826</v>
      </c>
      <c r="O51" s="36" t="s">
        <v>3212</v>
      </c>
      <c r="P51" s="28" t="s">
        <v>2826</v>
      </c>
    </row>
    <row r="52" spans="1:16" x14ac:dyDescent="0.3">
      <c r="A52" s="25" t="s">
        <v>3211</v>
      </c>
      <c r="B52" s="26">
        <v>46093</v>
      </c>
      <c r="C52" s="26">
        <v>46098</v>
      </c>
      <c r="D52" s="6">
        <v>3319</v>
      </c>
      <c r="E52" s="6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24335873</v>
      </c>
      <c r="K52" s="28" t="s">
        <v>2488</v>
      </c>
      <c r="L52" t="s">
        <v>2489</v>
      </c>
      <c r="M52" s="39">
        <v>279900</v>
      </c>
      <c r="N52" s="29" t="s">
        <v>2826</v>
      </c>
      <c r="O52" s="36" t="s">
        <v>3212</v>
      </c>
      <c r="P52" s="28" t="s">
        <v>2826</v>
      </c>
    </row>
    <row r="53" spans="1:16" x14ac:dyDescent="0.3">
      <c r="A53" s="25" t="s">
        <v>3211</v>
      </c>
      <c r="B53" s="26">
        <v>46093</v>
      </c>
      <c r="C53" s="26">
        <v>46098</v>
      </c>
      <c r="D53" s="6">
        <v>3319</v>
      </c>
      <c r="E53" s="6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24335882</v>
      </c>
      <c r="K53" s="28" t="s">
        <v>2488</v>
      </c>
      <c r="L53" t="s">
        <v>2490</v>
      </c>
      <c r="M53" s="39">
        <v>279900</v>
      </c>
      <c r="N53" s="29" t="s">
        <v>2826</v>
      </c>
      <c r="O53" s="36" t="s">
        <v>3212</v>
      </c>
      <c r="P53" s="28" t="s">
        <v>2826</v>
      </c>
    </row>
    <row r="54" spans="1:16" x14ac:dyDescent="0.3">
      <c r="A54" s="25" t="s">
        <v>3211</v>
      </c>
      <c r="B54" s="26">
        <v>46093</v>
      </c>
      <c r="C54" s="26">
        <v>46098</v>
      </c>
      <c r="D54" s="6">
        <v>3319</v>
      </c>
      <c r="E54" s="6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24335980</v>
      </c>
      <c r="K54" s="28" t="s">
        <v>2488</v>
      </c>
      <c r="L54" t="s">
        <v>2491</v>
      </c>
      <c r="M54" s="39">
        <v>279900</v>
      </c>
      <c r="N54" s="29" t="s">
        <v>2826</v>
      </c>
      <c r="O54" s="36" t="s">
        <v>3212</v>
      </c>
      <c r="P54" s="28" t="s">
        <v>2826</v>
      </c>
    </row>
    <row r="55" spans="1:16" x14ac:dyDescent="0.3">
      <c r="A55" s="25" t="s">
        <v>3211</v>
      </c>
      <c r="B55" s="26">
        <v>46093</v>
      </c>
      <c r="C55" s="26">
        <v>46098</v>
      </c>
      <c r="D55" s="6">
        <v>3319</v>
      </c>
      <c r="E55" s="6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24336014</v>
      </c>
      <c r="K55" s="28" t="s">
        <v>2488</v>
      </c>
      <c r="L55" t="s">
        <v>2492</v>
      </c>
      <c r="M55" s="39">
        <v>279900</v>
      </c>
      <c r="N55" s="29" t="s">
        <v>2826</v>
      </c>
      <c r="O55" s="36" t="s">
        <v>3212</v>
      </c>
      <c r="P55" s="28" t="s">
        <v>2826</v>
      </c>
    </row>
    <row r="56" spans="1:16" x14ac:dyDescent="0.3">
      <c r="A56" s="25" t="s">
        <v>3211</v>
      </c>
      <c r="B56" s="26">
        <v>46093</v>
      </c>
      <c r="C56" s="26">
        <v>46098</v>
      </c>
      <c r="D56" s="6">
        <v>3319</v>
      </c>
      <c r="E56" s="6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24336023</v>
      </c>
      <c r="K56" s="28" t="s">
        <v>2488</v>
      </c>
      <c r="L56" t="s">
        <v>2493</v>
      </c>
      <c r="M56" s="39">
        <v>279900</v>
      </c>
      <c r="N56" s="29" t="s">
        <v>2826</v>
      </c>
      <c r="O56" s="36" t="s">
        <v>3212</v>
      </c>
      <c r="P56" s="28" t="s">
        <v>2826</v>
      </c>
    </row>
    <row r="57" spans="1:16" x14ac:dyDescent="0.3">
      <c r="A57" s="25" t="s">
        <v>3211</v>
      </c>
      <c r="B57" s="26">
        <v>46093</v>
      </c>
      <c r="C57" s="26">
        <v>46098</v>
      </c>
      <c r="D57" s="6">
        <v>3319</v>
      </c>
      <c r="E57" s="6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24336032</v>
      </c>
      <c r="K57" s="28" t="s">
        <v>2488</v>
      </c>
      <c r="L57" t="s">
        <v>2494</v>
      </c>
      <c r="M57" s="39">
        <v>279900</v>
      </c>
      <c r="N57" s="29" t="s">
        <v>2826</v>
      </c>
      <c r="O57" s="36" t="s">
        <v>3212</v>
      </c>
      <c r="P57" s="28" t="s">
        <v>2826</v>
      </c>
    </row>
    <row r="58" spans="1:16" x14ac:dyDescent="0.3">
      <c r="A58" s="25" t="s">
        <v>3211</v>
      </c>
      <c r="B58" s="26">
        <v>46093</v>
      </c>
      <c r="C58" s="26">
        <v>46098</v>
      </c>
      <c r="D58" s="6">
        <v>3319</v>
      </c>
      <c r="E58" s="6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24336041</v>
      </c>
      <c r="K58" s="28" t="s">
        <v>2488</v>
      </c>
      <c r="L58" t="s">
        <v>2495</v>
      </c>
      <c r="M58" s="39">
        <v>279900</v>
      </c>
      <c r="N58" s="29" t="s">
        <v>2826</v>
      </c>
      <c r="O58" s="36" t="s">
        <v>3212</v>
      </c>
      <c r="P58" s="28" t="s">
        <v>2826</v>
      </c>
    </row>
    <row r="59" spans="1:16" x14ac:dyDescent="0.3">
      <c r="A59" s="25" t="s">
        <v>3211</v>
      </c>
      <c r="B59" s="26">
        <v>46093</v>
      </c>
      <c r="C59" s="26">
        <v>46098</v>
      </c>
      <c r="D59" s="6">
        <v>3319</v>
      </c>
      <c r="E59" s="6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24336087</v>
      </c>
      <c r="K59" s="28" t="s">
        <v>2488</v>
      </c>
      <c r="L59" t="s">
        <v>2496</v>
      </c>
      <c r="M59" s="39">
        <v>279900</v>
      </c>
      <c r="N59" s="29" t="s">
        <v>2826</v>
      </c>
      <c r="O59" s="36" t="s">
        <v>3212</v>
      </c>
      <c r="P59" s="28" t="s">
        <v>2826</v>
      </c>
    </row>
    <row r="60" spans="1:16" x14ac:dyDescent="0.3">
      <c r="A60" s="25" t="s">
        <v>3211</v>
      </c>
      <c r="B60" s="26">
        <v>46093</v>
      </c>
      <c r="C60" s="26">
        <v>46098</v>
      </c>
      <c r="D60" s="6">
        <v>3319</v>
      </c>
      <c r="E60" s="6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24336096</v>
      </c>
      <c r="K60" s="28" t="s">
        <v>2488</v>
      </c>
      <c r="L60" t="s">
        <v>2497</v>
      </c>
      <c r="M60" s="39">
        <v>279900</v>
      </c>
      <c r="N60" s="29" t="s">
        <v>2826</v>
      </c>
      <c r="O60" s="36" t="s">
        <v>3212</v>
      </c>
      <c r="P60" s="28" t="s">
        <v>2826</v>
      </c>
    </row>
    <row r="61" spans="1:16" x14ac:dyDescent="0.3">
      <c r="A61" s="25" t="s">
        <v>3211</v>
      </c>
      <c r="B61" s="26">
        <v>46093</v>
      </c>
      <c r="C61" s="26">
        <v>46098</v>
      </c>
      <c r="D61" s="6">
        <v>3319</v>
      </c>
      <c r="E61" s="6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24336103</v>
      </c>
      <c r="K61" s="28" t="s">
        <v>2488</v>
      </c>
      <c r="L61" t="s">
        <v>2498</v>
      </c>
      <c r="M61" s="39">
        <v>279900</v>
      </c>
      <c r="N61" s="29" t="s">
        <v>2826</v>
      </c>
      <c r="O61" s="36" t="s">
        <v>3212</v>
      </c>
      <c r="P61" s="28" t="s">
        <v>2826</v>
      </c>
    </row>
    <row r="62" spans="1:16" x14ac:dyDescent="0.3">
      <c r="A62" s="25" t="s">
        <v>3211</v>
      </c>
      <c r="B62" s="26">
        <v>46093</v>
      </c>
      <c r="C62" s="26">
        <v>46098</v>
      </c>
      <c r="D62" s="6">
        <v>3319</v>
      </c>
      <c r="E62" s="6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24338692</v>
      </c>
      <c r="K62" s="28" t="s">
        <v>2576</v>
      </c>
      <c r="L62" t="s">
        <v>2577</v>
      </c>
      <c r="M62" s="39">
        <v>279900</v>
      </c>
      <c r="N62" s="29" t="s">
        <v>2826</v>
      </c>
      <c r="O62" s="36" t="s">
        <v>3212</v>
      </c>
      <c r="P62" s="28" t="s">
        <v>2826</v>
      </c>
    </row>
    <row r="63" spans="1:16" x14ac:dyDescent="0.3">
      <c r="A63" s="25" t="s">
        <v>3211</v>
      </c>
      <c r="B63" s="26">
        <v>46093</v>
      </c>
      <c r="C63" s="26">
        <v>46098</v>
      </c>
      <c r="D63" s="6">
        <v>3319</v>
      </c>
      <c r="E63" s="6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24338718</v>
      </c>
      <c r="K63" s="28" t="s">
        <v>2576</v>
      </c>
      <c r="L63" t="s">
        <v>2578</v>
      </c>
      <c r="M63" s="39">
        <v>279900</v>
      </c>
      <c r="N63" s="29" t="s">
        <v>2826</v>
      </c>
      <c r="O63" s="36" t="s">
        <v>3212</v>
      </c>
      <c r="P63" s="28" t="s">
        <v>2826</v>
      </c>
    </row>
    <row r="64" spans="1:16" x14ac:dyDescent="0.3">
      <c r="A64" s="25" t="s">
        <v>3211</v>
      </c>
      <c r="B64" s="26">
        <v>46093</v>
      </c>
      <c r="C64" s="26">
        <v>46098</v>
      </c>
      <c r="D64" s="6">
        <v>3319</v>
      </c>
      <c r="E64" s="6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24338727</v>
      </c>
      <c r="K64" s="28" t="s">
        <v>2576</v>
      </c>
      <c r="L64" t="s">
        <v>2579</v>
      </c>
      <c r="M64" s="39">
        <v>279900</v>
      </c>
      <c r="N64" s="29" t="s">
        <v>2826</v>
      </c>
      <c r="O64" s="36" t="s">
        <v>3212</v>
      </c>
      <c r="P64" s="28" t="s">
        <v>2826</v>
      </c>
    </row>
    <row r="65" spans="1:16" x14ac:dyDescent="0.3">
      <c r="A65" s="25" t="s">
        <v>3211</v>
      </c>
      <c r="B65" s="26">
        <v>46093</v>
      </c>
      <c r="C65" s="26">
        <v>46098</v>
      </c>
      <c r="D65" s="6">
        <v>3319</v>
      </c>
      <c r="E65" s="6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24338736</v>
      </c>
      <c r="K65" s="28" t="s">
        <v>2576</v>
      </c>
      <c r="L65" t="s">
        <v>2580</v>
      </c>
      <c r="M65" s="39">
        <v>279900</v>
      </c>
      <c r="N65" s="29" t="s">
        <v>2826</v>
      </c>
      <c r="O65" s="36" t="s">
        <v>3212</v>
      </c>
      <c r="P65" s="28" t="s">
        <v>2826</v>
      </c>
    </row>
    <row r="66" spans="1:16" x14ac:dyDescent="0.3">
      <c r="A66" s="25" t="s">
        <v>3211</v>
      </c>
      <c r="B66" s="26">
        <v>46093</v>
      </c>
      <c r="C66" s="26">
        <v>46098</v>
      </c>
      <c r="D66" s="6">
        <v>3319</v>
      </c>
      <c r="E66" s="6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24338745</v>
      </c>
      <c r="K66" s="28" t="s">
        <v>2576</v>
      </c>
      <c r="L66" t="s">
        <v>2581</v>
      </c>
      <c r="M66" s="39">
        <v>279900</v>
      </c>
      <c r="N66" s="29" t="s">
        <v>2826</v>
      </c>
      <c r="O66" s="36" t="s">
        <v>3212</v>
      </c>
      <c r="P66" s="28" t="s">
        <v>2826</v>
      </c>
    </row>
    <row r="67" spans="1:16" x14ac:dyDescent="0.3">
      <c r="A67" s="25" t="s">
        <v>3211</v>
      </c>
      <c r="B67" s="26">
        <v>46093</v>
      </c>
      <c r="C67" s="26">
        <v>46098</v>
      </c>
      <c r="D67" s="6">
        <v>3319</v>
      </c>
      <c r="E67" s="6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24338754</v>
      </c>
      <c r="K67" s="28" t="s">
        <v>2576</v>
      </c>
      <c r="L67" t="s">
        <v>2582</v>
      </c>
      <c r="M67" s="39">
        <v>279900</v>
      </c>
      <c r="N67" s="29" t="s">
        <v>2826</v>
      </c>
      <c r="O67" s="36" t="s">
        <v>3212</v>
      </c>
      <c r="P67" s="28" t="s">
        <v>2826</v>
      </c>
    </row>
    <row r="68" spans="1:16" x14ac:dyDescent="0.3">
      <c r="A68" s="25" t="s">
        <v>3211</v>
      </c>
      <c r="B68" s="26">
        <v>46093</v>
      </c>
      <c r="C68" s="26">
        <v>46098</v>
      </c>
      <c r="D68" s="6">
        <v>3319</v>
      </c>
      <c r="E68" s="6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24338790</v>
      </c>
      <c r="K68" s="28" t="s">
        <v>2576</v>
      </c>
      <c r="L68" t="s">
        <v>2583</v>
      </c>
      <c r="M68" s="39">
        <v>279900</v>
      </c>
      <c r="N68" s="29" t="s">
        <v>2826</v>
      </c>
      <c r="O68" s="36" t="s">
        <v>3212</v>
      </c>
      <c r="P68" s="28" t="s">
        <v>2826</v>
      </c>
    </row>
    <row r="69" spans="1:16" x14ac:dyDescent="0.3">
      <c r="A69" s="25" t="s">
        <v>3211</v>
      </c>
      <c r="B69" s="26">
        <v>46093</v>
      </c>
      <c r="C69" s="26">
        <v>46098</v>
      </c>
      <c r="D69" s="6">
        <v>3319</v>
      </c>
      <c r="E69" s="6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24338807</v>
      </c>
      <c r="K69" s="28" t="s">
        <v>2576</v>
      </c>
      <c r="L69" t="s">
        <v>2584</v>
      </c>
      <c r="M69" s="39">
        <v>279900</v>
      </c>
      <c r="N69" s="29" t="s">
        <v>2826</v>
      </c>
      <c r="O69" s="36" t="s">
        <v>3212</v>
      </c>
      <c r="P69" s="28" t="s">
        <v>2826</v>
      </c>
    </row>
    <row r="70" spans="1:16" x14ac:dyDescent="0.3">
      <c r="A70" s="25" t="s">
        <v>3211</v>
      </c>
      <c r="B70" s="26">
        <v>46093</v>
      </c>
      <c r="C70" s="26">
        <v>46098</v>
      </c>
      <c r="D70" s="6">
        <v>3319</v>
      </c>
      <c r="E70" s="6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24338816</v>
      </c>
      <c r="K70" s="28" t="s">
        <v>2576</v>
      </c>
      <c r="L70" t="s">
        <v>2585</v>
      </c>
      <c r="M70" s="39">
        <v>279900</v>
      </c>
      <c r="N70" s="29" t="s">
        <v>2826</v>
      </c>
      <c r="O70" s="36" t="s">
        <v>3212</v>
      </c>
      <c r="P70" s="28" t="s">
        <v>2826</v>
      </c>
    </row>
    <row r="71" spans="1:16" x14ac:dyDescent="0.3">
      <c r="A71" s="25" t="s">
        <v>3211</v>
      </c>
      <c r="B71" s="26">
        <v>46093</v>
      </c>
      <c r="C71" s="26">
        <v>46098</v>
      </c>
      <c r="D71" s="6">
        <v>3319</v>
      </c>
      <c r="E71" s="6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24337979</v>
      </c>
      <c r="K71" s="28" t="s">
        <v>2586</v>
      </c>
      <c r="L71" t="s">
        <v>2587</v>
      </c>
      <c r="M71" s="39">
        <v>279900</v>
      </c>
      <c r="N71" s="29" t="s">
        <v>2826</v>
      </c>
      <c r="O71" s="36" t="s">
        <v>3212</v>
      </c>
      <c r="P71" s="28" t="s">
        <v>2826</v>
      </c>
    </row>
    <row r="72" spans="1:16" x14ac:dyDescent="0.3">
      <c r="A72" s="25" t="s">
        <v>3211</v>
      </c>
      <c r="B72" s="26">
        <v>46093</v>
      </c>
      <c r="C72" s="26">
        <v>46098</v>
      </c>
      <c r="D72" s="6">
        <v>3319</v>
      </c>
      <c r="E72" s="6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24337988</v>
      </c>
      <c r="K72" s="28" t="s">
        <v>2586</v>
      </c>
      <c r="L72" t="s">
        <v>2588</v>
      </c>
      <c r="M72" s="39">
        <v>279900</v>
      </c>
      <c r="N72" s="29" t="s">
        <v>2826</v>
      </c>
      <c r="O72" s="36" t="s">
        <v>3212</v>
      </c>
      <c r="P72" s="28" t="s">
        <v>2826</v>
      </c>
    </row>
    <row r="73" spans="1:16" x14ac:dyDescent="0.3">
      <c r="A73" s="25" t="s">
        <v>3211</v>
      </c>
      <c r="B73" s="26">
        <v>46093</v>
      </c>
      <c r="C73" s="26">
        <v>46098</v>
      </c>
      <c r="D73" s="6">
        <v>3319</v>
      </c>
      <c r="E73" s="6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24338236</v>
      </c>
      <c r="K73" s="28" t="s">
        <v>2586</v>
      </c>
      <c r="L73" t="s">
        <v>2589</v>
      </c>
      <c r="M73" s="39">
        <v>279900</v>
      </c>
      <c r="N73" s="29" t="s">
        <v>2826</v>
      </c>
      <c r="O73" s="36" t="s">
        <v>3212</v>
      </c>
      <c r="P73" s="28" t="s">
        <v>2826</v>
      </c>
    </row>
    <row r="74" spans="1:16" x14ac:dyDescent="0.3">
      <c r="A74" s="25" t="s">
        <v>3211</v>
      </c>
      <c r="B74" s="26">
        <v>46093</v>
      </c>
      <c r="C74" s="26">
        <v>46098</v>
      </c>
      <c r="D74" s="6">
        <v>3319</v>
      </c>
      <c r="E74" s="6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24337997</v>
      </c>
      <c r="K74" s="28" t="s">
        <v>2586</v>
      </c>
      <c r="L74" t="s">
        <v>2590</v>
      </c>
      <c r="M74" s="39">
        <v>279900</v>
      </c>
      <c r="N74" s="29" t="s">
        <v>2826</v>
      </c>
      <c r="O74" s="36" t="s">
        <v>3212</v>
      </c>
      <c r="P74" s="28" t="s">
        <v>2826</v>
      </c>
    </row>
    <row r="75" spans="1:16" x14ac:dyDescent="0.3">
      <c r="A75" s="25" t="s">
        <v>3211</v>
      </c>
      <c r="B75" s="26">
        <v>46093</v>
      </c>
      <c r="C75" s="26">
        <v>46098</v>
      </c>
      <c r="D75" s="6">
        <v>3319</v>
      </c>
      <c r="E75" s="6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24338003</v>
      </c>
      <c r="K75" s="28" t="s">
        <v>2586</v>
      </c>
      <c r="L75" t="s">
        <v>2591</v>
      </c>
      <c r="M75" s="39">
        <v>279900</v>
      </c>
      <c r="N75" s="29" t="s">
        <v>2826</v>
      </c>
      <c r="O75" s="36" t="s">
        <v>3212</v>
      </c>
      <c r="P75" s="28" t="s">
        <v>2826</v>
      </c>
    </row>
    <row r="76" spans="1:16" x14ac:dyDescent="0.3">
      <c r="A76" s="25" t="s">
        <v>3211</v>
      </c>
      <c r="B76" s="26">
        <v>46093</v>
      </c>
      <c r="C76" s="26">
        <v>46098</v>
      </c>
      <c r="D76" s="6">
        <v>3319</v>
      </c>
      <c r="E76" s="6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24338058</v>
      </c>
      <c r="K76" s="28" t="s">
        <v>2586</v>
      </c>
      <c r="L76" t="s">
        <v>2592</v>
      </c>
      <c r="M76" s="39">
        <v>279900</v>
      </c>
      <c r="N76" s="29" t="s">
        <v>2826</v>
      </c>
      <c r="O76" s="36" t="s">
        <v>3212</v>
      </c>
      <c r="P76" s="28" t="s">
        <v>2826</v>
      </c>
    </row>
    <row r="77" spans="1:16" x14ac:dyDescent="0.3">
      <c r="A77" s="25" t="s">
        <v>3211</v>
      </c>
      <c r="B77" s="26">
        <v>46093</v>
      </c>
      <c r="C77" s="26">
        <v>46098</v>
      </c>
      <c r="D77" s="6">
        <v>3319</v>
      </c>
      <c r="E77" s="6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24338218</v>
      </c>
      <c r="K77" s="28" t="s">
        <v>2586</v>
      </c>
      <c r="L77" t="s">
        <v>2593</v>
      </c>
      <c r="M77" s="39">
        <v>279900</v>
      </c>
      <c r="N77" s="29" t="s">
        <v>2826</v>
      </c>
      <c r="O77" s="36" t="s">
        <v>3212</v>
      </c>
      <c r="P77" s="28" t="s">
        <v>2826</v>
      </c>
    </row>
    <row r="78" spans="1:16" x14ac:dyDescent="0.3">
      <c r="A78" s="25" t="s">
        <v>3211</v>
      </c>
      <c r="B78" s="26">
        <v>46093</v>
      </c>
      <c r="C78" s="26">
        <v>46098</v>
      </c>
      <c r="D78" s="6">
        <v>3319</v>
      </c>
      <c r="E78" s="6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24338227</v>
      </c>
      <c r="K78" s="28" t="s">
        <v>2586</v>
      </c>
      <c r="L78" t="s">
        <v>2594</v>
      </c>
      <c r="M78" s="39">
        <v>279900</v>
      </c>
      <c r="N78" s="29" t="s">
        <v>2826</v>
      </c>
      <c r="O78" s="36" t="s">
        <v>3212</v>
      </c>
      <c r="P78" s="28" t="s">
        <v>2826</v>
      </c>
    </row>
    <row r="79" spans="1:16" x14ac:dyDescent="0.3">
      <c r="A79" s="25" t="s">
        <v>3211</v>
      </c>
      <c r="B79" s="26">
        <v>46093</v>
      </c>
      <c r="C79" s="26">
        <v>46098</v>
      </c>
      <c r="D79" s="6">
        <v>3319</v>
      </c>
      <c r="E79" s="6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24338245</v>
      </c>
      <c r="K79" s="28" t="s">
        <v>2586</v>
      </c>
      <c r="L79" t="s">
        <v>2595</v>
      </c>
      <c r="M79" s="39">
        <v>279900</v>
      </c>
      <c r="N79" s="29" t="s">
        <v>2826</v>
      </c>
      <c r="O79" s="36" t="s">
        <v>3212</v>
      </c>
      <c r="P79" s="28" t="s">
        <v>2826</v>
      </c>
    </row>
    <row r="80" spans="1:16" x14ac:dyDescent="0.3">
      <c r="A80" s="25" t="s">
        <v>3211</v>
      </c>
      <c r="B80" s="26">
        <v>46093</v>
      </c>
      <c r="C80" s="26">
        <v>46098</v>
      </c>
      <c r="D80" s="6">
        <v>3319</v>
      </c>
      <c r="E80" s="6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24338254</v>
      </c>
      <c r="K80" s="28" t="s">
        <v>2586</v>
      </c>
      <c r="L80" t="s">
        <v>2596</v>
      </c>
      <c r="M80" s="39">
        <v>279900</v>
      </c>
      <c r="N80" s="29" t="s">
        <v>2826</v>
      </c>
      <c r="O80" s="36" t="s">
        <v>3212</v>
      </c>
      <c r="P80" s="28" t="s">
        <v>2826</v>
      </c>
    </row>
    <row r="81" spans="1:16" x14ac:dyDescent="0.3">
      <c r="A81" s="25" t="s">
        <v>3211</v>
      </c>
      <c r="B81" s="26">
        <v>46093</v>
      </c>
      <c r="C81" s="26">
        <v>46098</v>
      </c>
      <c r="D81" s="6">
        <v>3319</v>
      </c>
      <c r="E81" s="6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24338709</v>
      </c>
      <c r="K81" s="28" t="s">
        <v>2576</v>
      </c>
      <c r="L81" t="s">
        <v>2597</v>
      </c>
      <c r="M81" s="39">
        <v>279900</v>
      </c>
      <c r="N81" s="29" t="s">
        <v>2826</v>
      </c>
      <c r="O81" s="36" t="s">
        <v>3212</v>
      </c>
      <c r="P81" s="28" t="s">
        <v>2826</v>
      </c>
    </row>
    <row r="82" spans="1:16" x14ac:dyDescent="0.3">
      <c r="A82" s="25" t="s">
        <v>3211</v>
      </c>
      <c r="B82" s="26">
        <v>46093</v>
      </c>
      <c r="C82" s="26">
        <v>46098</v>
      </c>
      <c r="D82">
        <v>3319</v>
      </c>
      <c r="E82">
        <v>327</v>
      </c>
      <c r="F82" s="28">
        <v>2</v>
      </c>
      <c r="G82" s="28">
        <v>1</v>
      </c>
      <c r="H82" s="28">
        <v>81433</v>
      </c>
      <c r="I82" s="28" t="s">
        <v>17</v>
      </c>
      <c r="J82" s="28">
        <v>52703636</v>
      </c>
      <c r="K82" s="28" t="s">
        <v>2616</v>
      </c>
      <c r="L82" t="s">
        <v>2617</v>
      </c>
      <c r="M82" s="37">
        <v>279900</v>
      </c>
      <c r="N82" s="29" t="s">
        <v>2826</v>
      </c>
      <c r="O82" s="36" t="s">
        <v>3212</v>
      </c>
      <c r="P82" s="28" t="s">
        <v>2826</v>
      </c>
    </row>
    <row r="83" spans="1:16" x14ac:dyDescent="0.3">
      <c r="A83" s="25" t="s">
        <v>3211</v>
      </c>
      <c r="B83" s="26">
        <v>46093</v>
      </c>
      <c r="C83" s="26">
        <v>46098</v>
      </c>
      <c r="D83">
        <v>3319</v>
      </c>
      <c r="E83">
        <v>327</v>
      </c>
      <c r="F83" s="28">
        <v>2</v>
      </c>
      <c r="G83" s="28">
        <v>1</v>
      </c>
      <c r="H83" s="28">
        <v>81433</v>
      </c>
      <c r="I83" s="28" t="s">
        <v>17</v>
      </c>
      <c r="J83" s="28">
        <v>52703645</v>
      </c>
      <c r="K83" s="28" t="s">
        <v>2616</v>
      </c>
      <c r="L83" t="s">
        <v>2618</v>
      </c>
      <c r="M83" s="37">
        <v>279900</v>
      </c>
      <c r="N83" s="29" t="s">
        <v>2826</v>
      </c>
      <c r="O83" s="36" t="s">
        <v>3212</v>
      </c>
      <c r="P83" s="28" t="s">
        <v>2826</v>
      </c>
    </row>
    <row r="84" spans="1:16" x14ac:dyDescent="0.3">
      <c r="A84" s="25" t="s">
        <v>3211</v>
      </c>
      <c r="B84" s="26">
        <v>46093</v>
      </c>
      <c r="C84" s="26">
        <v>46098</v>
      </c>
      <c r="D84">
        <v>3319</v>
      </c>
      <c r="E84">
        <v>327</v>
      </c>
      <c r="F84" s="28">
        <v>2</v>
      </c>
      <c r="G84" s="28">
        <v>1</v>
      </c>
      <c r="H84" s="28">
        <v>81433</v>
      </c>
      <c r="I84" s="28" t="s">
        <v>17</v>
      </c>
      <c r="J84" s="28">
        <v>52703681</v>
      </c>
      <c r="K84" s="28" t="s">
        <v>2616</v>
      </c>
      <c r="L84" t="s">
        <v>2619</v>
      </c>
      <c r="M84" s="37">
        <v>279900</v>
      </c>
      <c r="N84" s="29" t="s">
        <v>2826</v>
      </c>
      <c r="O84" s="36" t="s">
        <v>3212</v>
      </c>
      <c r="P84" s="28" t="s">
        <v>2826</v>
      </c>
    </row>
    <row r="85" spans="1:16" x14ac:dyDescent="0.3">
      <c r="A85" s="25" t="s">
        <v>3211</v>
      </c>
      <c r="B85" s="26">
        <v>46093</v>
      </c>
      <c r="C85" s="26">
        <v>46098</v>
      </c>
      <c r="D85">
        <v>3319</v>
      </c>
      <c r="E85">
        <v>327</v>
      </c>
      <c r="F85" s="28">
        <v>2</v>
      </c>
      <c r="G85" s="28">
        <v>1</v>
      </c>
      <c r="H85" s="28">
        <v>81433</v>
      </c>
      <c r="I85" s="28" t="s">
        <v>17</v>
      </c>
      <c r="J85" s="28">
        <v>52703627</v>
      </c>
      <c r="K85" s="28" t="s">
        <v>2616</v>
      </c>
      <c r="L85" t="s">
        <v>2620</v>
      </c>
      <c r="M85" s="37">
        <v>279900</v>
      </c>
      <c r="N85" s="29" t="s">
        <v>2826</v>
      </c>
      <c r="O85" s="36" t="s">
        <v>3212</v>
      </c>
      <c r="P85" s="28" t="s">
        <v>2826</v>
      </c>
    </row>
    <row r="86" spans="1:16" x14ac:dyDescent="0.3">
      <c r="A86" s="25" t="s">
        <v>3211</v>
      </c>
      <c r="B86" s="26">
        <v>46093</v>
      </c>
      <c r="C86" s="26">
        <v>46098</v>
      </c>
      <c r="D86">
        <v>3319</v>
      </c>
      <c r="E86">
        <v>327</v>
      </c>
      <c r="F86" s="28">
        <v>2</v>
      </c>
      <c r="G86" s="28">
        <v>1</v>
      </c>
      <c r="H86" s="28">
        <v>81433</v>
      </c>
      <c r="I86" s="28" t="s">
        <v>17</v>
      </c>
      <c r="J86" s="28">
        <v>52703618</v>
      </c>
      <c r="K86" s="28" t="s">
        <v>2616</v>
      </c>
      <c r="L86" t="s">
        <v>2621</v>
      </c>
      <c r="M86" s="37">
        <v>279900</v>
      </c>
      <c r="N86" s="29" t="s">
        <v>2826</v>
      </c>
      <c r="O86" s="36" t="s">
        <v>3212</v>
      </c>
      <c r="P86" s="28" t="s">
        <v>2826</v>
      </c>
    </row>
    <row r="87" spans="1:16" x14ac:dyDescent="0.3">
      <c r="A87" s="25" t="s">
        <v>3211</v>
      </c>
      <c r="B87" s="26">
        <v>46093</v>
      </c>
      <c r="C87" s="26">
        <v>46098</v>
      </c>
      <c r="D87">
        <v>3319</v>
      </c>
      <c r="E87">
        <v>327</v>
      </c>
      <c r="F87" s="28">
        <v>2</v>
      </c>
      <c r="G87" s="28">
        <v>1</v>
      </c>
      <c r="H87" s="28">
        <v>81433</v>
      </c>
      <c r="I87" s="28" t="s">
        <v>17</v>
      </c>
      <c r="J87" s="28">
        <v>52703707</v>
      </c>
      <c r="K87" s="28" t="s">
        <v>2616</v>
      </c>
      <c r="L87" t="s">
        <v>2622</v>
      </c>
      <c r="M87" s="37">
        <v>279900</v>
      </c>
      <c r="N87" s="29" t="s">
        <v>2826</v>
      </c>
      <c r="O87" s="36" t="s">
        <v>3212</v>
      </c>
      <c r="P87" s="28" t="s">
        <v>2826</v>
      </c>
    </row>
    <row r="88" spans="1:16" x14ac:dyDescent="0.3">
      <c r="A88" s="25" t="s">
        <v>3211</v>
      </c>
      <c r="B88" s="26">
        <v>46093</v>
      </c>
      <c r="C88" s="26">
        <v>46098</v>
      </c>
      <c r="D88">
        <v>3319</v>
      </c>
      <c r="E88">
        <v>327</v>
      </c>
      <c r="F88" s="28">
        <v>2</v>
      </c>
      <c r="G88" s="28">
        <v>1</v>
      </c>
      <c r="H88" s="28">
        <v>81433</v>
      </c>
      <c r="I88" s="28" t="s">
        <v>17</v>
      </c>
      <c r="J88" s="28">
        <v>52703672</v>
      </c>
      <c r="K88" s="28" t="s">
        <v>2616</v>
      </c>
      <c r="L88" t="s">
        <v>2623</v>
      </c>
      <c r="M88" s="37">
        <v>279900</v>
      </c>
      <c r="N88" s="29" t="s">
        <v>2826</v>
      </c>
      <c r="O88" s="36" t="s">
        <v>3212</v>
      </c>
      <c r="P88" s="28" t="s">
        <v>2826</v>
      </c>
    </row>
    <row r="89" spans="1:16" x14ac:dyDescent="0.3">
      <c r="A89" s="25" t="s">
        <v>3211</v>
      </c>
      <c r="B89" s="26">
        <v>46093</v>
      </c>
      <c r="C89" s="26">
        <v>46098</v>
      </c>
      <c r="D89">
        <v>3319</v>
      </c>
      <c r="E89">
        <v>327</v>
      </c>
      <c r="F89" s="28">
        <v>2</v>
      </c>
      <c r="G89" s="28">
        <v>1</v>
      </c>
      <c r="H89" s="28">
        <v>81433</v>
      </c>
      <c r="I89" s="28" t="s">
        <v>17</v>
      </c>
      <c r="J89" s="28">
        <v>52703690</v>
      </c>
      <c r="K89" s="28" t="s">
        <v>2616</v>
      </c>
      <c r="L89" t="s">
        <v>2624</v>
      </c>
      <c r="M89" s="37">
        <v>279900</v>
      </c>
      <c r="N89" s="29" t="s">
        <v>2826</v>
      </c>
      <c r="O89" s="36" t="s">
        <v>3212</v>
      </c>
      <c r="P89" s="28" t="s">
        <v>2826</v>
      </c>
    </row>
    <row r="90" spans="1:16" x14ac:dyDescent="0.3">
      <c r="A90" s="25" t="s">
        <v>3211</v>
      </c>
      <c r="B90" s="26">
        <v>46093</v>
      </c>
      <c r="C90" s="26">
        <v>46098</v>
      </c>
      <c r="D90">
        <v>3319</v>
      </c>
      <c r="E90">
        <v>327</v>
      </c>
      <c r="F90" s="28">
        <v>2</v>
      </c>
      <c r="G90" s="28">
        <v>1</v>
      </c>
      <c r="H90" s="28">
        <v>81433</v>
      </c>
      <c r="I90" s="28" t="s">
        <v>17</v>
      </c>
      <c r="J90" s="28">
        <v>52703663</v>
      </c>
      <c r="K90" s="28" t="s">
        <v>2616</v>
      </c>
      <c r="L90" t="s">
        <v>2625</v>
      </c>
      <c r="M90" s="37">
        <v>279900</v>
      </c>
      <c r="N90" s="29" t="s">
        <v>2826</v>
      </c>
      <c r="O90" s="36" t="s">
        <v>3212</v>
      </c>
      <c r="P90" s="28" t="s">
        <v>2826</v>
      </c>
    </row>
    <row r="91" spans="1:16" x14ac:dyDescent="0.3">
      <c r="A91" s="25" t="s">
        <v>3211</v>
      </c>
      <c r="B91" s="26">
        <v>46093</v>
      </c>
      <c r="C91" s="26">
        <v>46098</v>
      </c>
      <c r="D91">
        <v>3319</v>
      </c>
      <c r="E91">
        <v>327</v>
      </c>
      <c r="F91" s="28">
        <v>2</v>
      </c>
      <c r="G91" s="28">
        <v>1</v>
      </c>
      <c r="H91" s="28">
        <v>81433</v>
      </c>
      <c r="I91" s="28" t="s">
        <v>17</v>
      </c>
      <c r="J91" s="28">
        <v>52703654</v>
      </c>
      <c r="K91" s="28" t="s">
        <v>2616</v>
      </c>
      <c r="L91" t="s">
        <v>2626</v>
      </c>
      <c r="M91" s="37">
        <v>279900</v>
      </c>
      <c r="N91" s="29" t="s">
        <v>2826</v>
      </c>
      <c r="O91" s="36" t="s">
        <v>3212</v>
      </c>
      <c r="P91" s="28" t="s">
        <v>2826</v>
      </c>
    </row>
  </sheetData>
  <autoFilter ref="A1:P91" xr:uid="{00000000-0001-0000-0900-000000000000}"/>
  <phoneticPr fontId="14" type="noConversion"/>
  <conditionalFormatting sqref="J1">
    <cfRule type="duplicateValues" dxfId="90" priority="45"/>
    <cfRule type="duplicateValues" dxfId="89" priority="46"/>
    <cfRule type="duplicateValues" dxfId="88" priority="47"/>
    <cfRule type="duplicateValues" dxfId="87" priority="48"/>
    <cfRule type="duplicateValues" dxfId="86" priority="49"/>
    <cfRule type="duplicateValues" dxfId="85" priority="50"/>
  </conditionalFormatting>
  <conditionalFormatting sqref="J2:J11">
    <cfRule type="duplicateValues" dxfId="84" priority="32"/>
  </conditionalFormatting>
  <conditionalFormatting sqref="J2:J81">
    <cfRule type="duplicateValues" dxfId="83" priority="451"/>
  </conditionalFormatting>
  <conditionalFormatting sqref="J17:J26">
    <cfRule type="duplicateValues" dxfId="82" priority="29"/>
    <cfRule type="duplicateValues" dxfId="81" priority="30"/>
    <cfRule type="duplicateValues" dxfId="80" priority="31"/>
  </conditionalFormatting>
  <conditionalFormatting sqref="J27:J61 J2:J16">
    <cfRule type="duplicateValues" dxfId="79" priority="440"/>
    <cfRule type="duplicateValues" dxfId="78" priority="444"/>
    <cfRule type="duplicateValues" dxfId="77" priority="445"/>
  </conditionalFormatting>
  <conditionalFormatting sqref="J82:J91">
    <cfRule type="duplicateValues" dxfId="76" priority="19"/>
  </conditionalFormatting>
  <conditionalFormatting sqref="J92:J1048576 J1:J81">
    <cfRule type="duplicateValues" dxfId="75" priority="50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681-13B9-456E-A350-E25B8F19C2F9}">
  <sheetPr>
    <tabColor rgb="FF92D050"/>
  </sheetPr>
  <dimension ref="A1:P56"/>
  <sheetViews>
    <sheetView zoomScale="85" zoomScaleNormal="85" workbookViewId="0">
      <selection activeCell="E15" sqref="E15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3320312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3218</v>
      </c>
      <c r="B2" s="26">
        <v>46093</v>
      </c>
      <c r="C2" s="26">
        <v>46098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51673386</v>
      </c>
      <c r="K2" s="43" t="s">
        <v>2680</v>
      </c>
      <c r="L2" t="s">
        <v>2681</v>
      </c>
      <c r="M2" s="37">
        <v>229900</v>
      </c>
      <c r="N2" s="81" t="s">
        <v>2604</v>
      </c>
      <c r="O2" s="37">
        <v>199000</v>
      </c>
      <c r="P2" s="28" t="s">
        <v>2604</v>
      </c>
    </row>
    <row r="3" spans="1:16" x14ac:dyDescent="0.3">
      <c r="A3" s="25" t="s">
        <v>3218</v>
      </c>
      <c r="B3" s="26">
        <v>46093</v>
      </c>
      <c r="C3" s="26">
        <v>46098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51673340</v>
      </c>
      <c r="K3" s="43" t="s">
        <v>2680</v>
      </c>
      <c r="L3" t="s">
        <v>2682</v>
      </c>
      <c r="M3" s="37">
        <v>229900</v>
      </c>
      <c r="N3" s="81" t="s">
        <v>2604</v>
      </c>
      <c r="O3" s="37">
        <v>199000</v>
      </c>
      <c r="P3" s="28" t="s">
        <v>2604</v>
      </c>
    </row>
    <row r="4" spans="1:16" x14ac:dyDescent="0.3">
      <c r="A4" s="25" t="s">
        <v>3218</v>
      </c>
      <c r="B4" s="26">
        <v>46093</v>
      </c>
      <c r="C4" s="26">
        <v>46098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51673359</v>
      </c>
      <c r="K4" s="43" t="s">
        <v>2680</v>
      </c>
      <c r="L4" t="s">
        <v>2683</v>
      </c>
      <c r="M4" s="37">
        <v>229900</v>
      </c>
      <c r="N4" s="81" t="s">
        <v>2604</v>
      </c>
      <c r="O4" s="37">
        <v>199000</v>
      </c>
      <c r="P4" s="28" t="s">
        <v>2604</v>
      </c>
    </row>
    <row r="5" spans="1:16" x14ac:dyDescent="0.3">
      <c r="A5" s="25" t="s">
        <v>3218</v>
      </c>
      <c r="B5" s="26">
        <v>46093</v>
      </c>
      <c r="C5" s="26">
        <v>46098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51673395</v>
      </c>
      <c r="K5" s="43" t="s">
        <v>2680</v>
      </c>
      <c r="L5" t="s">
        <v>2684</v>
      </c>
      <c r="M5" s="37">
        <v>229900</v>
      </c>
      <c r="N5" s="81" t="s">
        <v>2604</v>
      </c>
      <c r="O5" s="37">
        <v>199000</v>
      </c>
      <c r="P5" s="28" t="s">
        <v>2604</v>
      </c>
    </row>
    <row r="6" spans="1:16" x14ac:dyDescent="0.3">
      <c r="A6" s="25" t="s">
        <v>3218</v>
      </c>
      <c r="B6" s="26">
        <v>46093</v>
      </c>
      <c r="C6" s="26">
        <v>46098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51673411</v>
      </c>
      <c r="K6" s="43" t="s">
        <v>2680</v>
      </c>
      <c r="L6" t="s">
        <v>2685</v>
      </c>
      <c r="M6" s="37">
        <v>229900</v>
      </c>
      <c r="N6" s="81" t="s">
        <v>2604</v>
      </c>
      <c r="O6" s="37">
        <v>199000</v>
      </c>
      <c r="P6" s="28" t="s">
        <v>2604</v>
      </c>
    </row>
    <row r="7" spans="1:16" x14ac:dyDescent="0.3">
      <c r="A7" s="25" t="s">
        <v>3218</v>
      </c>
      <c r="B7" s="26">
        <v>46093</v>
      </c>
      <c r="C7" s="26">
        <v>46098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51673331</v>
      </c>
      <c r="K7" s="43" t="s">
        <v>2680</v>
      </c>
      <c r="L7" t="s">
        <v>2686</v>
      </c>
      <c r="M7" s="37">
        <v>229900</v>
      </c>
      <c r="N7" s="81" t="s">
        <v>2604</v>
      </c>
      <c r="O7" s="37">
        <v>199000</v>
      </c>
      <c r="P7" s="28" t="s">
        <v>2604</v>
      </c>
    </row>
    <row r="8" spans="1:16" x14ac:dyDescent="0.3">
      <c r="A8" s="25" t="s">
        <v>3218</v>
      </c>
      <c r="B8" s="26">
        <v>46093</v>
      </c>
      <c r="C8" s="26">
        <v>46098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51673402</v>
      </c>
      <c r="K8" s="43" t="s">
        <v>2680</v>
      </c>
      <c r="L8" t="s">
        <v>2687</v>
      </c>
      <c r="M8" s="37">
        <v>229900</v>
      </c>
      <c r="N8" s="81" t="s">
        <v>2604</v>
      </c>
      <c r="O8" s="37">
        <v>199000</v>
      </c>
      <c r="P8" s="28" t="s">
        <v>2604</v>
      </c>
    </row>
    <row r="9" spans="1:16" x14ac:dyDescent="0.3">
      <c r="A9" s="25" t="s">
        <v>3218</v>
      </c>
      <c r="B9" s="26">
        <v>46093</v>
      </c>
      <c r="C9" s="26">
        <v>46098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51673420</v>
      </c>
      <c r="K9" s="43" t="s">
        <v>2680</v>
      </c>
      <c r="L9" t="s">
        <v>2688</v>
      </c>
      <c r="M9" s="37">
        <v>229900</v>
      </c>
      <c r="N9" s="81" t="s">
        <v>2604</v>
      </c>
      <c r="O9" s="37">
        <v>199000</v>
      </c>
      <c r="P9" s="28" t="s">
        <v>2604</v>
      </c>
    </row>
    <row r="10" spans="1:16" x14ac:dyDescent="0.3">
      <c r="A10" s="25" t="s">
        <v>3218</v>
      </c>
      <c r="B10" s="26">
        <v>46093</v>
      </c>
      <c r="C10" s="26">
        <v>46098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51673368</v>
      </c>
      <c r="K10" s="43" t="s">
        <v>2680</v>
      </c>
      <c r="L10" t="s">
        <v>2689</v>
      </c>
      <c r="M10" s="37">
        <v>229900</v>
      </c>
      <c r="N10" s="81" t="s">
        <v>2604</v>
      </c>
      <c r="O10" s="37">
        <v>199000</v>
      </c>
      <c r="P10" s="28" t="s">
        <v>2604</v>
      </c>
    </row>
    <row r="11" spans="1:16" x14ac:dyDescent="0.3">
      <c r="A11" s="25" t="s">
        <v>3218</v>
      </c>
      <c r="B11" s="26">
        <v>46093</v>
      </c>
      <c r="C11" s="26">
        <v>46098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51673377</v>
      </c>
      <c r="K11" s="43" t="s">
        <v>2680</v>
      </c>
      <c r="L11" t="s">
        <v>2690</v>
      </c>
      <c r="M11" s="37">
        <v>229900</v>
      </c>
      <c r="N11" s="81" t="s">
        <v>2604</v>
      </c>
      <c r="O11" s="37">
        <v>199000</v>
      </c>
      <c r="P11" s="28" t="s">
        <v>2604</v>
      </c>
    </row>
    <row r="12" spans="1:16" x14ac:dyDescent="0.3">
      <c r="A12" s="25" t="s">
        <v>3218</v>
      </c>
      <c r="B12" s="26">
        <v>46093</v>
      </c>
      <c r="C12" s="26">
        <v>46098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51673439</v>
      </c>
      <c r="K12" s="43" t="s">
        <v>2792</v>
      </c>
      <c r="L12" t="s">
        <v>2793</v>
      </c>
      <c r="M12" s="37">
        <v>229900</v>
      </c>
      <c r="N12" s="81" t="s">
        <v>2604</v>
      </c>
      <c r="O12" s="37">
        <v>199000</v>
      </c>
      <c r="P12" s="28" t="s">
        <v>2604</v>
      </c>
    </row>
    <row r="13" spans="1:16" x14ac:dyDescent="0.3">
      <c r="A13" s="25" t="s">
        <v>3218</v>
      </c>
      <c r="B13" s="26">
        <v>46093</v>
      </c>
      <c r="C13" s="26">
        <v>46098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51673448</v>
      </c>
      <c r="K13" s="43" t="s">
        <v>2792</v>
      </c>
      <c r="L13" t="s">
        <v>2794</v>
      </c>
      <c r="M13" s="37">
        <v>229900</v>
      </c>
      <c r="N13" s="81" t="s">
        <v>2604</v>
      </c>
      <c r="O13" s="37">
        <v>199000</v>
      </c>
      <c r="P13" s="28" t="s">
        <v>2604</v>
      </c>
    </row>
    <row r="14" spans="1:16" x14ac:dyDescent="0.3">
      <c r="A14" s="25" t="s">
        <v>3218</v>
      </c>
      <c r="B14" s="26">
        <v>46093</v>
      </c>
      <c r="C14" s="26">
        <v>46098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51673457</v>
      </c>
      <c r="K14" s="43" t="s">
        <v>2792</v>
      </c>
      <c r="L14" t="s">
        <v>2795</v>
      </c>
      <c r="M14" s="37">
        <v>229900</v>
      </c>
      <c r="N14" s="81" t="s">
        <v>2604</v>
      </c>
      <c r="O14" s="37">
        <v>199000</v>
      </c>
      <c r="P14" s="28" t="s">
        <v>2604</v>
      </c>
    </row>
    <row r="15" spans="1:16" x14ac:dyDescent="0.3">
      <c r="A15" s="25" t="s">
        <v>3218</v>
      </c>
      <c r="B15" s="26">
        <v>46093</v>
      </c>
      <c r="C15" s="26">
        <v>46098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51673466</v>
      </c>
      <c r="K15" s="43" t="s">
        <v>2792</v>
      </c>
      <c r="L15" t="s">
        <v>2796</v>
      </c>
      <c r="M15" s="37">
        <v>229900</v>
      </c>
      <c r="N15" s="81" t="s">
        <v>2604</v>
      </c>
      <c r="O15" s="37">
        <v>199000</v>
      </c>
      <c r="P15" s="28" t="s">
        <v>2604</v>
      </c>
    </row>
    <row r="16" spans="1:16" x14ac:dyDescent="0.3">
      <c r="A16" s="25" t="s">
        <v>3218</v>
      </c>
      <c r="B16" s="26">
        <v>46093</v>
      </c>
      <c r="C16" s="26">
        <v>46098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51673475</v>
      </c>
      <c r="K16" s="43" t="s">
        <v>2792</v>
      </c>
      <c r="L16" t="s">
        <v>2797</v>
      </c>
      <c r="M16" s="37">
        <v>229900</v>
      </c>
      <c r="N16" s="81" t="s">
        <v>2604</v>
      </c>
      <c r="O16" s="37">
        <v>199000</v>
      </c>
      <c r="P16" s="28" t="s">
        <v>2604</v>
      </c>
    </row>
    <row r="17" spans="1:16" x14ac:dyDescent="0.3">
      <c r="A17" s="25" t="s">
        <v>3218</v>
      </c>
      <c r="B17" s="26">
        <v>46093</v>
      </c>
      <c r="C17" s="26">
        <v>46098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51673484</v>
      </c>
      <c r="K17" s="43" t="s">
        <v>2792</v>
      </c>
      <c r="L17" t="s">
        <v>2798</v>
      </c>
      <c r="M17" s="37">
        <v>229900</v>
      </c>
      <c r="N17" s="81" t="s">
        <v>2604</v>
      </c>
      <c r="O17" s="37">
        <v>199000</v>
      </c>
      <c r="P17" s="28" t="s">
        <v>2604</v>
      </c>
    </row>
    <row r="18" spans="1:16" x14ac:dyDescent="0.3">
      <c r="A18" s="25" t="s">
        <v>3218</v>
      </c>
      <c r="B18" s="26">
        <v>46093</v>
      </c>
      <c r="C18" s="26">
        <v>46098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51673493</v>
      </c>
      <c r="K18" s="43" t="s">
        <v>2792</v>
      </c>
      <c r="L18" t="s">
        <v>2799</v>
      </c>
      <c r="M18" s="37">
        <v>229900</v>
      </c>
      <c r="N18" s="81" t="s">
        <v>2604</v>
      </c>
      <c r="O18" s="37">
        <v>199000</v>
      </c>
      <c r="P18" s="28" t="s">
        <v>2604</v>
      </c>
    </row>
    <row r="19" spans="1:16" x14ac:dyDescent="0.3">
      <c r="A19" s="25" t="s">
        <v>3218</v>
      </c>
      <c r="B19" s="26">
        <v>46093</v>
      </c>
      <c r="C19" s="26">
        <v>46098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51673500</v>
      </c>
      <c r="K19" s="43" t="s">
        <v>2792</v>
      </c>
      <c r="L19" t="s">
        <v>2800</v>
      </c>
      <c r="M19" s="37">
        <v>229900</v>
      </c>
      <c r="N19" s="81" t="s">
        <v>2604</v>
      </c>
      <c r="O19" s="37">
        <v>199000</v>
      </c>
      <c r="P19" s="28" t="s">
        <v>2604</v>
      </c>
    </row>
    <row r="20" spans="1:16" x14ac:dyDescent="0.3">
      <c r="A20" s="25" t="s">
        <v>3218</v>
      </c>
      <c r="B20" s="26">
        <v>46093</v>
      </c>
      <c r="C20" s="26">
        <v>46098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51673519</v>
      </c>
      <c r="K20" s="43" t="s">
        <v>2792</v>
      </c>
      <c r="L20" t="s">
        <v>2801</v>
      </c>
      <c r="M20" s="37">
        <v>229900</v>
      </c>
      <c r="N20" s="81" t="s">
        <v>2604</v>
      </c>
      <c r="O20" s="37">
        <v>199000</v>
      </c>
      <c r="P20" s="28" t="s">
        <v>2604</v>
      </c>
    </row>
    <row r="21" spans="1:16" x14ac:dyDescent="0.3">
      <c r="A21" s="25" t="s">
        <v>3218</v>
      </c>
      <c r="B21" s="26">
        <v>46093</v>
      </c>
      <c r="C21" s="26">
        <v>46098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51673528</v>
      </c>
      <c r="K21" s="43" t="s">
        <v>2792</v>
      </c>
      <c r="L21" t="s">
        <v>2802</v>
      </c>
      <c r="M21" s="37">
        <v>229900</v>
      </c>
      <c r="N21" s="81" t="s">
        <v>2604</v>
      </c>
      <c r="O21" s="37">
        <v>199000</v>
      </c>
      <c r="P21" s="28" t="s">
        <v>2604</v>
      </c>
    </row>
    <row r="22" spans="1:16" x14ac:dyDescent="0.3">
      <c r="A22" s="25" t="s">
        <v>3218</v>
      </c>
      <c r="B22" s="26">
        <v>46093</v>
      </c>
      <c r="C22" s="26">
        <v>46098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51673546</v>
      </c>
      <c r="K22" s="43" t="s">
        <v>2691</v>
      </c>
      <c r="L22" t="s">
        <v>2692</v>
      </c>
      <c r="M22" s="37">
        <v>229900</v>
      </c>
      <c r="N22" s="81" t="s">
        <v>2604</v>
      </c>
      <c r="O22" s="37">
        <v>199000</v>
      </c>
      <c r="P22" s="28" t="s">
        <v>2604</v>
      </c>
    </row>
    <row r="23" spans="1:16" x14ac:dyDescent="0.3">
      <c r="A23" s="25" t="s">
        <v>3218</v>
      </c>
      <c r="B23" s="26">
        <v>46093</v>
      </c>
      <c r="C23" s="26">
        <v>46098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51673591</v>
      </c>
      <c r="K23" s="43" t="s">
        <v>2691</v>
      </c>
      <c r="L23" t="s">
        <v>2693</v>
      </c>
      <c r="M23" s="37">
        <v>229900</v>
      </c>
      <c r="N23" s="81" t="s">
        <v>2604</v>
      </c>
      <c r="O23" s="37">
        <v>199000</v>
      </c>
      <c r="P23" s="28" t="s">
        <v>2604</v>
      </c>
    </row>
    <row r="24" spans="1:16" x14ac:dyDescent="0.3">
      <c r="A24" s="25" t="s">
        <v>3218</v>
      </c>
      <c r="B24" s="26">
        <v>46093</v>
      </c>
      <c r="C24" s="26">
        <v>46098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51673608</v>
      </c>
      <c r="K24" s="43" t="s">
        <v>2691</v>
      </c>
      <c r="L24" t="s">
        <v>2694</v>
      </c>
      <c r="M24" s="37">
        <v>229900</v>
      </c>
      <c r="N24" s="81" t="s">
        <v>2604</v>
      </c>
      <c r="O24" s="37">
        <v>199000</v>
      </c>
      <c r="P24" s="28" t="s">
        <v>2604</v>
      </c>
    </row>
    <row r="25" spans="1:16" x14ac:dyDescent="0.3">
      <c r="A25" s="25" t="s">
        <v>3218</v>
      </c>
      <c r="B25" s="26">
        <v>46093</v>
      </c>
      <c r="C25" s="26">
        <v>46098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51673582</v>
      </c>
      <c r="K25" s="43" t="s">
        <v>2691</v>
      </c>
      <c r="L25" t="s">
        <v>2695</v>
      </c>
      <c r="M25" s="37">
        <v>229900</v>
      </c>
      <c r="N25" s="81" t="s">
        <v>2604</v>
      </c>
      <c r="O25" s="37">
        <v>199000</v>
      </c>
      <c r="P25" s="28" t="s">
        <v>2604</v>
      </c>
    </row>
    <row r="26" spans="1:16" x14ac:dyDescent="0.3">
      <c r="A26" s="25" t="s">
        <v>3218</v>
      </c>
      <c r="B26" s="26">
        <v>46093</v>
      </c>
      <c r="C26" s="26">
        <v>46098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51673555</v>
      </c>
      <c r="K26" s="43" t="s">
        <v>2691</v>
      </c>
      <c r="L26" t="s">
        <v>2696</v>
      </c>
      <c r="M26" s="37">
        <v>229900</v>
      </c>
      <c r="N26" s="81" t="s">
        <v>2604</v>
      </c>
      <c r="O26" s="37">
        <v>199000</v>
      </c>
      <c r="P26" s="28" t="s">
        <v>2604</v>
      </c>
    </row>
    <row r="27" spans="1:16" x14ac:dyDescent="0.3">
      <c r="A27" s="25" t="s">
        <v>3218</v>
      </c>
      <c r="B27" s="26">
        <v>46093</v>
      </c>
      <c r="C27" s="26">
        <v>46098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51673537</v>
      </c>
      <c r="K27" s="43" t="s">
        <v>2691</v>
      </c>
      <c r="L27" t="s">
        <v>2697</v>
      </c>
      <c r="M27" s="37">
        <v>229900</v>
      </c>
      <c r="N27" s="81" t="s">
        <v>2604</v>
      </c>
      <c r="O27" s="37">
        <v>199000</v>
      </c>
      <c r="P27" s="28" t="s">
        <v>2604</v>
      </c>
    </row>
    <row r="28" spans="1:16" x14ac:dyDescent="0.3">
      <c r="A28" s="25" t="s">
        <v>3218</v>
      </c>
      <c r="B28" s="26">
        <v>46093</v>
      </c>
      <c r="C28" s="26">
        <v>46098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51673564</v>
      </c>
      <c r="K28" s="43" t="s">
        <v>2691</v>
      </c>
      <c r="L28" t="s">
        <v>2698</v>
      </c>
      <c r="M28" s="37">
        <v>229900</v>
      </c>
      <c r="N28" s="81" t="s">
        <v>2604</v>
      </c>
      <c r="O28" s="37">
        <v>199000</v>
      </c>
      <c r="P28" s="28" t="s">
        <v>2604</v>
      </c>
    </row>
    <row r="29" spans="1:16" x14ac:dyDescent="0.3">
      <c r="A29" s="25" t="s">
        <v>3218</v>
      </c>
      <c r="B29" s="26">
        <v>46093</v>
      </c>
      <c r="C29" s="26">
        <v>46098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51673573</v>
      </c>
      <c r="K29" s="43" t="s">
        <v>2691</v>
      </c>
      <c r="L29" t="s">
        <v>2699</v>
      </c>
      <c r="M29" s="37">
        <v>229900</v>
      </c>
      <c r="N29" s="81" t="s">
        <v>2604</v>
      </c>
      <c r="O29" s="37">
        <v>199000</v>
      </c>
      <c r="P29" s="28" t="s">
        <v>2604</v>
      </c>
    </row>
    <row r="30" spans="1:16" x14ac:dyDescent="0.3">
      <c r="A30" s="25" t="s">
        <v>3218</v>
      </c>
      <c r="B30" s="26">
        <v>46093</v>
      </c>
      <c r="C30" s="26">
        <v>46098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51673617</v>
      </c>
      <c r="K30" s="43" t="s">
        <v>2691</v>
      </c>
      <c r="L30" t="s">
        <v>2700</v>
      </c>
      <c r="M30" s="37">
        <v>229900</v>
      </c>
      <c r="N30" s="81" t="s">
        <v>2604</v>
      </c>
      <c r="O30" s="37">
        <v>199000</v>
      </c>
      <c r="P30" s="28" t="s">
        <v>2604</v>
      </c>
    </row>
    <row r="31" spans="1:16" x14ac:dyDescent="0.3">
      <c r="A31" s="25" t="s">
        <v>3218</v>
      </c>
      <c r="B31" s="26">
        <v>46093</v>
      </c>
      <c r="C31" s="26">
        <v>46098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51673626</v>
      </c>
      <c r="K31" s="43" t="s">
        <v>2691</v>
      </c>
      <c r="L31" t="s">
        <v>2701</v>
      </c>
      <c r="M31" s="37">
        <v>229900</v>
      </c>
      <c r="N31" s="81" t="s">
        <v>2604</v>
      </c>
      <c r="O31" s="37">
        <v>199000</v>
      </c>
      <c r="P31" s="28" t="s">
        <v>2604</v>
      </c>
    </row>
    <row r="32" spans="1:16" x14ac:dyDescent="0.3">
      <c r="A32" s="25" t="s">
        <v>3218</v>
      </c>
      <c r="B32" s="26">
        <v>46093</v>
      </c>
      <c r="C32" s="26">
        <v>46098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22407290</v>
      </c>
      <c r="K32" s="43" t="s">
        <v>2285</v>
      </c>
      <c r="L32" t="s">
        <v>2291</v>
      </c>
      <c r="M32" s="37">
        <v>229900</v>
      </c>
      <c r="N32" s="81" t="s">
        <v>2604</v>
      </c>
      <c r="O32" s="37">
        <v>199000</v>
      </c>
      <c r="P32" s="28" t="s">
        <v>2604</v>
      </c>
    </row>
    <row r="33" spans="1:16" x14ac:dyDescent="0.3">
      <c r="A33" s="25" t="s">
        <v>3218</v>
      </c>
      <c r="B33" s="26">
        <v>46093</v>
      </c>
      <c r="C33" s="26">
        <v>46098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22407307</v>
      </c>
      <c r="K33" s="43" t="s">
        <v>2285</v>
      </c>
      <c r="L33" t="s">
        <v>2292</v>
      </c>
      <c r="M33" s="37">
        <v>229900</v>
      </c>
      <c r="N33" s="81" t="s">
        <v>2604</v>
      </c>
      <c r="O33" s="37">
        <v>199000</v>
      </c>
      <c r="P33" s="28" t="s">
        <v>2604</v>
      </c>
    </row>
    <row r="34" spans="1:16" x14ac:dyDescent="0.3">
      <c r="A34" s="25" t="s">
        <v>3218</v>
      </c>
      <c r="B34" s="26">
        <v>46093</v>
      </c>
      <c r="C34" s="26">
        <v>46098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22407316</v>
      </c>
      <c r="K34" s="43" t="s">
        <v>2285</v>
      </c>
      <c r="L34" t="s">
        <v>2293</v>
      </c>
      <c r="M34" s="37">
        <v>229900</v>
      </c>
      <c r="N34" s="81" t="s">
        <v>2604</v>
      </c>
      <c r="O34" s="37">
        <v>199000</v>
      </c>
      <c r="P34" s="28" t="s">
        <v>2604</v>
      </c>
    </row>
    <row r="35" spans="1:16" x14ac:dyDescent="0.3">
      <c r="A35" s="25" t="s">
        <v>3218</v>
      </c>
      <c r="B35" s="26">
        <v>46093</v>
      </c>
      <c r="C35" s="26">
        <v>46098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22407325</v>
      </c>
      <c r="K35" s="43" t="s">
        <v>2285</v>
      </c>
      <c r="L35" t="s">
        <v>2294</v>
      </c>
      <c r="M35" s="37">
        <v>229900</v>
      </c>
      <c r="N35" s="81" t="s">
        <v>2604</v>
      </c>
      <c r="O35" s="37">
        <v>199000</v>
      </c>
      <c r="P35" s="28" t="s">
        <v>2604</v>
      </c>
    </row>
    <row r="36" spans="1:16" x14ac:dyDescent="0.3">
      <c r="A36" s="25" t="s">
        <v>3218</v>
      </c>
      <c r="B36" s="26">
        <v>46093</v>
      </c>
      <c r="C36" s="26">
        <v>46098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22407334</v>
      </c>
      <c r="K36" s="43" t="s">
        <v>2285</v>
      </c>
      <c r="L36" t="s">
        <v>2295</v>
      </c>
      <c r="M36" s="37">
        <v>229900</v>
      </c>
      <c r="N36" s="81" t="s">
        <v>2604</v>
      </c>
      <c r="O36" s="37">
        <v>199000</v>
      </c>
      <c r="P36" s="28" t="s">
        <v>2604</v>
      </c>
    </row>
    <row r="37" spans="1:16" x14ac:dyDescent="0.3">
      <c r="A37" s="25" t="s">
        <v>3218</v>
      </c>
      <c r="B37" s="26">
        <v>46093</v>
      </c>
      <c r="C37" s="26">
        <v>46098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54500360</v>
      </c>
      <c r="K37" s="43" t="s">
        <v>2742</v>
      </c>
      <c r="L37" t="s">
        <v>2743</v>
      </c>
      <c r="M37" s="37">
        <v>229900</v>
      </c>
      <c r="N37" s="81" t="s">
        <v>2604</v>
      </c>
      <c r="O37" s="37">
        <v>199000</v>
      </c>
      <c r="P37" s="28" t="s">
        <v>2604</v>
      </c>
    </row>
    <row r="38" spans="1:16" x14ac:dyDescent="0.3">
      <c r="A38" s="25" t="s">
        <v>3218</v>
      </c>
      <c r="B38" s="26">
        <v>46093</v>
      </c>
      <c r="C38" s="26">
        <v>46098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54500379</v>
      </c>
      <c r="K38" s="43" t="s">
        <v>2742</v>
      </c>
      <c r="L38" t="s">
        <v>2744</v>
      </c>
      <c r="M38" s="37">
        <v>229900</v>
      </c>
      <c r="N38" s="81" t="s">
        <v>2604</v>
      </c>
      <c r="O38" s="37">
        <v>199000</v>
      </c>
      <c r="P38" s="28" t="s">
        <v>2604</v>
      </c>
    </row>
    <row r="39" spans="1:16" x14ac:dyDescent="0.3">
      <c r="A39" s="25" t="s">
        <v>3218</v>
      </c>
      <c r="B39" s="26">
        <v>46093</v>
      </c>
      <c r="C39" s="26">
        <v>46098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54500388</v>
      </c>
      <c r="K39" s="43" t="s">
        <v>2742</v>
      </c>
      <c r="L39" t="s">
        <v>2745</v>
      </c>
      <c r="M39" s="37">
        <v>229900</v>
      </c>
      <c r="N39" s="81" t="s">
        <v>2604</v>
      </c>
      <c r="O39" s="37">
        <v>199000</v>
      </c>
      <c r="P39" s="28" t="s">
        <v>2604</v>
      </c>
    </row>
    <row r="40" spans="1:16" x14ac:dyDescent="0.3">
      <c r="A40" s="25" t="s">
        <v>3218</v>
      </c>
      <c r="B40" s="26">
        <v>46093</v>
      </c>
      <c r="C40" s="26">
        <v>46098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54500397</v>
      </c>
      <c r="K40" s="43" t="s">
        <v>2742</v>
      </c>
      <c r="L40" t="s">
        <v>2746</v>
      </c>
      <c r="M40" s="37">
        <v>229900</v>
      </c>
      <c r="N40" s="81" t="s">
        <v>2604</v>
      </c>
      <c r="O40" s="37">
        <v>199000</v>
      </c>
      <c r="P40" s="28" t="s">
        <v>2604</v>
      </c>
    </row>
    <row r="41" spans="1:16" x14ac:dyDescent="0.3">
      <c r="A41" s="25" t="s">
        <v>3218</v>
      </c>
      <c r="B41" s="26">
        <v>46093</v>
      </c>
      <c r="C41" s="26">
        <v>46098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54500404</v>
      </c>
      <c r="K41" s="43" t="s">
        <v>2742</v>
      </c>
      <c r="L41" t="s">
        <v>2747</v>
      </c>
      <c r="M41" s="37">
        <v>229900</v>
      </c>
      <c r="N41" s="81" t="s">
        <v>2604</v>
      </c>
      <c r="O41" s="37">
        <v>199000</v>
      </c>
      <c r="P41" s="28" t="s">
        <v>2604</v>
      </c>
    </row>
    <row r="42" spans="1:16" x14ac:dyDescent="0.3">
      <c r="A42" s="25" t="s">
        <v>3218</v>
      </c>
      <c r="B42" s="26">
        <v>46093</v>
      </c>
      <c r="C42" s="26">
        <v>46098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54500413</v>
      </c>
      <c r="K42" s="43" t="s">
        <v>2742</v>
      </c>
      <c r="L42" t="s">
        <v>2748</v>
      </c>
      <c r="M42" s="37">
        <v>229900</v>
      </c>
      <c r="N42" s="81" t="s">
        <v>2604</v>
      </c>
      <c r="O42" s="37">
        <v>199000</v>
      </c>
      <c r="P42" s="28" t="s">
        <v>2604</v>
      </c>
    </row>
    <row r="43" spans="1:16" x14ac:dyDescent="0.3">
      <c r="A43" s="25" t="s">
        <v>3218</v>
      </c>
      <c r="B43" s="26">
        <v>46093</v>
      </c>
      <c r="C43" s="26">
        <v>46098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54500422</v>
      </c>
      <c r="K43" s="43" t="s">
        <v>2742</v>
      </c>
      <c r="L43" t="s">
        <v>2749</v>
      </c>
      <c r="M43" s="37">
        <v>229900</v>
      </c>
      <c r="N43" s="81" t="s">
        <v>2604</v>
      </c>
      <c r="O43" s="37">
        <v>199000</v>
      </c>
      <c r="P43" s="28" t="s">
        <v>2604</v>
      </c>
    </row>
    <row r="44" spans="1:16" x14ac:dyDescent="0.3">
      <c r="A44" s="25" t="s">
        <v>3218</v>
      </c>
      <c r="B44" s="26">
        <v>46093</v>
      </c>
      <c r="C44" s="26">
        <v>46098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54500431</v>
      </c>
      <c r="K44" s="43" t="s">
        <v>2742</v>
      </c>
      <c r="L44" t="s">
        <v>2750</v>
      </c>
      <c r="M44" s="37">
        <v>229900</v>
      </c>
      <c r="N44" s="81" t="s">
        <v>2604</v>
      </c>
      <c r="O44" s="37">
        <v>199000</v>
      </c>
      <c r="P44" s="28" t="s">
        <v>2604</v>
      </c>
    </row>
    <row r="45" spans="1:16" x14ac:dyDescent="0.3">
      <c r="A45" s="25" t="s">
        <v>3218</v>
      </c>
      <c r="B45" s="26">
        <v>46093</v>
      </c>
      <c r="C45" s="26">
        <v>46098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54500440</v>
      </c>
      <c r="K45" s="43" t="s">
        <v>2742</v>
      </c>
      <c r="L45" t="s">
        <v>2751</v>
      </c>
      <c r="M45" s="37">
        <v>229900</v>
      </c>
      <c r="N45" s="81" t="s">
        <v>2604</v>
      </c>
      <c r="O45" s="37">
        <v>199000</v>
      </c>
      <c r="P45" s="28" t="s">
        <v>2604</v>
      </c>
    </row>
    <row r="46" spans="1:16" x14ac:dyDescent="0.3">
      <c r="A46" s="25" t="s">
        <v>3218</v>
      </c>
      <c r="B46" s="26">
        <v>46093</v>
      </c>
      <c r="C46" s="26">
        <v>46098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54500459</v>
      </c>
      <c r="K46" s="43" t="s">
        <v>2742</v>
      </c>
      <c r="L46" t="s">
        <v>2752</v>
      </c>
      <c r="M46" s="37">
        <v>229900</v>
      </c>
      <c r="N46" s="81" t="s">
        <v>2604</v>
      </c>
      <c r="O46" s="37">
        <v>199000</v>
      </c>
      <c r="P46" s="28" t="s">
        <v>2604</v>
      </c>
    </row>
    <row r="47" spans="1:16" x14ac:dyDescent="0.3">
      <c r="A47" s="25" t="s">
        <v>3218</v>
      </c>
      <c r="B47" s="26">
        <v>46093</v>
      </c>
      <c r="C47" s="26">
        <v>46098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54500468</v>
      </c>
      <c r="K47" s="43" t="s">
        <v>2753</v>
      </c>
      <c r="L47" t="s">
        <v>2754</v>
      </c>
      <c r="M47" s="37">
        <v>229900</v>
      </c>
      <c r="N47" s="81" t="s">
        <v>2604</v>
      </c>
      <c r="O47" s="37">
        <v>199000</v>
      </c>
      <c r="P47" s="28" t="s">
        <v>2604</v>
      </c>
    </row>
    <row r="48" spans="1:16" x14ac:dyDescent="0.3">
      <c r="A48" s="25" t="s">
        <v>3218</v>
      </c>
      <c r="B48" s="26">
        <v>46093</v>
      </c>
      <c r="C48" s="26">
        <v>46098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54500477</v>
      </c>
      <c r="K48" s="43" t="s">
        <v>2753</v>
      </c>
      <c r="L48" t="s">
        <v>2755</v>
      </c>
      <c r="M48" s="37">
        <v>229900</v>
      </c>
      <c r="N48" s="81" t="s">
        <v>2604</v>
      </c>
      <c r="O48" s="37">
        <v>199000</v>
      </c>
      <c r="P48" s="28" t="s">
        <v>2604</v>
      </c>
    </row>
    <row r="49" spans="1:16" x14ac:dyDescent="0.3">
      <c r="A49" s="25" t="s">
        <v>3218</v>
      </c>
      <c r="B49" s="26">
        <v>46093</v>
      </c>
      <c r="C49" s="26">
        <v>46098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54500486</v>
      </c>
      <c r="K49" s="43" t="s">
        <v>2753</v>
      </c>
      <c r="L49" t="s">
        <v>2756</v>
      </c>
      <c r="M49" s="37">
        <v>229900</v>
      </c>
      <c r="N49" s="81" t="s">
        <v>2604</v>
      </c>
      <c r="O49" s="37">
        <v>199000</v>
      </c>
      <c r="P49" s="28" t="s">
        <v>2604</v>
      </c>
    </row>
    <row r="50" spans="1:16" x14ac:dyDescent="0.3">
      <c r="A50" s="25" t="s">
        <v>3218</v>
      </c>
      <c r="B50" s="26">
        <v>46093</v>
      </c>
      <c r="C50" s="26">
        <v>46098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54500495</v>
      </c>
      <c r="K50" s="43" t="s">
        <v>2753</v>
      </c>
      <c r="L50" t="s">
        <v>2757</v>
      </c>
      <c r="M50" s="37">
        <v>229900</v>
      </c>
      <c r="N50" s="81" t="s">
        <v>2604</v>
      </c>
      <c r="O50" s="37">
        <v>199000</v>
      </c>
      <c r="P50" s="28" t="s">
        <v>2604</v>
      </c>
    </row>
    <row r="51" spans="1:16" x14ac:dyDescent="0.3">
      <c r="A51" s="25" t="s">
        <v>3218</v>
      </c>
      <c r="B51" s="26">
        <v>46093</v>
      </c>
      <c r="C51" s="26">
        <v>46098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54500502</v>
      </c>
      <c r="K51" s="43" t="s">
        <v>2753</v>
      </c>
      <c r="L51" t="s">
        <v>2758</v>
      </c>
      <c r="M51" s="37">
        <v>229900</v>
      </c>
      <c r="N51" s="81" t="s">
        <v>2604</v>
      </c>
      <c r="O51" s="37">
        <v>199000</v>
      </c>
      <c r="P51" s="28" t="s">
        <v>2604</v>
      </c>
    </row>
    <row r="52" spans="1:16" x14ac:dyDescent="0.3">
      <c r="A52" s="25" t="s">
        <v>3218</v>
      </c>
      <c r="B52" s="26">
        <v>46093</v>
      </c>
      <c r="C52" s="26">
        <v>46098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54500511</v>
      </c>
      <c r="K52" s="43" t="s">
        <v>2753</v>
      </c>
      <c r="L52" t="s">
        <v>2759</v>
      </c>
      <c r="M52" s="37">
        <v>229900</v>
      </c>
      <c r="N52" s="81" t="s">
        <v>2604</v>
      </c>
      <c r="O52" s="37">
        <v>199000</v>
      </c>
      <c r="P52" s="28" t="s">
        <v>2604</v>
      </c>
    </row>
    <row r="53" spans="1:16" x14ac:dyDescent="0.3">
      <c r="A53" s="25" t="s">
        <v>3218</v>
      </c>
      <c r="B53" s="26">
        <v>46093</v>
      </c>
      <c r="C53" s="26">
        <v>46098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54500520</v>
      </c>
      <c r="K53" s="43" t="s">
        <v>2753</v>
      </c>
      <c r="L53" t="s">
        <v>2760</v>
      </c>
      <c r="M53" s="37">
        <v>229900</v>
      </c>
      <c r="N53" s="81" t="s">
        <v>2604</v>
      </c>
      <c r="O53" s="37">
        <v>199000</v>
      </c>
      <c r="P53" s="28" t="s">
        <v>2604</v>
      </c>
    </row>
    <row r="54" spans="1:16" x14ac:dyDescent="0.3">
      <c r="A54" s="25" t="s">
        <v>3218</v>
      </c>
      <c r="B54" s="26">
        <v>46093</v>
      </c>
      <c r="C54" s="26">
        <v>46098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54500539</v>
      </c>
      <c r="K54" s="43" t="s">
        <v>2753</v>
      </c>
      <c r="L54" t="s">
        <v>2761</v>
      </c>
      <c r="M54" s="37">
        <v>229900</v>
      </c>
      <c r="N54" s="81" t="s">
        <v>2604</v>
      </c>
      <c r="O54" s="37">
        <v>199000</v>
      </c>
      <c r="P54" s="28" t="s">
        <v>2604</v>
      </c>
    </row>
    <row r="55" spans="1:16" x14ac:dyDescent="0.3">
      <c r="A55" s="25" t="s">
        <v>3218</v>
      </c>
      <c r="B55" s="26">
        <v>46093</v>
      </c>
      <c r="C55" s="26">
        <v>46098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54500548</v>
      </c>
      <c r="K55" s="43" t="s">
        <v>2753</v>
      </c>
      <c r="L55" t="s">
        <v>2762</v>
      </c>
      <c r="M55" s="37">
        <v>229900</v>
      </c>
      <c r="N55" s="81" t="s">
        <v>2604</v>
      </c>
      <c r="O55" s="37">
        <v>199000</v>
      </c>
      <c r="P55" s="28" t="s">
        <v>2604</v>
      </c>
    </row>
    <row r="56" spans="1:16" x14ac:dyDescent="0.3">
      <c r="A56" s="25" t="s">
        <v>3218</v>
      </c>
      <c r="B56" s="26">
        <v>46093</v>
      </c>
      <c r="C56" s="26">
        <v>46098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54500557</v>
      </c>
      <c r="K56" s="43" t="s">
        <v>2753</v>
      </c>
      <c r="L56" t="s">
        <v>2763</v>
      </c>
      <c r="M56" s="37">
        <v>229900</v>
      </c>
      <c r="N56" s="81" t="s">
        <v>2604</v>
      </c>
      <c r="O56" s="37">
        <v>199000</v>
      </c>
      <c r="P56" s="28" t="s">
        <v>2604</v>
      </c>
    </row>
  </sheetData>
  <autoFilter ref="A1:Q56" xr:uid="{00000000-0001-0000-0900-000000000000}"/>
  <conditionalFormatting sqref="J1">
    <cfRule type="duplicateValues" dxfId="74" priority="22"/>
    <cfRule type="duplicateValues" dxfId="73" priority="23"/>
    <cfRule type="duplicateValues" dxfId="72" priority="24"/>
    <cfRule type="duplicateValues" dxfId="71" priority="25"/>
    <cfRule type="duplicateValues" dxfId="70" priority="26"/>
    <cfRule type="duplicateValues" dxfId="69" priority="27"/>
  </conditionalFormatting>
  <conditionalFormatting sqref="J2:J31">
    <cfRule type="duplicateValues" dxfId="68" priority="21"/>
  </conditionalFormatting>
  <conditionalFormatting sqref="J32:J1048576 J1">
    <cfRule type="duplicateValues" dxfId="67" priority="28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EF5-B3CA-40C4-8230-83682EAD9B87}">
  <sheetPr>
    <tabColor rgb="FFFF0000"/>
  </sheetPr>
  <dimension ref="A1:P146"/>
  <sheetViews>
    <sheetView zoomScale="85" zoomScaleNormal="85" workbookViewId="0">
      <selection activeCell="I33" sqref="I33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3225</v>
      </c>
      <c r="B2" s="26">
        <v>46093</v>
      </c>
      <c r="C2" s="26">
        <v>46098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19295864</v>
      </c>
      <c r="K2" s="43" t="s">
        <v>2148</v>
      </c>
      <c r="L2" t="s">
        <v>2149</v>
      </c>
      <c r="M2" s="39">
        <v>199900</v>
      </c>
      <c r="N2" s="81" t="s">
        <v>2826</v>
      </c>
      <c r="O2" s="37" t="s">
        <v>3223</v>
      </c>
      <c r="P2" s="28" t="s">
        <v>2826</v>
      </c>
    </row>
    <row r="3" spans="1:16" x14ac:dyDescent="0.3">
      <c r="A3" s="25" t="s">
        <v>3225</v>
      </c>
      <c r="B3" s="26">
        <v>46093</v>
      </c>
      <c r="C3" s="26">
        <v>46098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19295873</v>
      </c>
      <c r="K3" s="43" t="s">
        <v>2148</v>
      </c>
      <c r="L3" t="s">
        <v>2150</v>
      </c>
      <c r="M3" s="39">
        <v>199900</v>
      </c>
      <c r="N3" s="81" t="s">
        <v>2826</v>
      </c>
      <c r="O3" s="37" t="s">
        <v>3223</v>
      </c>
      <c r="P3" s="28" t="s">
        <v>2826</v>
      </c>
    </row>
    <row r="4" spans="1:16" x14ac:dyDescent="0.3">
      <c r="A4" s="25" t="s">
        <v>3225</v>
      </c>
      <c r="B4" s="26">
        <v>46093</v>
      </c>
      <c r="C4" s="26">
        <v>46098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19295891</v>
      </c>
      <c r="K4" s="43" t="s">
        <v>2148</v>
      </c>
      <c r="L4" t="s">
        <v>2151</v>
      </c>
      <c r="M4" s="39">
        <v>199900</v>
      </c>
      <c r="N4" s="81" t="s">
        <v>2826</v>
      </c>
      <c r="O4" s="37" t="s">
        <v>3223</v>
      </c>
      <c r="P4" s="28" t="s">
        <v>2826</v>
      </c>
    </row>
    <row r="5" spans="1:16" x14ac:dyDescent="0.3">
      <c r="A5" s="25" t="s">
        <v>3225</v>
      </c>
      <c r="B5" s="26">
        <v>46093</v>
      </c>
      <c r="C5" s="26">
        <v>46098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19295908</v>
      </c>
      <c r="K5" s="43" t="s">
        <v>2148</v>
      </c>
      <c r="L5" t="s">
        <v>2152</v>
      </c>
      <c r="M5" s="39">
        <v>199900</v>
      </c>
      <c r="N5" s="81" t="s">
        <v>2826</v>
      </c>
      <c r="O5" s="37" t="s">
        <v>3223</v>
      </c>
      <c r="P5" s="28" t="s">
        <v>2826</v>
      </c>
    </row>
    <row r="6" spans="1:16" x14ac:dyDescent="0.3">
      <c r="A6" s="25" t="s">
        <v>3225</v>
      </c>
      <c r="B6" s="26">
        <v>46093</v>
      </c>
      <c r="C6" s="26">
        <v>46098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19295917</v>
      </c>
      <c r="K6" s="43" t="s">
        <v>2148</v>
      </c>
      <c r="L6" t="s">
        <v>2153</v>
      </c>
      <c r="M6" s="39">
        <v>199900</v>
      </c>
      <c r="N6" s="81" t="s">
        <v>2826</v>
      </c>
      <c r="O6" s="37" t="s">
        <v>3223</v>
      </c>
      <c r="P6" s="28" t="s">
        <v>2826</v>
      </c>
    </row>
    <row r="7" spans="1:16" x14ac:dyDescent="0.3">
      <c r="A7" s="25" t="s">
        <v>3225</v>
      </c>
      <c r="B7" s="26">
        <v>46093</v>
      </c>
      <c r="C7" s="26">
        <v>46098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51673135</v>
      </c>
      <c r="K7" s="43" t="s">
        <v>2148</v>
      </c>
      <c r="L7" t="s">
        <v>2414</v>
      </c>
      <c r="M7" s="39">
        <v>199900</v>
      </c>
      <c r="N7" s="81" t="s">
        <v>2826</v>
      </c>
      <c r="O7" s="37" t="s">
        <v>3223</v>
      </c>
      <c r="P7" s="28" t="s">
        <v>2826</v>
      </c>
    </row>
    <row r="8" spans="1:16" x14ac:dyDescent="0.3">
      <c r="A8" s="25" t="s">
        <v>3225</v>
      </c>
      <c r="B8" s="26">
        <v>46093</v>
      </c>
      <c r="C8" s="26">
        <v>46098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51673144</v>
      </c>
      <c r="K8" s="43" t="s">
        <v>2148</v>
      </c>
      <c r="L8" t="s">
        <v>2415</v>
      </c>
      <c r="M8" s="39">
        <v>199900</v>
      </c>
      <c r="N8" s="81" t="s">
        <v>2826</v>
      </c>
      <c r="O8" s="37" t="s">
        <v>3223</v>
      </c>
      <c r="P8" s="28" t="s">
        <v>2826</v>
      </c>
    </row>
    <row r="9" spans="1:16" x14ac:dyDescent="0.3">
      <c r="A9" s="25" t="s">
        <v>3225</v>
      </c>
      <c r="B9" s="26">
        <v>46093</v>
      </c>
      <c r="C9" s="26">
        <v>46098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51673153</v>
      </c>
      <c r="K9" s="43" t="s">
        <v>2148</v>
      </c>
      <c r="L9" t="s">
        <v>2416</v>
      </c>
      <c r="M9" s="39">
        <v>199900</v>
      </c>
      <c r="N9" s="81" t="s">
        <v>2826</v>
      </c>
      <c r="O9" s="37" t="s">
        <v>3223</v>
      </c>
      <c r="P9" s="28" t="s">
        <v>2826</v>
      </c>
    </row>
    <row r="10" spans="1:16" x14ac:dyDescent="0.3">
      <c r="A10" s="25" t="s">
        <v>3225</v>
      </c>
      <c r="B10" s="26">
        <v>46093</v>
      </c>
      <c r="C10" s="26">
        <v>46098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51673162</v>
      </c>
      <c r="K10" s="43" t="s">
        <v>2148</v>
      </c>
      <c r="L10" t="s">
        <v>2417</v>
      </c>
      <c r="M10" s="39">
        <v>199900</v>
      </c>
      <c r="N10" s="81" t="s">
        <v>2826</v>
      </c>
      <c r="O10" s="37" t="s">
        <v>3223</v>
      </c>
      <c r="P10" s="28" t="s">
        <v>2826</v>
      </c>
    </row>
    <row r="11" spans="1:16" x14ac:dyDescent="0.3">
      <c r="A11" s="25" t="s">
        <v>3225</v>
      </c>
      <c r="B11" s="26">
        <v>46093</v>
      </c>
      <c r="C11" s="26">
        <v>46098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51673171</v>
      </c>
      <c r="K11" s="43" t="s">
        <v>2148</v>
      </c>
      <c r="L11" t="s">
        <v>2418</v>
      </c>
      <c r="M11" s="39">
        <v>199900</v>
      </c>
      <c r="N11" s="81" t="s">
        <v>2826</v>
      </c>
      <c r="O11" s="37" t="s">
        <v>3223</v>
      </c>
      <c r="P11" s="28" t="s">
        <v>2826</v>
      </c>
    </row>
    <row r="12" spans="1:16" x14ac:dyDescent="0.3">
      <c r="A12" s="25" t="s">
        <v>3225</v>
      </c>
      <c r="B12" s="26">
        <v>46093</v>
      </c>
      <c r="C12" s="26">
        <v>46098</v>
      </c>
      <c r="D12" s="82">
        <v>3319</v>
      </c>
      <c r="E12" s="82">
        <v>327</v>
      </c>
      <c r="F12" s="25">
        <v>2</v>
      </c>
      <c r="G12" s="28">
        <v>1</v>
      </c>
      <c r="H12" s="28">
        <v>81778</v>
      </c>
      <c r="I12" s="28" t="s">
        <v>17</v>
      </c>
      <c r="J12" s="28">
        <v>22704414</v>
      </c>
      <c r="K12" s="43" t="s">
        <v>2499</v>
      </c>
      <c r="L12" t="s">
        <v>2502</v>
      </c>
      <c r="M12" s="39">
        <v>199900</v>
      </c>
      <c r="N12" s="81" t="s">
        <v>2826</v>
      </c>
      <c r="O12" s="37" t="s">
        <v>3223</v>
      </c>
      <c r="P12" s="28" t="s">
        <v>2826</v>
      </c>
    </row>
    <row r="13" spans="1:16" x14ac:dyDescent="0.3">
      <c r="A13" s="25" t="s">
        <v>3225</v>
      </c>
      <c r="B13" s="26">
        <v>46093</v>
      </c>
      <c r="C13" s="26">
        <v>46098</v>
      </c>
      <c r="D13" s="82">
        <v>3319</v>
      </c>
      <c r="E13" s="82">
        <v>327</v>
      </c>
      <c r="F13" s="25">
        <v>2</v>
      </c>
      <c r="G13" s="28">
        <v>1</v>
      </c>
      <c r="H13" s="28">
        <v>81778</v>
      </c>
      <c r="I13" s="28" t="s">
        <v>17</v>
      </c>
      <c r="J13" s="28">
        <v>22704423</v>
      </c>
      <c r="K13" s="43" t="s">
        <v>2499</v>
      </c>
      <c r="L13" t="s">
        <v>2503</v>
      </c>
      <c r="M13" s="39">
        <v>199900</v>
      </c>
      <c r="N13" s="81" t="s">
        <v>2826</v>
      </c>
      <c r="O13" s="37" t="s">
        <v>3223</v>
      </c>
      <c r="P13" s="28" t="s">
        <v>2826</v>
      </c>
    </row>
    <row r="14" spans="1:16" x14ac:dyDescent="0.3">
      <c r="A14" s="25" t="s">
        <v>3225</v>
      </c>
      <c r="B14" s="26">
        <v>46093</v>
      </c>
      <c r="C14" s="26">
        <v>46098</v>
      </c>
      <c r="D14" s="82">
        <v>3319</v>
      </c>
      <c r="E14" s="82">
        <v>327</v>
      </c>
      <c r="F14" s="25">
        <v>2</v>
      </c>
      <c r="G14" s="28">
        <v>1</v>
      </c>
      <c r="H14" s="28">
        <v>81778</v>
      </c>
      <c r="I14" s="28" t="s">
        <v>17</v>
      </c>
      <c r="J14" s="28">
        <v>22704432</v>
      </c>
      <c r="K14" s="43" t="s">
        <v>2499</v>
      </c>
      <c r="L14" t="s">
        <v>2504</v>
      </c>
      <c r="M14" s="39">
        <v>199900</v>
      </c>
      <c r="N14" s="81" t="s">
        <v>2826</v>
      </c>
      <c r="O14" s="37" t="s">
        <v>3223</v>
      </c>
      <c r="P14" s="28" t="s">
        <v>2826</v>
      </c>
    </row>
    <row r="15" spans="1:16" x14ac:dyDescent="0.3">
      <c r="A15" s="25" t="s">
        <v>3225</v>
      </c>
      <c r="B15" s="26">
        <v>46093</v>
      </c>
      <c r="C15" s="26">
        <v>46098</v>
      </c>
      <c r="D15" s="82">
        <v>3319</v>
      </c>
      <c r="E15" s="82">
        <v>327</v>
      </c>
      <c r="F15" s="25">
        <v>2</v>
      </c>
      <c r="G15" s="28">
        <v>1</v>
      </c>
      <c r="H15" s="28">
        <v>81778</v>
      </c>
      <c r="I15" s="28" t="s">
        <v>17</v>
      </c>
      <c r="J15" s="28">
        <v>22704441</v>
      </c>
      <c r="K15" s="43" t="s">
        <v>2499</v>
      </c>
      <c r="L15" t="s">
        <v>2505</v>
      </c>
      <c r="M15" s="39">
        <v>199900</v>
      </c>
      <c r="N15" s="81" t="s">
        <v>2826</v>
      </c>
      <c r="O15" s="37" t="s">
        <v>3223</v>
      </c>
      <c r="P15" s="28" t="s">
        <v>2826</v>
      </c>
    </row>
    <row r="16" spans="1:16" x14ac:dyDescent="0.3">
      <c r="A16" s="25" t="s">
        <v>3225</v>
      </c>
      <c r="B16" s="26">
        <v>46093</v>
      </c>
      <c r="C16" s="26">
        <v>46098</v>
      </c>
      <c r="D16" s="82">
        <v>3319</v>
      </c>
      <c r="E16" s="82">
        <v>327</v>
      </c>
      <c r="F16" s="25">
        <v>2</v>
      </c>
      <c r="G16" s="28">
        <v>1</v>
      </c>
      <c r="H16" s="28">
        <v>81778</v>
      </c>
      <c r="I16" s="28" t="s">
        <v>17</v>
      </c>
      <c r="J16" s="28">
        <v>22704450</v>
      </c>
      <c r="K16" s="43" t="s">
        <v>2499</v>
      </c>
      <c r="L16" t="s">
        <v>2506</v>
      </c>
      <c r="M16" s="39">
        <v>199900</v>
      </c>
      <c r="N16" s="81" t="s">
        <v>2826</v>
      </c>
      <c r="O16" s="37" t="s">
        <v>3223</v>
      </c>
      <c r="P16" s="28" t="s">
        <v>2826</v>
      </c>
    </row>
    <row r="17" spans="1:16" x14ac:dyDescent="0.3">
      <c r="A17" s="25" t="s">
        <v>3225</v>
      </c>
      <c r="B17" s="26">
        <v>46093</v>
      </c>
      <c r="C17" s="26">
        <v>46098</v>
      </c>
      <c r="D17" s="82">
        <v>3319</v>
      </c>
      <c r="E17" s="82">
        <v>327</v>
      </c>
      <c r="F17" s="25">
        <v>2</v>
      </c>
      <c r="G17" s="28">
        <v>1</v>
      </c>
      <c r="H17" s="28">
        <v>81778</v>
      </c>
      <c r="I17" s="28" t="s">
        <v>17</v>
      </c>
      <c r="J17" s="28">
        <v>54500806</v>
      </c>
      <c r="K17" s="43" t="s">
        <v>2499</v>
      </c>
      <c r="L17" t="s">
        <v>2737</v>
      </c>
      <c r="M17" s="39">
        <v>199900</v>
      </c>
      <c r="N17" s="81" t="s">
        <v>2826</v>
      </c>
      <c r="O17" s="37" t="s">
        <v>3223</v>
      </c>
      <c r="P17" s="28" t="s">
        <v>2826</v>
      </c>
    </row>
    <row r="18" spans="1:16" x14ac:dyDescent="0.3">
      <c r="A18" s="25" t="s">
        <v>3225</v>
      </c>
      <c r="B18" s="26">
        <v>46093</v>
      </c>
      <c r="C18" s="26">
        <v>46098</v>
      </c>
      <c r="D18" s="82">
        <v>3319</v>
      </c>
      <c r="E18" s="82">
        <v>327</v>
      </c>
      <c r="F18" s="25">
        <v>2</v>
      </c>
      <c r="G18" s="28">
        <v>1</v>
      </c>
      <c r="H18" s="28">
        <v>81778</v>
      </c>
      <c r="I18" s="28" t="s">
        <v>17</v>
      </c>
      <c r="J18" s="28">
        <v>54500815</v>
      </c>
      <c r="K18" s="43" t="s">
        <v>2499</v>
      </c>
      <c r="L18" t="s">
        <v>2738</v>
      </c>
      <c r="M18" s="39">
        <v>199900</v>
      </c>
      <c r="N18" s="81" t="s">
        <v>2826</v>
      </c>
      <c r="O18" s="37" t="s">
        <v>3223</v>
      </c>
      <c r="P18" s="28" t="s">
        <v>2826</v>
      </c>
    </row>
    <row r="19" spans="1:16" x14ac:dyDescent="0.3">
      <c r="A19" s="25" t="s">
        <v>3225</v>
      </c>
      <c r="B19" s="26">
        <v>46093</v>
      </c>
      <c r="C19" s="26">
        <v>46098</v>
      </c>
      <c r="D19" s="82">
        <v>3319</v>
      </c>
      <c r="E19" s="82">
        <v>327</v>
      </c>
      <c r="F19" s="25">
        <v>2</v>
      </c>
      <c r="G19" s="28">
        <v>1</v>
      </c>
      <c r="H19" s="28">
        <v>81778</v>
      </c>
      <c r="I19" s="28" t="s">
        <v>17</v>
      </c>
      <c r="J19" s="28">
        <v>54500824</v>
      </c>
      <c r="K19" s="43" t="s">
        <v>2499</v>
      </c>
      <c r="L19" t="s">
        <v>2739</v>
      </c>
      <c r="M19" s="39">
        <v>199900</v>
      </c>
      <c r="N19" s="81" t="s">
        <v>2826</v>
      </c>
      <c r="O19" s="37" t="s">
        <v>3223</v>
      </c>
      <c r="P19" s="28" t="s">
        <v>2826</v>
      </c>
    </row>
    <row r="20" spans="1:16" x14ac:dyDescent="0.3">
      <c r="A20" s="25" t="s">
        <v>3225</v>
      </c>
      <c r="B20" s="26">
        <v>46093</v>
      </c>
      <c r="C20" s="26">
        <v>46098</v>
      </c>
      <c r="D20" s="82">
        <v>3319</v>
      </c>
      <c r="E20" s="82">
        <v>327</v>
      </c>
      <c r="F20" s="25">
        <v>2</v>
      </c>
      <c r="G20" s="28">
        <v>1</v>
      </c>
      <c r="H20" s="28">
        <v>81778</v>
      </c>
      <c r="I20" s="28" t="s">
        <v>17</v>
      </c>
      <c r="J20" s="28">
        <v>54500833</v>
      </c>
      <c r="K20" s="43" t="s">
        <v>2499</v>
      </c>
      <c r="L20" t="s">
        <v>2740</v>
      </c>
      <c r="M20" s="39">
        <v>199900</v>
      </c>
      <c r="N20" s="81" t="s">
        <v>2826</v>
      </c>
      <c r="O20" s="37" t="s">
        <v>3223</v>
      </c>
      <c r="P20" s="28" t="s">
        <v>2826</v>
      </c>
    </row>
    <row r="21" spans="1:16" x14ac:dyDescent="0.3">
      <c r="A21" s="25" t="s">
        <v>3225</v>
      </c>
      <c r="B21" s="26">
        <v>46093</v>
      </c>
      <c r="C21" s="26">
        <v>46098</v>
      </c>
      <c r="D21" s="82">
        <v>3319</v>
      </c>
      <c r="E21" s="82">
        <v>327</v>
      </c>
      <c r="F21" s="25">
        <v>2</v>
      </c>
      <c r="G21" s="28">
        <v>1</v>
      </c>
      <c r="H21" s="28">
        <v>81778</v>
      </c>
      <c r="I21" s="28" t="s">
        <v>17</v>
      </c>
      <c r="J21" s="28">
        <v>54500842</v>
      </c>
      <c r="K21" s="43" t="s">
        <v>2499</v>
      </c>
      <c r="L21" t="s">
        <v>2741</v>
      </c>
      <c r="M21" s="39">
        <v>199900</v>
      </c>
      <c r="N21" s="81" t="s">
        <v>2826</v>
      </c>
      <c r="O21" s="37" t="s">
        <v>3223</v>
      </c>
      <c r="P21" s="28" t="s">
        <v>2826</v>
      </c>
    </row>
    <row r="22" spans="1:16" x14ac:dyDescent="0.3">
      <c r="A22" s="25" t="s">
        <v>3225</v>
      </c>
      <c r="B22" s="26">
        <v>46093</v>
      </c>
      <c r="C22" s="26">
        <v>46098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45335128</v>
      </c>
      <c r="K22" s="43" t="s">
        <v>2263</v>
      </c>
      <c r="L22" t="s">
        <v>2264</v>
      </c>
      <c r="M22" s="39">
        <v>199900</v>
      </c>
      <c r="N22" s="81" t="s">
        <v>2826</v>
      </c>
      <c r="O22" s="37" t="s">
        <v>3223</v>
      </c>
      <c r="P22" s="28" t="s">
        <v>2826</v>
      </c>
    </row>
    <row r="23" spans="1:16" x14ac:dyDescent="0.3">
      <c r="A23" s="25" t="s">
        <v>3225</v>
      </c>
      <c r="B23" s="26">
        <v>46093</v>
      </c>
      <c r="C23" s="26">
        <v>46098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45335137</v>
      </c>
      <c r="K23" s="43" t="s">
        <v>2263</v>
      </c>
      <c r="L23" t="s">
        <v>2265</v>
      </c>
      <c r="M23" s="39">
        <v>199900</v>
      </c>
      <c r="N23" s="81" t="s">
        <v>2826</v>
      </c>
      <c r="O23" s="37" t="s">
        <v>3223</v>
      </c>
      <c r="P23" s="28" t="s">
        <v>2826</v>
      </c>
    </row>
    <row r="24" spans="1:16" x14ac:dyDescent="0.3">
      <c r="A24" s="25" t="s">
        <v>3225</v>
      </c>
      <c r="B24" s="26">
        <v>46093</v>
      </c>
      <c r="C24" s="26">
        <v>46098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45335146</v>
      </c>
      <c r="K24" s="43" t="s">
        <v>2263</v>
      </c>
      <c r="L24" t="s">
        <v>2266</v>
      </c>
      <c r="M24" s="39">
        <v>199900</v>
      </c>
      <c r="N24" s="81" t="s">
        <v>2826</v>
      </c>
      <c r="O24" s="37" t="s">
        <v>3223</v>
      </c>
      <c r="P24" s="28" t="s">
        <v>2826</v>
      </c>
    </row>
    <row r="25" spans="1:16" x14ac:dyDescent="0.3">
      <c r="A25" s="25" t="s">
        <v>3225</v>
      </c>
      <c r="B25" s="26">
        <v>46093</v>
      </c>
      <c r="C25" s="26">
        <v>46098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45335155</v>
      </c>
      <c r="K25" s="43" t="s">
        <v>2263</v>
      </c>
      <c r="L25" t="s">
        <v>2267</v>
      </c>
      <c r="M25" s="39">
        <v>199900</v>
      </c>
      <c r="N25" s="81" t="s">
        <v>2826</v>
      </c>
      <c r="O25" s="37" t="s">
        <v>3223</v>
      </c>
      <c r="P25" s="28" t="s">
        <v>2826</v>
      </c>
    </row>
    <row r="26" spans="1:16" x14ac:dyDescent="0.3">
      <c r="A26" s="25" t="s">
        <v>3225</v>
      </c>
      <c r="B26" s="26">
        <v>46093</v>
      </c>
      <c r="C26" s="26">
        <v>46098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45335164</v>
      </c>
      <c r="K26" s="43" t="s">
        <v>2263</v>
      </c>
      <c r="L26" t="s">
        <v>2268</v>
      </c>
      <c r="M26" s="39">
        <v>199900</v>
      </c>
      <c r="N26" s="81" t="s">
        <v>2826</v>
      </c>
      <c r="O26" s="37" t="s">
        <v>3223</v>
      </c>
      <c r="P26" s="28" t="s">
        <v>2826</v>
      </c>
    </row>
    <row r="27" spans="1:16" x14ac:dyDescent="0.3">
      <c r="A27" s="25" t="s">
        <v>3225</v>
      </c>
      <c r="B27" s="26">
        <v>46093</v>
      </c>
      <c r="C27" s="26">
        <v>46098</v>
      </c>
      <c r="D27" s="48">
        <v>3319</v>
      </c>
      <c r="E27" s="48">
        <v>327</v>
      </c>
      <c r="F27" s="28">
        <v>2</v>
      </c>
      <c r="G27" s="28">
        <v>1</v>
      </c>
      <c r="H27" s="28">
        <v>81433</v>
      </c>
      <c r="I27" s="28" t="s">
        <v>17</v>
      </c>
      <c r="J27" s="28">
        <v>52703510</v>
      </c>
      <c r="K27" s="43" t="s">
        <v>2605</v>
      </c>
      <c r="L27" t="s">
        <v>2606</v>
      </c>
      <c r="M27" s="39">
        <v>199900</v>
      </c>
      <c r="N27" s="81" t="s">
        <v>2826</v>
      </c>
      <c r="O27" s="37" t="s">
        <v>3223</v>
      </c>
      <c r="P27" s="28" t="s">
        <v>2826</v>
      </c>
    </row>
    <row r="28" spans="1:16" x14ac:dyDescent="0.3">
      <c r="A28" s="25" t="s">
        <v>3225</v>
      </c>
      <c r="B28" s="26">
        <v>46093</v>
      </c>
      <c r="C28" s="26">
        <v>46098</v>
      </c>
      <c r="D28" s="48">
        <v>3319</v>
      </c>
      <c r="E28" s="48">
        <v>327</v>
      </c>
      <c r="F28" s="28">
        <v>2</v>
      </c>
      <c r="G28" s="28">
        <v>1</v>
      </c>
      <c r="H28" s="28">
        <v>81433</v>
      </c>
      <c r="I28" s="28" t="s">
        <v>17</v>
      </c>
      <c r="J28" s="28">
        <v>52703529</v>
      </c>
      <c r="K28" s="43" t="s">
        <v>2605</v>
      </c>
      <c r="L28" t="s">
        <v>2615</v>
      </c>
      <c r="M28" s="39">
        <v>199900</v>
      </c>
      <c r="N28" s="81" t="s">
        <v>2826</v>
      </c>
      <c r="O28" s="37" t="s">
        <v>3223</v>
      </c>
      <c r="P28" s="28" t="s">
        <v>2826</v>
      </c>
    </row>
    <row r="29" spans="1:16" x14ac:dyDescent="0.3">
      <c r="A29" s="25" t="s">
        <v>3225</v>
      </c>
      <c r="B29" s="26">
        <v>46093</v>
      </c>
      <c r="C29" s="26">
        <v>46098</v>
      </c>
      <c r="D29" s="48">
        <v>3319</v>
      </c>
      <c r="E29" s="48">
        <v>327</v>
      </c>
      <c r="F29" s="28">
        <v>2</v>
      </c>
      <c r="G29" s="28">
        <v>1</v>
      </c>
      <c r="H29" s="28">
        <v>81433</v>
      </c>
      <c r="I29" s="28" t="s">
        <v>17</v>
      </c>
      <c r="J29" s="28">
        <v>52703538</v>
      </c>
      <c r="K29" s="43" t="s">
        <v>2605</v>
      </c>
      <c r="L29" t="s">
        <v>2611</v>
      </c>
      <c r="M29" s="39">
        <v>199900</v>
      </c>
      <c r="N29" s="81" t="s">
        <v>2826</v>
      </c>
      <c r="O29" s="37" t="s">
        <v>3223</v>
      </c>
      <c r="P29" s="28" t="s">
        <v>2826</v>
      </c>
    </row>
    <row r="30" spans="1:16" x14ac:dyDescent="0.3">
      <c r="A30" s="25" t="s">
        <v>3225</v>
      </c>
      <c r="B30" s="26">
        <v>46093</v>
      </c>
      <c r="C30" s="26">
        <v>46098</v>
      </c>
      <c r="D30" s="48">
        <v>3319</v>
      </c>
      <c r="E30" s="48">
        <v>327</v>
      </c>
      <c r="F30" s="28">
        <v>2</v>
      </c>
      <c r="G30" s="28">
        <v>1</v>
      </c>
      <c r="H30" s="28">
        <v>81433</v>
      </c>
      <c r="I30" s="28" t="s">
        <v>17</v>
      </c>
      <c r="J30" s="28">
        <v>52703547</v>
      </c>
      <c r="K30" s="43" t="s">
        <v>2605</v>
      </c>
      <c r="L30" t="s">
        <v>2607</v>
      </c>
      <c r="M30" s="39">
        <v>199900</v>
      </c>
      <c r="N30" s="81" t="s">
        <v>2826</v>
      </c>
      <c r="O30" s="37" t="s">
        <v>3223</v>
      </c>
      <c r="P30" s="28" t="s">
        <v>2826</v>
      </c>
    </row>
    <row r="31" spans="1:16" x14ac:dyDescent="0.3">
      <c r="A31" s="25" t="s">
        <v>3225</v>
      </c>
      <c r="B31" s="26">
        <v>46093</v>
      </c>
      <c r="C31" s="26">
        <v>46098</v>
      </c>
      <c r="D31" s="48">
        <v>3319</v>
      </c>
      <c r="E31" s="48">
        <v>327</v>
      </c>
      <c r="F31" s="28">
        <v>2</v>
      </c>
      <c r="G31" s="28">
        <v>1</v>
      </c>
      <c r="H31" s="28">
        <v>81433</v>
      </c>
      <c r="I31" s="28" t="s">
        <v>17</v>
      </c>
      <c r="J31" s="28">
        <v>52703556</v>
      </c>
      <c r="K31" s="43" t="s">
        <v>2605</v>
      </c>
      <c r="L31" t="s">
        <v>2609</v>
      </c>
      <c r="M31" s="39">
        <v>199900</v>
      </c>
      <c r="N31" s="81" t="s">
        <v>2826</v>
      </c>
      <c r="O31" s="37" t="s">
        <v>3223</v>
      </c>
      <c r="P31" s="28" t="s">
        <v>2826</v>
      </c>
    </row>
    <row r="32" spans="1:16" x14ac:dyDescent="0.3">
      <c r="A32" s="25" t="s">
        <v>3225</v>
      </c>
      <c r="B32" s="26">
        <v>46093</v>
      </c>
      <c r="C32" s="26">
        <v>46098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55523585</v>
      </c>
      <c r="K32" t="s">
        <v>2827</v>
      </c>
      <c r="L32" t="s">
        <v>2828</v>
      </c>
      <c r="M32" s="37">
        <v>199900</v>
      </c>
      <c r="N32" s="81" t="s">
        <v>2826</v>
      </c>
      <c r="O32" s="37" t="s">
        <v>3223</v>
      </c>
      <c r="P32" s="28" t="s">
        <v>2826</v>
      </c>
    </row>
    <row r="33" spans="1:16" x14ac:dyDescent="0.3">
      <c r="A33" s="25" t="s">
        <v>3225</v>
      </c>
      <c r="B33" s="26">
        <v>46093</v>
      </c>
      <c r="C33" s="26">
        <v>46098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55523576</v>
      </c>
      <c r="K33" t="s">
        <v>2827</v>
      </c>
      <c r="L33" t="s">
        <v>2829</v>
      </c>
      <c r="M33" s="37">
        <v>199900</v>
      </c>
      <c r="N33" s="81" t="s">
        <v>2826</v>
      </c>
      <c r="O33" s="37" t="s">
        <v>3223</v>
      </c>
      <c r="P33" s="28" t="s">
        <v>2826</v>
      </c>
    </row>
    <row r="34" spans="1:16" x14ac:dyDescent="0.3">
      <c r="A34" s="25" t="s">
        <v>3225</v>
      </c>
      <c r="B34" s="26">
        <v>46093</v>
      </c>
      <c r="C34" s="26">
        <v>46098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55523567</v>
      </c>
      <c r="K34" t="s">
        <v>2827</v>
      </c>
      <c r="L34" t="s">
        <v>2830</v>
      </c>
      <c r="M34" s="37">
        <v>199900</v>
      </c>
      <c r="N34" s="81" t="s">
        <v>2826</v>
      </c>
      <c r="O34" s="37" t="s">
        <v>3223</v>
      </c>
      <c r="P34" s="28" t="s">
        <v>2826</v>
      </c>
    </row>
    <row r="35" spans="1:16" x14ac:dyDescent="0.3">
      <c r="A35" s="25" t="s">
        <v>3225</v>
      </c>
      <c r="B35" s="26">
        <v>46093</v>
      </c>
      <c r="C35" s="26">
        <v>46098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55523601</v>
      </c>
      <c r="K35" t="s">
        <v>2827</v>
      </c>
      <c r="L35" t="s">
        <v>2831</v>
      </c>
      <c r="M35" s="37">
        <v>199900</v>
      </c>
      <c r="N35" s="81" t="s">
        <v>2826</v>
      </c>
      <c r="O35" s="37" t="s">
        <v>3223</v>
      </c>
      <c r="P35" s="28" t="s">
        <v>2826</v>
      </c>
    </row>
    <row r="36" spans="1:16" x14ac:dyDescent="0.3">
      <c r="A36" s="25" t="s">
        <v>3225</v>
      </c>
      <c r="B36" s="26">
        <v>46093</v>
      </c>
      <c r="C36" s="26">
        <v>46098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55523594</v>
      </c>
      <c r="K36" t="s">
        <v>2827</v>
      </c>
      <c r="L36" t="s">
        <v>2832</v>
      </c>
      <c r="M36" s="37">
        <v>199900</v>
      </c>
      <c r="N36" s="81" t="s">
        <v>2826</v>
      </c>
      <c r="O36" s="37" t="s">
        <v>3223</v>
      </c>
      <c r="P36" s="28" t="s">
        <v>2826</v>
      </c>
    </row>
    <row r="37" spans="1:16" x14ac:dyDescent="0.3">
      <c r="A37" s="25" t="s">
        <v>3225</v>
      </c>
      <c r="B37" s="26">
        <v>46093</v>
      </c>
      <c r="C37" s="26">
        <v>46098</v>
      </c>
      <c r="D37" s="82">
        <v>3319</v>
      </c>
      <c r="E37" s="82">
        <v>327</v>
      </c>
      <c r="F37" s="25">
        <v>2</v>
      </c>
      <c r="G37" s="28">
        <v>1</v>
      </c>
      <c r="H37" s="28">
        <v>81778</v>
      </c>
      <c r="I37" s="28" t="s">
        <v>17</v>
      </c>
      <c r="J37" s="28">
        <v>55524459</v>
      </c>
      <c r="K37" t="s">
        <v>2837</v>
      </c>
      <c r="L37" t="s">
        <v>2838</v>
      </c>
      <c r="M37" s="37">
        <v>199900</v>
      </c>
      <c r="N37" s="81" t="s">
        <v>2826</v>
      </c>
      <c r="O37" s="37" t="s">
        <v>3223</v>
      </c>
      <c r="P37" s="28" t="s">
        <v>2826</v>
      </c>
    </row>
    <row r="38" spans="1:16" x14ac:dyDescent="0.3">
      <c r="A38" s="25" t="s">
        <v>3225</v>
      </c>
      <c r="B38" s="26">
        <v>46093</v>
      </c>
      <c r="C38" s="26">
        <v>46098</v>
      </c>
      <c r="D38" s="82">
        <v>3319</v>
      </c>
      <c r="E38" s="82">
        <v>327</v>
      </c>
      <c r="F38" s="25">
        <v>2</v>
      </c>
      <c r="G38" s="28">
        <v>1</v>
      </c>
      <c r="H38" s="28">
        <v>81778</v>
      </c>
      <c r="I38" s="28" t="s">
        <v>17</v>
      </c>
      <c r="J38" s="28">
        <v>55524468</v>
      </c>
      <c r="K38" t="s">
        <v>2837</v>
      </c>
      <c r="L38" t="s">
        <v>2839</v>
      </c>
      <c r="M38" s="37">
        <v>199900</v>
      </c>
      <c r="N38" s="81" t="s">
        <v>2826</v>
      </c>
      <c r="O38" s="37" t="s">
        <v>3223</v>
      </c>
      <c r="P38" s="28" t="s">
        <v>2826</v>
      </c>
    </row>
    <row r="39" spans="1:16" x14ac:dyDescent="0.3">
      <c r="A39" s="25" t="s">
        <v>3225</v>
      </c>
      <c r="B39" s="26">
        <v>46093</v>
      </c>
      <c r="C39" s="26">
        <v>46098</v>
      </c>
      <c r="D39" s="82">
        <v>3319</v>
      </c>
      <c r="E39" s="82">
        <v>327</v>
      </c>
      <c r="F39" s="25">
        <v>2</v>
      </c>
      <c r="G39" s="28">
        <v>1</v>
      </c>
      <c r="H39" s="28">
        <v>81778</v>
      </c>
      <c r="I39" s="28" t="s">
        <v>17</v>
      </c>
      <c r="J39" s="28">
        <v>55524477</v>
      </c>
      <c r="K39" t="s">
        <v>2837</v>
      </c>
      <c r="L39" t="s">
        <v>2840</v>
      </c>
      <c r="M39" s="37">
        <v>199900</v>
      </c>
      <c r="N39" s="81" t="s">
        <v>2826</v>
      </c>
      <c r="O39" s="37" t="s">
        <v>3223</v>
      </c>
      <c r="P39" s="28" t="s">
        <v>2826</v>
      </c>
    </row>
    <row r="40" spans="1:16" x14ac:dyDescent="0.3">
      <c r="A40" s="25" t="s">
        <v>3225</v>
      </c>
      <c r="B40" s="26">
        <v>46093</v>
      </c>
      <c r="C40" s="26">
        <v>46098</v>
      </c>
      <c r="D40" s="82">
        <v>3319</v>
      </c>
      <c r="E40" s="82">
        <v>327</v>
      </c>
      <c r="F40" s="25">
        <v>2</v>
      </c>
      <c r="G40" s="28">
        <v>1</v>
      </c>
      <c r="H40" s="28">
        <v>81778</v>
      </c>
      <c r="I40" s="28" t="s">
        <v>17</v>
      </c>
      <c r="J40" s="28">
        <v>55524486</v>
      </c>
      <c r="K40" t="s">
        <v>2837</v>
      </c>
      <c r="L40" t="s">
        <v>2841</v>
      </c>
      <c r="M40" s="37">
        <v>199900</v>
      </c>
      <c r="N40" s="81" t="s">
        <v>2826</v>
      </c>
      <c r="O40" s="37" t="s">
        <v>3223</v>
      </c>
      <c r="P40" s="28" t="s">
        <v>2826</v>
      </c>
    </row>
    <row r="41" spans="1:16" x14ac:dyDescent="0.3">
      <c r="A41" s="25" t="s">
        <v>3225</v>
      </c>
      <c r="B41" s="26">
        <v>46093</v>
      </c>
      <c r="C41" s="26">
        <v>46098</v>
      </c>
      <c r="D41" s="82">
        <v>3319</v>
      </c>
      <c r="E41" s="82">
        <v>327</v>
      </c>
      <c r="F41" s="25">
        <v>2</v>
      </c>
      <c r="G41" s="28">
        <v>1</v>
      </c>
      <c r="H41" s="28">
        <v>81778</v>
      </c>
      <c r="I41" s="28" t="s">
        <v>17</v>
      </c>
      <c r="J41" s="28">
        <v>55524495</v>
      </c>
      <c r="K41" t="s">
        <v>2837</v>
      </c>
      <c r="L41" t="s">
        <v>2842</v>
      </c>
      <c r="M41" s="37">
        <v>199900</v>
      </c>
      <c r="N41" s="81" t="s">
        <v>2826</v>
      </c>
      <c r="O41" s="37" t="s">
        <v>3223</v>
      </c>
      <c r="P41" s="28" t="s">
        <v>2826</v>
      </c>
    </row>
    <row r="42" spans="1:16" x14ac:dyDescent="0.3">
      <c r="A42" s="25" t="s">
        <v>3225</v>
      </c>
      <c r="B42" s="26">
        <v>46093</v>
      </c>
      <c r="C42" s="26">
        <v>46098</v>
      </c>
      <c r="D42" s="82">
        <v>3319</v>
      </c>
      <c r="E42" s="82">
        <v>327</v>
      </c>
      <c r="F42" s="25">
        <v>2</v>
      </c>
      <c r="G42" s="28">
        <v>1</v>
      </c>
      <c r="H42" s="28">
        <v>81778</v>
      </c>
      <c r="I42" s="28" t="s">
        <v>17</v>
      </c>
      <c r="J42" s="28">
        <v>55524502</v>
      </c>
      <c r="K42" t="s">
        <v>2837</v>
      </c>
      <c r="L42" t="s">
        <v>2843</v>
      </c>
      <c r="M42" s="37">
        <v>199900</v>
      </c>
      <c r="N42" s="81" t="s">
        <v>2826</v>
      </c>
      <c r="O42" s="37" t="s">
        <v>3223</v>
      </c>
      <c r="P42" s="28" t="s">
        <v>2826</v>
      </c>
    </row>
    <row r="43" spans="1:16" x14ac:dyDescent="0.3">
      <c r="A43" s="25" t="s">
        <v>3225</v>
      </c>
      <c r="B43" s="26">
        <v>46093</v>
      </c>
      <c r="C43" s="26">
        <v>46098</v>
      </c>
      <c r="D43" s="82">
        <v>3319</v>
      </c>
      <c r="E43" s="82">
        <v>327</v>
      </c>
      <c r="F43" s="25">
        <v>2</v>
      </c>
      <c r="G43" s="28">
        <v>1</v>
      </c>
      <c r="H43" s="28">
        <v>81778</v>
      </c>
      <c r="I43" s="28" t="s">
        <v>17</v>
      </c>
      <c r="J43" s="28">
        <v>55524511</v>
      </c>
      <c r="K43" t="s">
        <v>2837</v>
      </c>
      <c r="L43" t="s">
        <v>2844</v>
      </c>
      <c r="M43" s="37">
        <v>199900</v>
      </c>
      <c r="N43" s="81" t="s">
        <v>2826</v>
      </c>
      <c r="O43" s="37" t="s">
        <v>3223</v>
      </c>
      <c r="P43" s="28" t="s">
        <v>2826</v>
      </c>
    </row>
    <row r="44" spans="1:16" x14ac:dyDescent="0.3">
      <c r="A44" s="25" t="s">
        <v>3225</v>
      </c>
      <c r="B44" s="26">
        <v>46093</v>
      </c>
      <c r="C44" s="26">
        <v>46098</v>
      </c>
      <c r="D44" s="82">
        <v>3319</v>
      </c>
      <c r="E44" s="82">
        <v>327</v>
      </c>
      <c r="F44" s="25">
        <v>2</v>
      </c>
      <c r="G44" s="28">
        <v>1</v>
      </c>
      <c r="H44" s="28">
        <v>81778</v>
      </c>
      <c r="I44" s="28" t="s">
        <v>17</v>
      </c>
      <c r="J44" s="28">
        <v>55524520</v>
      </c>
      <c r="K44" t="s">
        <v>2837</v>
      </c>
      <c r="L44" t="s">
        <v>2845</v>
      </c>
      <c r="M44" s="37">
        <v>199900</v>
      </c>
      <c r="N44" s="81" t="s">
        <v>2826</v>
      </c>
      <c r="O44" s="37" t="s">
        <v>3223</v>
      </c>
      <c r="P44" s="28" t="s">
        <v>2826</v>
      </c>
    </row>
    <row r="45" spans="1:16" x14ac:dyDescent="0.3">
      <c r="A45" s="25" t="s">
        <v>3225</v>
      </c>
      <c r="B45" s="26">
        <v>46093</v>
      </c>
      <c r="C45" s="26">
        <v>46098</v>
      </c>
      <c r="D45" s="82">
        <v>3319</v>
      </c>
      <c r="E45" s="82">
        <v>327</v>
      </c>
      <c r="F45" s="25">
        <v>2</v>
      </c>
      <c r="G45" s="28">
        <v>1</v>
      </c>
      <c r="H45" s="28">
        <v>81778</v>
      </c>
      <c r="I45" s="28" t="s">
        <v>17</v>
      </c>
      <c r="J45" s="28">
        <v>55524539</v>
      </c>
      <c r="K45" t="s">
        <v>2837</v>
      </c>
      <c r="L45" t="s">
        <v>2846</v>
      </c>
      <c r="M45" s="37">
        <v>199900</v>
      </c>
      <c r="N45" s="81" t="s">
        <v>2826</v>
      </c>
      <c r="O45" s="37" t="s">
        <v>3223</v>
      </c>
      <c r="P45" s="28" t="s">
        <v>2826</v>
      </c>
    </row>
    <row r="46" spans="1:16" x14ac:dyDescent="0.3">
      <c r="A46" s="25" t="s">
        <v>3225</v>
      </c>
      <c r="B46" s="26">
        <v>46093</v>
      </c>
      <c r="C46" s="26">
        <v>46098</v>
      </c>
      <c r="D46" s="82">
        <v>3319</v>
      </c>
      <c r="E46" s="82">
        <v>327</v>
      </c>
      <c r="F46" s="25">
        <v>2</v>
      </c>
      <c r="G46" s="28">
        <v>1</v>
      </c>
      <c r="H46" s="28">
        <v>81778</v>
      </c>
      <c r="I46" s="28" t="s">
        <v>17</v>
      </c>
      <c r="J46" s="28">
        <v>55524548</v>
      </c>
      <c r="K46" t="s">
        <v>2837</v>
      </c>
      <c r="L46" t="s">
        <v>2847</v>
      </c>
      <c r="M46" s="37">
        <v>199900</v>
      </c>
      <c r="N46" s="81" t="s">
        <v>2826</v>
      </c>
      <c r="O46" s="37" t="s">
        <v>3223</v>
      </c>
      <c r="P46" s="28" t="s">
        <v>2826</v>
      </c>
    </row>
    <row r="47" spans="1:16" x14ac:dyDescent="0.3">
      <c r="A47" s="25" t="s">
        <v>3225</v>
      </c>
      <c r="B47" s="26">
        <v>46093</v>
      </c>
      <c r="C47" s="26">
        <v>46098</v>
      </c>
      <c r="D47" s="82">
        <v>3319</v>
      </c>
      <c r="E47" s="82">
        <v>327</v>
      </c>
      <c r="F47" s="25">
        <v>2</v>
      </c>
      <c r="G47" s="28">
        <v>1</v>
      </c>
      <c r="H47" s="28">
        <v>81778</v>
      </c>
      <c r="I47" s="28" t="s">
        <v>17</v>
      </c>
      <c r="J47" s="28">
        <v>55524557</v>
      </c>
      <c r="K47" t="s">
        <v>2848</v>
      </c>
      <c r="L47" t="s">
        <v>2849</v>
      </c>
      <c r="M47" s="37">
        <v>199900</v>
      </c>
      <c r="N47" s="81" t="s">
        <v>2826</v>
      </c>
      <c r="O47" s="37" t="s">
        <v>3223</v>
      </c>
      <c r="P47" s="28" t="s">
        <v>2826</v>
      </c>
    </row>
    <row r="48" spans="1:16" x14ac:dyDescent="0.3">
      <c r="A48" s="25" t="s">
        <v>3225</v>
      </c>
      <c r="B48" s="26">
        <v>46093</v>
      </c>
      <c r="C48" s="26">
        <v>46098</v>
      </c>
      <c r="D48" s="82">
        <v>3319</v>
      </c>
      <c r="E48" s="82">
        <v>327</v>
      </c>
      <c r="F48" s="25">
        <v>2</v>
      </c>
      <c r="G48" s="28">
        <v>1</v>
      </c>
      <c r="H48" s="28">
        <v>81778</v>
      </c>
      <c r="I48" s="28" t="s">
        <v>17</v>
      </c>
      <c r="J48" s="28">
        <v>55524566</v>
      </c>
      <c r="K48" t="s">
        <v>2848</v>
      </c>
      <c r="L48" t="s">
        <v>2850</v>
      </c>
      <c r="M48" s="37">
        <v>199900</v>
      </c>
      <c r="N48" s="81" t="s">
        <v>2826</v>
      </c>
      <c r="O48" s="37" t="s">
        <v>3223</v>
      </c>
      <c r="P48" s="28" t="s">
        <v>2826</v>
      </c>
    </row>
    <row r="49" spans="1:16" x14ac:dyDescent="0.3">
      <c r="A49" s="25" t="s">
        <v>3225</v>
      </c>
      <c r="B49" s="26">
        <v>46093</v>
      </c>
      <c r="C49" s="26">
        <v>46098</v>
      </c>
      <c r="D49" s="82">
        <v>3319</v>
      </c>
      <c r="E49" s="82">
        <v>327</v>
      </c>
      <c r="F49" s="25">
        <v>2</v>
      </c>
      <c r="G49" s="28">
        <v>1</v>
      </c>
      <c r="H49" s="28">
        <v>81778</v>
      </c>
      <c r="I49" s="28" t="s">
        <v>17</v>
      </c>
      <c r="J49" s="28">
        <v>55524575</v>
      </c>
      <c r="K49" t="s">
        <v>2848</v>
      </c>
      <c r="L49" t="s">
        <v>2851</v>
      </c>
      <c r="M49" s="37">
        <v>199900</v>
      </c>
      <c r="N49" s="81" t="s">
        <v>2826</v>
      </c>
      <c r="O49" s="37" t="s">
        <v>3223</v>
      </c>
      <c r="P49" s="28" t="s">
        <v>2826</v>
      </c>
    </row>
    <row r="50" spans="1:16" x14ac:dyDescent="0.3">
      <c r="A50" s="25" t="s">
        <v>3225</v>
      </c>
      <c r="B50" s="26">
        <v>46093</v>
      </c>
      <c r="C50" s="26">
        <v>46098</v>
      </c>
      <c r="D50" s="82">
        <v>3319</v>
      </c>
      <c r="E50" s="82">
        <v>327</v>
      </c>
      <c r="F50" s="25">
        <v>2</v>
      </c>
      <c r="G50" s="28">
        <v>1</v>
      </c>
      <c r="H50" s="28">
        <v>81778</v>
      </c>
      <c r="I50" s="28" t="s">
        <v>17</v>
      </c>
      <c r="J50" s="28">
        <v>55524584</v>
      </c>
      <c r="K50" t="s">
        <v>2848</v>
      </c>
      <c r="L50" t="s">
        <v>2852</v>
      </c>
      <c r="M50" s="37">
        <v>199900</v>
      </c>
      <c r="N50" s="81" t="s">
        <v>2826</v>
      </c>
      <c r="O50" s="37" t="s">
        <v>3223</v>
      </c>
      <c r="P50" s="28" t="s">
        <v>2826</v>
      </c>
    </row>
    <row r="51" spans="1:16" x14ac:dyDescent="0.3">
      <c r="A51" s="25" t="s">
        <v>3225</v>
      </c>
      <c r="B51" s="26">
        <v>46093</v>
      </c>
      <c r="C51" s="26">
        <v>46098</v>
      </c>
      <c r="D51" s="82">
        <v>3319</v>
      </c>
      <c r="E51" s="82">
        <v>327</v>
      </c>
      <c r="F51" s="25">
        <v>2</v>
      </c>
      <c r="G51" s="28">
        <v>1</v>
      </c>
      <c r="H51" s="28">
        <v>81778</v>
      </c>
      <c r="I51" s="28" t="s">
        <v>17</v>
      </c>
      <c r="J51" s="28">
        <v>55524593</v>
      </c>
      <c r="K51" t="s">
        <v>2848</v>
      </c>
      <c r="L51" t="s">
        <v>2853</v>
      </c>
      <c r="M51" s="37">
        <v>199900</v>
      </c>
      <c r="N51" s="81" t="s">
        <v>2826</v>
      </c>
      <c r="O51" s="37" t="s">
        <v>3223</v>
      </c>
      <c r="P51" s="28" t="s">
        <v>2826</v>
      </c>
    </row>
    <row r="52" spans="1:16" x14ac:dyDescent="0.3">
      <c r="A52" s="25" t="s">
        <v>3225</v>
      </c>
      <c r="B52" s="26">
        <v>46093</v>
      </c>
      <c r="C52" s="26">
        <v>46098</v>
      </c>
      <c r="D52" s="82">
        <v>3319</v>
      </c>
      <c r="E52" s="82">
        <v>327</v>
      </c>
      <c r="F52" s="25">
        <v>2</v>
      </c>
      <c r="G52" s="28">
        <v>1</v>
      </c>
      <c r="H52" s="28">
        <v>81778</v>
      </c>
      <c r="I52" s="28" t="s">
        <v>17</v>
      </c>
      <c r="J52" s="28">
        <v>55524600</v>
      </c>
      <c r="K52" t="s">
        <v>2848</v>
      </c>
      <c r="L52" t="s">
        <v>2854</v>
      </c>
      <c r="M52" s="37">
        <v>199900</v>
      </c>
      <c r="N52" s="81" t="s">
        <v>2826</v>
      </c>
      <c r="O52" s="37" t="s">
        <v>3223</v>
      </c>
      <c r="P52" s="28" t="s">
        <v>2826</v>
      </c>
    </row>
    <row r="53" spans="1:16" x14ac:dyDescent="0.3">
      <c r="A53" s="25" t="s">
        <v>3225</v>
      </c>
      <c r="B53" s="26">
        <v>46093</v>
      </c>
      <c r="C53" s="26">
        <v>46098</v>
      </c>
      <c r="D53" s="82">
        <v>3319</v>
      </c>
      <c r="E53" s="82">
        <v>327</v>
      </c>
      <c r="F53" s="25">
        <v>2</v>
      </c>
      <c r="G53" s="28">
        <v>1</v>
      </c>
      <c r="H53" s="28">
        <v>81778</v>
      </c>
      <c r="I53" s="28" t="s">
        <v>17</v>
      </c>
      <c r="J53" s="28">
        <v>55524619</v>
      </c>
      <c r="K53" t="s">
        <v>2848</v>
      </c>
      <c r="L53" t="s">
        <v>2855</v>
      </c>
      <c r="M53" s="37">
        <v>199900</v>
      </c>
      <c r="N53" s="81" t="s">
        <v>2826</v>
      </c>
      <c r="O53" s="37" t="s">
        <v>3223</v>
      </c>
      <c r="P53" s="28" t="s">
        <v>2826</v>
      </c>
    </row>
    <row r="54" spans="1:16" x14ac:dyDescent="0.3">
      <c r="A54" s="25" t="s">
        <v>3225</v>
      </c>
      <c r="B54" s="26">
        <v>46093</v>
      </c>
      <c r="C54" s="26">
        <v>46098</v>
      </c>
      <c r="D54" s="82">
        <v>3319</v>
      </c>
      <c r="E54" s="82">
        <v>327</v>
      </c>
      <c r="F54" s="25">
        <v>2</v>
      </c>
      <c r="G54" s="28">
        <v>1</v>
      </c>
      <c r="H54" s="28">
        <v>81778</v>
      </c>
      <c r="I54" s="28" t="s">
        <v>17</v>
      </c>
      <c r="J54" s="28">
        <v>55524628</v>
      </c>
      <c r="K54" t="s">
        <v>2848</v>
      </c>
      <c r="L54" t="s">
        <v>2856</v>
      </c>
      <c r="M54" s="37">
        <v>199900</v>
      </c>
      <c r="N54" s="81" t="s">
        <v>2826</v>
      </c>
      <c r="O54" s="37" t="s">
        <v>3223</v>
      </c>
      <c r="P54" s="28" t="s">
        <v>2826</v>
      </c>
    </row>
    <row r="55" spans="1:16" x14ac:dyDescent="0.3">
      <c r="A55" s="25" t="s">
        <v>3225</v>
      </c>
      <c r="B55" s="26">
        <v>46093</v>
      </c>
      <c r="C55" s="26">
        <v>46098</v>
      </c>
      <c r="D55" s="82">
        <v>3319</v>
      </c>
      <c r="E55" s="82">
        <v>327</v>
      </c>
      <c r="F55" s="25">
        <v>2</v>
      </c>
      <c r="G55" s="28">
        <v>1</v>
      </c>
      <c r="H55" s="28">
        <v>81778</v>
      </c>
      <c r="I55" s="28" t="s">
        <v>17</v>
      </c>
      <c r="J55" s="28">
        <v>55524637</v>
      </c>
      <c r="K55" t="s">
        <v>2848</v>
      </c>
      <c r="L55" t="s">
        <v>2857</v>
      </c>
      <c r="M55" s="37">
        <v>199900</v>
      </c>
      <c r="N55" s="81" t="s">
        <v>2826</v>
      </c>
      <c r="O55" s="37" t="s">
        <v>3223</v>
      </c>
      <c r="P55" s="28" t="s">
        <v>2826</v>
      </c>
    </row>
    <row r="56" spans="1:16" x14ac:dyDescent="0.3">
      <c r="A56" s="25" t="s">
        <v>3225</v>
      </c>
      <c r="B56" s="26">
        <v>46093</v>
      </c>
      <c r="C56" s="26">
        <v>46098</v>
      </c>
      <c r="D56" s="82">
        <v>3319</v>
      </c>
      <c r="E56" s="82">
        <v>327</v>
      </c>
      <c r="F56" s="25">
        <v>2</v>
      </c>
      <c r="G56" s="28">
        <v>1</v>
      </c>
      <c r="H56" s="28">
        <v>81778</v>
      </c>
      <c r="I56" s="28" t="s">
        <v>17</v>
      </c>
      <c r="J56" s="28">
        <v>55524646</v>
      </c>
      <c r="K56" t="s">
        <v>2848</v>
      </c>
      <c r="L56" t="s">
        <v>2858</v>
      </c>
      <c r="M56" s="37">
        <v>199900</v>
      </c>
      <c r="N56" s="81" t="s">
        <v>2826</v>
      </c>
      <c r="O56" s="37" t="s">
        <v>3223</v>
      </c>
      <c r="P56" s="28" t="s">
        <v>2826</v>
      </c>
    </row>
    <row r="57" spans="1:16" x14ac:dyDescent="0.3">
      <c r="A57" s="25" t="s">
        <v>3225</v>
      </c>
      <c r="B57" s="26">
        <v>46093</v>
      </c>
      <c r="C57" s="26">
        <v>46098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55524655</v>
      </c>
      <c r="K57" t="s">
        <v>2848</v>
      </c>
      <c r="L57" t="s">
        <v>2859</v>
      </c>
      <c r="M57" s="37">
        <v>199900</v>
      </c>
      <c r="N57" s="81" t="s">
        <v>2826</v>
      </c>
      <c r="O57" s="37" t="s">
        <v>3223</v>
      </c>
      <c r="P57" s="28" t="s">
        <v>2826</v>
      </c>
    </row>
    <row r="58" spans="1:16" x14ac:dyDescent="0.3">
      <c r="A58" s="25" t="s">
        <v>3225</v>
      </c>
      <c r="B58" s="26">
        <v>46093</v>
      </c>
      <c r="C58" s="26">
        <v>46098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55524664</v>
      </c>
      <c r="K58" t="s">
        <v>2848</v>
      </c>
      <c r="L58" t="s">
        <v>2860</v>
      </c>
      <c r="M58" s="37">
        <v>199900</v>
      </c>
      <c r="N58" s="81" t="s">
        <v>2826</v>
      </c>
      <c r="O58" s="37" t="s">
        <v>3223</v>
      </c>
      <c r="P58" s="28" t="s">
        <v>2826</v>
      </c>
    </row>
    <row r="59" spans="1:16" x14ac:dyDescent="0.3">
      <c r="A59" s="25" t="s">
        <v>3225</v>
      </c>
      <c r="B59" s="26">
        <v>46093</v>
      </c>
      <c r="C59" s="26">
        <v>46098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55524673</v>
      </c>
      <c r="K59" t="s">
        <v>2848</v>
      </c>
      <c r="L59" t="s">
        <v>2861</v>
      </c>
      <c r="M59" s="37">
        <v>199900</v>
      </c>
      <c r="N59" s="81" t="s">
        <v>2826</v>
      </c>
      <c r="O59" s="37" t="s">
        <v>3223</v>
      </c>
      <c r="P59" s="28" t="s">
        <v>2826</v>
      </c>
    </row>
    <row r="60" spans="1:16" x14ac:dyDescent="0.3">
      <c r="A60" s="25" t="s">
        <v>3225</v>
      </c>
      <c r="B60" s="26">
        <v>46093</v>
      </c>
      <c r="C60" s="26">
        <v>46098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55524682</v>
      </c>
      <c r="K60" t="s">
        <v>2848</v>
      </c>
      <c r="L60" t="s">
        <v>2862</v>
      </c>
      <c r="M60" s="37">
        <v>199900</v>
      </c>
      <c r="N60" s="81" t="s">
        <v>2826</v>
      </c>
      <c r="O60" s="37" t="s">
        <v>3223</v>
      </c>
      <c r="P60" s="28" t="s">
        <v>2826</v>
      </c>
    </row>
    <row r="61" spans="1:16" x14ac:dyDescent="0.3">
      <c r="A61" s="25" t="s">
        <v>3225</v>
      </c>
      <c r="B61" s="26">
        <v>46093</v>
      </c>
      <c r="C61" s="26">
        <v>46098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55524691</v>
      </c>
      <c r="K61" t="s">
        <v>2848</v>
      </c>
      <c r="L61" t="s">
        <v>2863</v>
      </c>
      <c r="M61" s="37">
        <v>199900</v>
      </c>
      <c r="N61" s="81" t="s">
        <v>2826</v>
      </c>
      <c r="O61" s="37" t="s">
        <v>3223</v>
      </c>
      <c r="P61" s="28" t="s">
        <v>2826</v>
      </c>
    </row>
    <row r="62" spans="1:16" x14ac:dyDescent="0.3">
      <c r="A62" s="25" t="s">
        <v>3225</v>
      </c>
      <c r="B62" s="26">
        <v>46093</v>
      </c>
      <c r="C62" s="26">
        <v>46098</v>
      </c>
      <c r="D62" s="82">
        <v>3319</v>
      </c>
      <c r="E62" s="82">
        <v>327</v>
      </c>
      <c r="F62" s="25">
        <v>2</v>
      </c>
      <c r="G62" s="28">
        <v>2</v>
      </c>
      <c r="H62" s="28">
        <v>81778</v>
      </c>
      <c r="I62" s="28" t="s">
        <v>17</v>
      </c>
      <c r="J62" s="28">
        <v>55524253</v>
      </c>
      <c r="K62" t="s">
        <v>2864</v>
      </c>
      <c r="L62" t="s">
        <v>2865</v>
      </c>
      <c r="M62" s="37">
        <v>249900</v>
      </c>
      <c r="N62" s="81" t="s">
        <v>2826</v>
      </c>
      <c r="O62" s="37" t="s">
        <v>3223</v>
      </c>
      <c r="P62" s="28" t="s">
        <v>2826</v>
      </c>
    </row>
    <row r="63" spans="1:16" x14ac:dyDescent="0.3">
      <c r="A63" s="25" t="s">
        <v>3225</v>
      </c>
      <c r="B63" s="26">
        <v>46093</v>
      </c>
      <c r="C63" s="26">
        <v>46098</v>
      </c>
      <c r="D63" s="82">
        <v>3319</v>
      </c>
      <c r="E63" s="82">
        <v>327</v>
      </c>
      <c r="F63" s="25">
        <v>2</v>
      </c>
      <c r="G63" s="28">
        <v>2</v>
      </c>
      <c r="H63" s="28">
        <v>81778</v>
      </c>
      <c r="I63" s="28" t="s">
        <v>17</v>
      </c>
      <c r="J63" s="28">
        <v>55524262</v>
      </c>
      <c r="K63" t="s">
        <v>2864</v>
      </c>
      <c r="L63" t="s">
        <v>2866</v>
      </c>
      <c r="M63" s="37">
        <v>249900</v>
      </c>
      <c r="N63" s="81" t="s">
        <v>2826</v>
      </c>
      <c r="O63" s="37" t="s">
        <v>3223</v>
      </c>
      <c r="P63" s="28" t="s">
        <v>2826</v>
      </c>
    </row>
    <row r="64" spans="1:16" x14ac:dyDescent="0.3">
      <c r="A64" s="25" t="s">
        <v>3225</v>
      </c>
      <c r="B64" s="26">
        <v>46093</v>
      </c>
      <c r="C64" s="26">
        <v>46098</v>
      </c>
      <c r="D64" s="82">
        <v>3319</v>
      </c>
      <c r="E64" s="82">
        <v>327</v>
      </c>
      <c r="F64" s="25">
        <v>2</v>
      </c>
      <c r="G64" s="28">
        <v>2</v>
      </c>
      <c r="H64" s="28">
        <v>81778</v>
      </c>
      <c r="I64" s="28" t="s">
        <v>17</v>
      </c>
      <c r="J64" s="28">
        <v>55524271</v>
      </c>
      <c r="K64" t="s">
        <v>2864</v>
      </c>
      <c r="L64" t="s">
        <v>2867</v>
      </c>
      <c r="M64" s="37">
        <v>249900</v>
      </c>
      <c r="N64" s="81" t="s">
        <v>2826</v>
      </c>
      <c r="O64" s="37" t="s">
        <v>3223</v>
      </c>
      <c r="P64" s="28" t="s">
        <v>2826</v>
      </c>
    </row>
    <row r="65" spans="1:16" x14ac:dyDescent="0.3">
      <c r="A65" s="25" t="s">
        <v>3225</v>
      </c>
      <c r="B65" s="26">
        <v>46093</v>
      </c>
      <c r="C65" s="26">
        <v>46098</v>
      </c>
      <c r="D65" s="82">
        <v>3319</v>
      </c>
      <c r="E65" s="82">
        <v>327</v>
      </c>
      <c r="F65" s="25">
        <v>2</v>
      </c>
      <c r="G65" s="28">
        <v>2</v>
      </c>
      <c r="H65" s="28">
        <v>81778</v>
      </c>
      <c r="I65" s="28" t="s">
        <v>17</v>
      </c>
      <c r="J65" s="28">
        <v>55524280</v>
      </c>
      <c r="K65" t="s">
        <v>2864</v>
      </c>
      <c r="L65" t="s">
        <v>2868</v>
      </c>
      <c r="M65" s="37">
        <v>249900</v>
      </c>
      <c r="N65" s="81" t="s">
        <v>2826</v>
      </c>
      <c r="O65" s="37" t="s">
        <v>3223</v>
      </c>
      <c r="P65" s="28" t="s">
        <v>2826</v>
      </c>
    </row>
    <row r="66" spans="1:16" x14ac:dyDescent="0.3">
      <c r="A66" s="25" t="s">
        <v>3225</v>
      </c>
      <c r="B66" s="26">
        <v>46093</v>
      </c>
      <c r="C66" s="26">
        <v>46098</v>
      </c>
      <c r="D66" s="82">
        <v>3319</v>
      </c>
      <c r="E66" s="82">
        <v>327</v>
      </c>
      <c r="F66" s="25">
        <v>2</v>
      </c>
      <c r="G66" s="28">
        <v>2</v>
      </c>
      <c r="H66" s="28">
        <v>81778</v>
      </c>
      <c r="I66" s="28" t="s">
        <v>17</v>
      </c>
      <c r="J66" s="28">
        <v>55524299</v>
      </c>
      <c r="K66" t="s">
        <v>2864</v>
      </c>
      <c r="L66" t="s">
        <v>2869</v>
      </c>
      <c r="M66" s="37">
        <v>249900</v>
      </c>
      <c r="N66" s="81" t="s">
        <v>2826</v>
      </c>
      <c r="O66" s="37" t="s">
        <v>3223</v>
      </c>
      <c r="P66" s="28" t="s">
        <v>2826</v>
      </c>
    </row>
    <row r="67" spans="1:16" x14ac:dyDescent="0.3">
      <c r="A67" s="25" t="s">
        <v>3225</v>
      </c>
      <c r="B67" s="26">
        <v>46093</v>
      </c>
      <c r="C67" s="26">
        <v>46098</v>
      </c>
      <c r="D67" s="82">
        <v>3319</v>
      </c>
      <c r="E67" s="82">
        <v>327</v>
      </c>
      <c r="F67" s="25">
        <v>2</v>
      </c>
      <c r="G67" s="28">
        <v>2</v>
      </c>
      <c r="H67" s="28">
        <v>81778</v>
      </c>
      <c r="I67" s="28" t="s">
        <v>17</v>
      </c>
      <c r="J67" s="28">
        <v>55524404</v>
      </c>
      <c r="K67" t="s">
        <v>2870</v>
      </c>
      <c r="L67" t="s">
        <v>2871</v>
      </c>
      <c r="M67" s="37">
        <v>249900</v>
      </c>
      <c r="N67" s="81" t="s">
        <v>2826</v>
      </c>
      <c r="O67" s="37" t="s">
        <v>3223</v>
      </c>
      <c r="P67" s="28" t="s">
        <v>2826</v>
      </c>
    </row>
    <row r="68" spans="1:16" x14ac:dyDescent="0.3">
      <c r="A68" s="25" t="s">
        <v>3225</v>
      </c>
      <c r="B68" s="26">
        <v>46093</v>
      </c>
      <c r="C68" s="26">
        <v>46098</v>
      </c>
      <c r="D68" s="82">
        <v>3319</v>
      </c>
      <c r="E68" s="82">
        <v>327</v>
      </c>
      <c r="F68" s="25">
        <v>2</v>
      </c>
      <c r="G68" s="28">
        <v>2</v>
      </c>
      <c r="H68" s="28">
        <v>81778</v>
      </c>
      <c r="I68" s="28" t="s">
        <v>17</v>
      </c>
      <c r="J68" s="28">
        <v>55524413</v>
      </c>
      <c r="K68" t="s">
        <v>2870</v>
      </c>
      <c r="L68" t="s">
        <v>2872</v>
      </c>
      <c r="M68" s="37">
        <v>249900</v>
      </c>
      <c r="N68" s="81" t="s">
        <v>2826</v>
      </c>
      <c r="O68" s="37" t="s">
        <v>3223</v>
      </c>
      <c r="P68" s="28" t="s">
        <v>2826</v>
      </c>
    </row>
    <row r="69" spans="1:16" x14ac:dyDescent="0.3">
      <c r="A69" s="25" t="s">
        <v>3225</v>
      </c>
      <c r="B69" s="26">
        <v>46093</v>
      </c>
      <c r="C69" s="26">
        <v>46098</v>
      </c>
      <c r="D69" s="82">
        <v>3319</v>
      </c>
      <c r="E69" s="82">
        <v>327</v>
      </c>
      <c r="F69" s="25">
        <v>2</v>
      </c>
      <c r="G69" s="28">
        <v>2</v>
      </c>
      <c r="H69" s="28">
        <v>81778</v>
      </c>
      <c r="I69" s="28" t="s">
        <v>17</v>
      </c>
      <c r="J69" s="28">
        <v>55524422</v>
      </c>
      <c r="K69" t="s">
        <v>2870</v>
      </c>
      <c r="L69" t="s">
        <v>2873</v>
      </c>
      <c r="M69" s="37">
        <v>249900</v>
      </c>
      <c r="N69" s="81" t="s">
        <v>2826</v>
      </c>
      <c r="O69" s="37" t="s">
        <v>3223</v>
      </c>
      <c r="P69" s="28" t="s">
        <v>2826</v>
      </c>
    </row>
    <row r="70" spans="1:16" x14ac:dyDescent="0.3">
      <c r="A70" s="25" t="s">
        <v>3225</v>
      </c>
      <c r="B70" s="26">
        <v>46093</v>
      </c>
      <c r="C70" s="26">
        <v>46098</v>
      </c>
      <c r="D70" s="82">
        <v>3319</v>
      </c>
      <c r="E70" s="82">
        <v>327</v>
      </c>
      <c r="F70" s="25">
        <v>2</v>
      </c>
      <c r="G70" s="28">
        <v>2</v>
      </c>
      <c r="H70" s="28">
        <v>81778</v>
      </c>
      <c r="I70" s="28" t="s">
        <v>17</v>
      </c>
      <c r="J70" s="28">
        <v>55524431</v>
      </c>
      <c r="K70" t="s">
        <v>2870</v>
      </c>
      <c r="L70" t="s">
        <v>2874</v>
      </c>
      <c r="M70" s="37">
        <v>249900</v>
      </c>
      <c r="N70" s="81" t="s">
        <v>2826</v>
      </c>
      <c r="O70" s="37" t="s">
        <v>3223</v>
      </c>
      <c r="P70" s="28" t="s">
        <v>2826</v>
      </c>
    </row>
    <row r="71" spans="1:16" x14ac:dyDescent="0.3">
      <c r="A71" s="25" t="s">
        <v>3225</v>
      </c>
      <c r="B71" s="26">
        <v>46093</v>
      </c>
      <c r="C71" s="26">
        <v>46098</v>
      </c>
      <c r="D71" s="82">
        <v>3319</v>
      </c>
      <c r="E71" s="82">
        <v>327</v>
      </c>
      <c r="F71" s="25">
        <v>2</v>
      </c>
      <c r="G71" s="28">
        <v>2</v>
      </c>
      <c r="H71" s="28">
        <v>81778</v>
      </c>
      <c r="I71" s="28" t="s">
        <v>17</v>
      </c>
      <c r="J71" s="28">
        <v>55524440</v>
      </c>
      <c r="K71" t="s">
        <v>2870</v>
      </c>
      <c r="L71" t="s">
        <v>2875</v>
      </c>
      <c r="M71" s="37">
        <v>249900</v>
      </c>
      <c r="N71" s="81" t="s">
        <v>2826</v>
      </c>
      <c r="O71" s="37" t="s">
        <v>3223</v>
      </c>
      <c r="P71" s="28" t="s">
        <v>2826</v>
      </c>
    </row>
    <row r="72" spans="1:16" x14ac:dyDescent="0.3">
      <c r="A72" s="25" t="s">
        <v>3225</v>
      </c>
      <c r="B72" s="26">
        <v>46093</v>
      </c>
      <c r="C72" s="26">
        <v>46098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55523709</v>
      </c>
      <c r="K72" t="s">
        <v>2876</v>
      </c>
      <c r="L72" t="s">
        <v>2877</v>
      </c>
      <c r="M72" s="37">
        <v>249900</v>
      </c>
      <c r="N72" s="81" t="s">
        <v>2826</v>
      </c>
      <c r="O72" s="37" t="s">
        <v>3223</v>
      </c>
      <c r="P72" s="28" t="s">
        <v>2826</v>
      </c>
    </row>
    <row r="73" spans="1:16" x14ac:dyDescent="0.3">
      <c r="A73" s="25" t="s">
        <v>3225</v>
      </c>
      <c r="B73" s="26">
        <v>46093</v>
      </c>
      <c r="C73" s="26">
        <v>46098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55523718</v>
      </c>
      <c r="K73" t="s">
        <v>2876</v>
      </c>
      <c r="L73" t="s">
        <v>2878</v>
      </c>
      <c r="M73" s="37">
        <v>249900</v>
      </c>
      <c r="N73" s="81" t="s">
        <v>2826</v>
      </c>
      <c r="O73" s="37" t="s">
        <v>3223</v>
      </c>
      <c r="P73" s="28" t="s">
        <v>2826</v>
      </c>
    </row>
    <row r="74" spans="1:16" x14ac:dyDescent="0.3">
      <c r="A74" s="25" t="s">
        <v>3225</v>
      </c>
      <c r="B74" s="26">
        <v>46093</v>
      </c>
      <c r="C74" s="26">
        <v>46098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55523727</v>
      </c>
      <c r="K74" t="s">
        <v>2876</v>
      </c>
      <c r="L74" t="s">
        <v>2879</v>
      </c>
      <c r="M74" s="37">
        <v>249900</v>
      </c>
      <c r="N74" s="81" t="s">
        <v>2826</v>
      </c>
      <c r="O74" s="37" t="s">
        <v>3223</v>
      </c>
      <c r="P74" s="28" t="s">
        <v>2826</v>
      </c>
    </row>
    <row r="75" spans="1:16" x14ac:dyDescent="0.3">
      <c r="A75" s="25" t="s">
        <v>3225</v>
      </c>
      <c r="B75" s="26">
        <v>46093</v>
      </c>
      <c r="C75" s="26">
        <v>46098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55523736</v>
      </c>
      <c r="K75" t="s">
        <v>2876</v>
      </c>
      <c r="L75" t="s">
        <v>2880</v>
      </c>
      <c r="M75" s="37">
        <v>249900</v>
      </c>
      <c r="N75" s="81" t="s">
        <v>2826</v>
      </c>
      <c r="O75" s="37" t="s">
        <v>3223</v>
      </c>
      <c r="P75" s="28" t="s">
        <v>2826</v>
      </c>
    </row>
    <row r="76" spans="1:16" x14ac:dyDescent="0.3">
      <c r="A76" s="25" t="s">
        <v>3225</v>
      </c>
      <c r="B76" s="26">
        <v>46093</v>
      </c>
      <c r="C76" s="26">
        <v>46098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55523745</v>
      </c>
      <c r="K76" t="s">
        <v>2876</v>
      </c>
      <c r="L76" t="s">
        <v>2881</v>
      </c>
      <c r="M76" s="37">
        <v>249900</v>
      </c>
      <c r="N76" s="81" t="s">
        <v>2826</v>
      </c>
      <c r="O76" s="37" t="s">
        <v>3223</v>
      </c>
      <c r="P76" s="28" t="s">
        <v>2826</v>
      </c>
    </row>
    <row r="77" spans="1:16" x14ac:dyDescent="0.3">
      <c r="A77" s="25" t="s">
        <v>3225</v>
      </c>
      <c r="B77" s="26">
        <v>46093</v>
      </c>
      <c r="C77" s="26">
        <v>46098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55523754</v>
      </c>
      <c r="K77" t="s">
        <v>2876</v>
      </c>
      <c r="L77" t="s">
        <v>2882</v>
      </c>
      <c r="M77" s="37">
        <v>249900</v>
      </c>
      <c r="N77" s="81" t="s">
        <v>2826</v>
      </c>
      <c r="O77" s="37" t="s">
        <v>3223</v>
      </c>
      <c r="P77" s="28" t="s">
        <v>2826</v>
      </c>
    </row>
    <row r="78" spans="1:16" x14ac:dyDescent="0.3">
      <c r="A78" s="25" t="s">
        <v>3225</v>
      </c>
      <c r="B78" s="26">
        <v>46093</v>
      </c>
      <c r="C78" s="26">
        <v>46098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55523763</v>
      </c>
      <c r="K78" t="s">
        <v>2876</v>
      </c>
      <c r="L78" t="s">
        <v>2883</v>
      </c>
      <c r="M78" s="37">
        <v>249900</v>
      </c>
      <c r="N78" s="81" t="s">
        <v>2826</v>
      </c>
      <c r="O78" s="37" t="s">
        <v>3223</v>
      </c>
      <c r="P78" s="28" t="s">
        <v>2826</v>
      </c>
    </row>
    <row r="79" spans="1:16" x14ac:dyDescent="0.3">
      <c r="A79" s="25" t="s">
        <v>3225</v>
      </c>
      <c r="B79" s="26">
        <v>46093</v>
      </c>
      <c r="C79" s="26">
        <v>46098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55523772</v>
      </c>
      <c r="K79" t="s">
        <v>2876</v>
      </c>
      <c r="L79" t="s">
        <v>2884</v>
      </c>
      <c r="M79" s="37">
        <v>249900</v>
      </c>
      <c r="N79" s="81" t="s">
        <v>2826</v>
      </c>
      <c r="O79" s="37" t="s">
        <v>3223</v>
      </c>
      <c r="P79" s="28" t="s">
        <v>2826</v>
      </c>
    </row>
    <row r="80" spans="1:16" x14ac:dyDescent="0.3">
      <c r="A80" s="25" t="s">
        <v>3225</v>
      </c>
      <c r="B80" s="26">
        <v>46093</v>
      </c>
      <c r="C80" s="26">
        <v>46098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55523781</v>
      </c>
      <c r="K80" t="s">
        <v>2876</v>
      </c>
      <c r="L80" t="s">
        <v>2885</v>
      </c>
      <c r="M80" s="37">
        <v>249900</v>
      </c>
      <c r="N80" s="81" t="s">
        <v>2826</v>
      </c>
      <c r="O80" s="37" t="s">
        <v>3223</v>
      </c>
      <c r="P80" s="28" t="s">
        <v>2826</v>
      </c>
    </row>
    <row r="81" spans="1:16" x14ac:dyDescent="0.3">
      <c r="A81" s="25" t="s">
        <v>3225</v>
      </c>
      <c r="B81" s="26">
        <v>46093</v>
      </c>
      <c r="C81" s="26">
        <v>46098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55523790</v>
      </c>
      <c r="K81" t="s">
        <v>2876</v>
      </c>
      <c r="L81" t="s">
        <v>2886</v>
      </c>
      <c r="M81" s="37">
        <v>249900</v>
      </c>
      <c r="N81" s="81" t="s">
        <v>2826</v>
      </c>
      <c r="O81" s="37" t="s">
        <v>3223</v>
      </c>
      <c r="P81" s="28" t="s">
        <v>2826</v>
      </c>
    </row>
    <row r="82" spans="1:16" x14ac:dyDescent="0.3">
      <c r="A82" s="25" t="s">
        <v>3225</v>
      </c>
      <c r="B82" s="26">
        <v>46093</v>
      </c>
      <c r="C82" s="26">
        <v>46098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55523807</v>
      </c>
      <c r="K82" t="s">
        <v>2887</v>
      </c>
      <c r="L82" t="s">
        <v>2888</v>
      </c>
      <c r="M82" s="37">
        <v>229900</v>
      </c>
      <c r="N82" s="81" t="s">
        <v>2826</v>
      </c>
      <c r="O82" s="37" t="s">
        <v>3223</v>
      </c>
      <c r="P82" s="28" t="s">
        <v>2826</v>
      </c>
    </row>
    <row r="83" spans="1:16" x14ac:dyDescent="0.3">
      <c r="A83" s="25" t="s">
        <v>3225</v>
      </c>
      <c r="B83" s="26">
        <v>46093</v>
      </c>
      <c r="C83" s="26">
        <v>46098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55523816</v>
      </c>
      <c r="K83" t="s">
        <v>2887</v>
      </c>
      <c r="L83" t="s">
        <v>2889</v>
      </c>
      <c r="M83" s="37">
        <v>229900</v>
      </c>
      <c r="N83" s="81" t="s">
        <v>2826</v>
      </c>
      <c r="O83" s="37" t="s">
        <v>3223</v>
      </c>
      <c r="P83" s="28" t="s">
        <v>2826</v>
      </c>
    </row>
    <row r="84" spans="1:16" x14ac:dyDescent="0.3">
      <c r="A84" s="25" t="s">
        <v>3225</v>
      </c>
      <c r="B84" s="26">
        <v>46093</v>
      </c>
      <c r="C84" s="26">
        <v>46098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55523825</v>
      </c>
      <c r="K84" t="s">
        <v>2887</v>
      </c>
      <c r="L84" t="s">
        <v>2890</v>
      </c>
      <c r="M84" s="37">
        <v>229900</v>
      </c>
      <c r="N84" s="81" t="s">
        <v>2826</v>
      </c>
      <c r="O84" s="37" t="s">
        <v>3223</v>
      </c>
      <c r="P84" s="28" t="s">
        <v>2826</v>
      </c>
    </row>
    <row r="85" spans="1:16" x14ac:dyDescent="0.3">
      <c r="A85" s="25" t="s">
        <v>3225</v>
      </c>
      <c r="B85" s="26">
        <v>46093</v>
      </c>
      <c r="C85" s="26">
        <v>46098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55523834</v>
      </c>
      <c r="K85" t="s">
        <v>2887</v>
      </c>
      <c r="L85" t="s">
        <v>2891</v>
      </c>
      <c r="M85" s="37">
        <v>229900</v>
      </c>
      <c r="N85" s="81" t="s">
        <v>2826</v>
      </c>
      <c r="O85" s="37" t="s">
        <v>3223</v>
      </c>
      <c r="P85" s="28" t="s">
        <v>2826</v>
      </c>
    </row>
    <row r="86" spans="1:16" x14ac:dyDescent="0.3">
      <c r="A86" s="25" t="s">
        <v>3225</v>
      </c>
      <c r="B86" s="26">
        <v>46093</v>
      </c>
      <c r="C86" s="26">
        <v>46098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55523843</v>
      </c>
      <c r="K86" t="s">
        <v>2887</v>
      </c>
      <c r="L86" t="s">
        <v>2892</v>
      </c>
      <c r="M86" s="37">
        <v>229900</v>
      </c>
      <c r="N86" s="81" t="s">
        <v>2826</v>
      </c>
      <c r="O86" s="37" t="s">
        <v>3223</v>
      </c>
      <c r="P86" s="28" t="s">
        <v>2826</v>
      </c>
    </row>
    <row r="87" spans="1:16" x14ac:dyDescent="0.3">
      <c r="A87" s="25" t="s">
        <v>3225</v>
      </c>
      <c r="B87" s="26">
        <v>46093</v>
      </c>
      <c r="C87" s="26">
        <v>46098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55523852</v>
      </c>
      <c r="K87" t="s">
        <v>2893</v>
      </c>
      <c r="L87" t="s">
        <v>2894</v>
      </c>
      <c r="M87" s="37">
        <v>229900</v>
      </c>
      <c r="N87" s="81" t="s">
        <v>2826</v>
      </c>
      <c r="O87" s="37" t="s">
        <v>3223</v>
      </c>
      <c r="P87" s="28" t="s">
        <v>2826</v>
      </c>
    </row>
    <row r="88" spans="1:16" x14ac:dyDescent="0.3">
      <c r="A88" s="25" t="s">
        <v>3225</v>
      </c>
      <c r="B88" s="26">
        <v>46093</v>
      </c>
      <c r="C88" s="26">
        <v>46098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55523861</v>
      </c>
      <c r="K88" t="s">
        <v>2893</v>
      </c>
      <c r="L88" t="s">
        <v>2895</v>
      </c>
      <c r="M88" s="37">
        <v>229900</v>
      </c>
      <c r="N88" s="81" t="s">
        <v>2826</v>
      </c>
      <c r="O88" s="37" t="s">
        <v>3223</v>
      </c>
      <c r="P88" s="28" t="s">
        <v>2826</v>
      </c>
    </row>
    <row r="89" spans="1:16" x14ac:dyDescent="0.3">
      <c r="A89" s="25" t="s">
        <v>3225</v>
      </c>
      <c r="B89" s="26">
        <v>46093</v>
      </c>
      <c r="C89" s="26">
        <v>46098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55523870</v>
      </c>
      <c r="K89" t="s">
        <v>2893</v>
      </c>
      <c r="L89" t="s">
        <v>2896</v>
      </c>
      <c r="M89" s="37">
        <v>229900</v>
      </c>
      <c r="N89" s="81" t="s">
        <v>2826</v>
      </c>
      <c r="O89" s="37" t="s">
        <v>3223</v>
      </c>
      <c r="P89" s="28" t="s">
        <v>2826</v>
      </c>
    </row>
    <row r="90" spans="1:16" x14ac:dyDescent="0.3">
      <c r="A90" s="25" t="s">
        <v>3225</v>
      </c>
      <c r="B90" s="26">
        <v>46093</v>
      </c>
      <c r="C90" s="26">
        <v>46098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55523889</v>
      </c>
      <c r="K90" t="s">
        <v>2893</v>
      </c>
      <c r="L90" t="s">
        <v>2897</v>
      </c>
      <c r="M90" s="37">
        <v>229900</v>
      </c>
      <c r="N90" s="81" t="s">
        <v>2826</v>
      </c>
      <c r="O90" s="37" t="s">
        <v>3223</v>
      </c>
      <c r="P90" s="28" t="s">
        <v>2826</v>
      </c>
    </row>
    <row r="91" spans="1:16" x14ac:dyDescent="0.3">
      <c r="A91" s="25" t="s">
        <v>3225</v>
      </c>
      <c r="B91" s="26">
        <v>46093</v>
      </c>
      <c r="C91" s="26">
        <v>46098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55523898</v>
      </c>
      <c r="K91" t="s">
        <v>2893</v>
      </c>
      <c r="L91" t="s">
        <v>2898</v>
      </c>
      <c r="M91" s="37">
        <v>229900</v>
      </c>
      <c r="N91" s="81" t="s">
        <v>2826</v>
      </c>
      <c r="O91" s="37" t="s">
        <v>3223</v>
      </c>
      <c r="P91" s="28" t="s">
        <v>2826</v>
      </c>
    </row>
    <row r="92" spans="1:16" x14ac:dyDescent="0.3">
      <c r="A92" s="25" t="s">
        <v>3225</v>
      </c>
      <c r="B92" s="26">
        <v>46093</v>
      </c>
      <c r="C92" s="26">
        <v>46098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55692670</v>
      </c>
      <c r="K92" t="s">
        <v>2893</v>
      </c>
      <c r="L92" t="s">
        <v>2899</v>
      </c>
      <c r="M92" s="37">
        <v>229900</v>
      </c>
      <c r="N92" s="81" t="s">
        <v>2826</v>
      </c>
      <c r="O92" s="37" t="s">
        <v>3223</v>
      </c>
      <c r="P92" s="28" t="s">
        <v>2826</v>
      </c>
    </row>
    <row r="93" spans="1:16" x14ac:dyDescent="0.3">
      <c r="A93" s="25" t="s">
        <v>3225</v>
      </c>
      <c r="B93" s="26">
        <v>46093</v>
      </c>
      <c r="C93" s="26">
        <v>46098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55692689</v>
      </c>
      <c r="K93" t="s">
        <v>2893</v>
      </c>
      <c r="L93" t="s">
        <v>2900</v>
      </c>
      <c r="M93" s="37">
        <v>229900</v>
      </c>
      <c r="N93" s="81" t="s">
        <v>2826</v>
      </c>
      <c r="O93" s="37" t="s">
        <v>3223</v>
      </c>
      <c r="P93" s="28" t="s">
        <v>2826</v>
      </c>
    </row>
    <row r="94" spans="1:16" x14ac:dyDescent="0.3">
      <c r="A94" s="25" t="s">
        <v>3225</v>
      </c>
      <c r="B94" s="26">
        <v>46093</v>
      </c>
      <c r="C94" s="26">
        <v>46098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55692698</v>
      </c>
      <c r="K94" t="s">
        <v>2893</v>
      </c>
      <c r="L94" t="s">
        <v>2901</v>
      </c>
      <c r="M94" s="37">
        <v>229900</v>
      </c>
      <c r="N94" s="81" t="s">
        <v>2826</v>
      </c>
      <c r="O94" s="37" t="s">
        <v>3223</v>
      </c>
      <c r="P94" s="28" t="s">
        <v>2826</v>
      </c>
    </row>
    <row r="95" spans="1:16" x14ac:dyDescent="0.3">
      <c r="A95" s="25" t="s">
        <v>3225</v>
      </c>
      <c r="B95" s="26">
        <v>46093</v>
      </c>
      <c r="C95" s="26">
        <v>46098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55692705</v>
      </c>
      <c r="K95" t="s">
        <v>2893</v>
      </c>
      <c r="L95" t="s">
        <v>2902</v>
      </c>
      <c r="M95" s="37">
        <v>229900</v>
      </c>
      <c r="N95" s="81" t="s">
        <v>2826</v>
      </c>
      <c r="O95" s="37" t="s">
        <v>3223</v>
      </c>
      <c r="P95" s="28" t="s">
        <v>2826</v>
      </c>
    </row>
    <row r="96" spans="1:16" x14ac:dyDescent="0.3">
      <c r="A96" s="25" t="s">
        <v>3225</v>
      </c>
      <c r="B96" s="26">
        <v>46093</v>
      </c>
      <c r="C96" s="26">
        <v>46098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55692714</v>
      </c>
      <c r="K96" t="s">
        <v>2893</v>
      </c>
      <c r="L96" t="s">
        <v>2903</v>
      </c>
      <c r="M96" s="37">
        <v>229900</v>
      </c>
      <c r="N96" s="81" t="s">
        <v>2826</v>
      </c>
      <c r="O96" s="37" t="s">
        <v>3223</v>
      </c>
      <c r="P96" s="28" t="s">
        <v>2826</v>
      </c>
    </row>
    <row r="97" spans="1:16" x14ac:dyDescent="0.3">
      <c r="A97" s="25" t="s">
        <v>3225</v>
      </c>
      <c r="B97" s="26">
        <v>46093</v>
      </c>
      <c r="C97" s="26">
        <v>46098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55523905</v>
      </c>
      <c r="K97" t="s">
        <v>2904</v>
      </c>
      <c r="L97" t="s">
        <v>2905</v>
      </c>
      <c r="M97" s="37">
        <v>229900</v>
      </c>
      <c r="N97" s="81" t="s">
        <v>2826</v>
      </c>
      <c r="O97" s="37" t="s">
        <v>3223</v>
      </c>
      <c r="P97" s="28" t="s">
        <v>2826</v>
      </c>
    </row>
    <row r="98" spans="1:16" x14ac:dyDescent="0.3">
      <c r="A98" s="25" t="s">
        <v>3225</v>
      </c>
      <c r="B98" s="26">
        <v>46093</v>
      </c>
      <c r="C98" s="26">
        <v>46098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55523914</v>
      </c>
      <c r="K98" t="s">
        <v>2904</v>
      </c>
      <c r="L98" t="s">
        <v>2906</v>
      </c>
      <c r="M98" s="37">
        <v>229900</v>
      </c>
      <c r="N98" s="81" t="s">
        <v>2826</v>
      </c>
      <c r="O98" s="37" t="s">
        <v>3223</v>
      </c>
      <c r="P98" s="28" t="s">
        <v>2826</v>
      </c>
    </row>
    <row r="99" spans="1:16" x14ac:dyDescent="0.3">
      <c r="A99" s="25" t="s">
        <v>3225</v>
      </c>
      <c r="B99" s="26">
        <v>46093</v>
      </c>
      <c r="C99" s="26">
        <v>46098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55523923</v>
      </c>
      <c r="K99" t="s">
        <v>2904</v>
      </c>
      <c r="L99" t="s">
        <v>2907</v>
      </c>
      <c r="M99" s="37">
        <v>229900</v>
      </c>
      <c r="N99" s="81" t="s">
        <v>2826</v>
      </c>
      <c r="O99" s="37" t="s">
        <v>3223</v>
      </c>
      <c r="P99" s="28" t="s">
        <v>2826</v>
      </c>
    </row>
    <row r="100" spans="1:16" x14ac:dyDescent="0.3">
      <c r="A100" s="25" t="s">
        <v>3225</v>
      </c>
      <c r="B100" s="26">
        <v>46093</v>
      </c>
      <c r="C100" s="26">
        <v>46098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55523932</v>
      </c>
      <c r="K100" t="s">
        <v>2904</v>
      </c>
      <c r="L100" t="s">
        <v>2908</v>
      </c>
      <c r="M100" s="37">
        <v>229900</v>
      </c>
      <c r="N100" s="81" t="s">
        <v>2826</v>
      </c>
      <c r="O100" s="37" t="s">
        <v>3223</v>
      </c>
      <c r="P100" s="28" t="s">
        <v>2826</v>
      </c>
    </row>
    <row r="101" spans="1:16" x14ac:dyDescent="0.3">
      <c r="A101" s="25" t="s">
        <v>3225</v>
      </c>
      <c r="B101" s="26">
        <v>46093</v>
      </c>
      <c r="C101" s="26">
        <v>46098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55523941</v>
      </c>
      <c r="K101" t="s">
        <v>2904</v>
      </c>
      <c r="L101" t="s">
        <v>2909</v>
      </c>
      <c r="M101" s="37">
        <v>229900</v>
      </c>
      <c r="N101" s="81" t="s">
        <v>2826</v>
      </c>
      <c r="O101" s="37" t="s">
        <v>3223</v>
      </c>
      <c r="P101" s="28" t="s">
        <v>2826</v>
      </c>
    </row>
    <row r="102" spans="1:16" x14ac:dyDescent="0.3">
      <c r="A102" s="25" t="s">
        <v>3225</v>
      </c>
      <c r="B102" s="26">
        <v>46093</v>
      </c>
      <c r="C102" s="26">
        <v>46098</v>
      </c>
      <c r="D102" s="82">
        <v>3319</v>
      </c>
      <c r="E102" s="82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55523610</v>
      </c>
      <c r="K102" t="s">
        <v>2263</v>
      </c>
      <c r="L102" t="s">
        <v>2910</v>
      </c>
      <c r="M102" s="37">
        <v>199900</v>
      </c>
      <c r="N102" s="81" t="s">
        <v>2826</v>
      </c>
      <c r="O102" s="37" t="s">
        <v>3223</v>
      </c>
      <c r="P102" s="28" t="s">
        <v>2826</v>
      </c>
    </row>
    <row r="103" spans="1:16" x14ac:dyDescent="0.3">
      <c r="A103" s="25" t="s">
        <v>3225</v>
      </c>
      <c r="B103" s="26">
        <v>46093</v>
      </c>
      <c r="C103" s="26">
        <v>46098</v>
      </c>
      <c r="D103" s="82">
        <v>3319</v>
      </c>
      <c r="E103" s="82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55523629</v>
      </c>
      <c r="K103" t="s">
        <v>2263</v>
      </c>
      <c r="L103" t="s">
        <v>2911</v>
      </c>
      <c r="M103" s="37">
        <v>199900</v>
      </c>
      <c r="N103" s="81" t="s">
        <v>2826</v>
      </c>
      <c r="O103" s="37" t="s">
        <v>3223</v>
      </c>
      <c r="P103" s="28" t="s">
        <v>2826</v>
      </c>
    </row>
    <row r="104" spans="1:16" x14ac:dyDescent="0.3">
      <c r="A104" s="25" t="s">
        <v>3225</v>
      </c>
      <c r="B104" s="26">
        <v>46093</v>
      </c>
      <c r="C104" s="26">
        <v>46098</v>
      </c>
      <c r="D104" s="82">
        <v>3319</v>
      </c>
      <c r="E104" s="82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55523638</v>
      </c>
      <c r="K104" t="s">
        <v>2263</v>
      </c>
      <c r="L104" t="s">
        <v>2912</v>
      </c>
      <c r="M104" s="37">
        <v>199900</v>
      </c>
      <c r="N104" s="81" t="s">
        <v>2826</v>
      </c>
      <c r="O104" s="37" t="s">
        <v>3223</v>
      </c>
      <c r="P104" s="28" t="s">
        <v>2826</v>
      </c>
    </row>
    <row r="105" spans="1:16" x14ac:dyDescent="0.3">
      <c r="A105" s="25" t="s">
        <v>3225</v>
      </c>
      <c r="B105" s="26">
        <v>46093</v>
      </c>
      <c r="C105" s="26">
        <v>46098</v>
      </c>
      <c r="D105" s="82">
        <v>3319</v>
      </c>
      <c r="E105" s="82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55523647</v>
      </c>
      <c r="K105" t="s">
        <v>2263</v>
      </c>
      <c r="L105" t="s">
        <v>2913</v>
      </c>
      <c r="M105" s="37">
        <v>199900</v>
      </c>
      <c r="N105" s="81" t="s">
        <v>2826</v>
      </c>
      <c r="O105" s="37" t="s">
        <v>3223</v>
      </c>
      <c r="P105" s="28" t="s">
        <v>2826</v>
      </c>
    </row>
    <row r="106" spans="1:16" x14ac:dyDescent="0.3">
      <c r="A106" s="25" t="s">
        <v>3225</v>
      </c>
      <c r="B106" s="26">
        <v>46093</v>
      </c>
      <c r="C106" s="26">
        <v>46098</v>
      </c>
      <c r="D106" s="82">
        <v>3319</v>
      </c>
      <c r="E106" s="82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55523656</v>
      </c>
      <c r="K106" t="s">
        <v>2263</v>
      </c>
      <c r="L106" t="s">
        <v>2914</v>
      </c>
      <c r="M106" s="37">
        <v>199900</v>
      </c>
      <c r="N106" s="81" t="s">
        <v>2826</v>
      </c>
      <c r="O106" s="37" t="s">
        <v>3223</v>
      </c>
      <c r="P106" s="28" t="s">
        <v>2826</v>
      </c>
    </row>
    <row r="107" spans="1:16" x14ac:dyDescent="0.3">
      <c r="A107" s="25" t="s">
        <v>3225</v>
      </c>
      <c r="B107" s="26">
        <v>46093</v>
      </c>
      <c r="C107" s="26">
        <v>46098</v>
      </c>
      <c r="D107" s="82">
        <v>3319</v>
      </c>
      <c r="E107" s="82">
        <v>327</v>
      </c>
      <c r="F107" s="25">
        <v>2</v>
      </c>
      <c r="G107" s="28">
        <v>2</v>
      </c>
      <c r="H107" s="28">
        <v>81778</v>
      </c>
      <c r="I107" s="28" t="s">
        <v>17</v>
      </c>
      <c r="J107" s="28">
        <v>55524306</v>
      </c>
      <c r="K107" t="s">
        <v>2915</v>
      </c>
      <c r="L107" t="s">
        <v>2916</v>
      </c>
      <c r="M107" s="37">
        <v>249900</v>
      </c>
      <c r="N107" s="81" t="s">
        <v>2826</v>
      </c>
      <c r="O107" s="37" t="s">
        <v>3223</v>
      </c>
      <c r="P107" s="28" t="s">
        <v>2826</v>
      </c>
    </row>
    <row r="108" spans="1:16" x14ac:dyDescent="0.3">
      <c r="A108" s="25" t="s">
        <v>3225</v>
      </c>
      <c r="B108" s="26">
        <v>46093</v>
      </c>
      <c r="C108" s="26">
        <v>46098</v>
      </c>
      <c r="D108" s="82">
        <v>3319</v>
      </c>
      <c r="E108" s="82">
        <v>327</v>
      </c>
      <c r="F108" s="25">
        <v>2</v>
      </c>
      <c r="G108" s="28">
        <v>2</v>
      </c>
      <c r="H108" s="28">
        <v>81778</v>
      </c>
      <c r="I108" s="28" t="s">
        <v>17</v>
      </c>
      <c r="J108" s="28">
        <v>55524315</v>
      </c>
      <c r="K108" t="s">
        <v>2915</v>
      </c>
      <c r="L108" t="s">
        <v>2917</v>
      </c>
      <c r="M108" s="37">
        <v>249900</v>
      </c>
      <c r="N108" s="81" t="s">
        <v>2826</v>
      </c>
      <c r="O108" s="37" t="s">
        <v>3223</v>
      </c>
      <c r="P108" s="28" t="s">
        <v>2826</v>
      </c>
    </row>
    <row r="109" spans="1:16" x14ac:dyDescent="0.3">
      <c r="A109" s="25" t="s">
        <v>3225</v>
      </c>
      <c r="B109" s="26">
        <v>46093</v>
      </c>
      <c r="C109" s="26">
        <v>46098</v>
      </c>
      <c r="D109" s="82">
        <v>3319</v>
      </c>
      <c r="E109" s="82">
        <v>327</v>
      </c>
      <c r="F109" s="25">
        <v>2</v>
      </c>
      <c r="G109" s="28">
        <v>2</v>
      </c>
      <c r="H109" s="28">
        <v>81778</v>
      </c>
      <c r="I109" s="28" t="s">
        <v>17</v>
      </c>
      <c r="J109" s="28">
        <v>55524324</v>
      </c>
      <c r="K109" t="s">
        <v>2915</v>
      </c>
      <c r="L109" t="s">
        <v>2918</v>
      </c>
      <c r="M109" s="37">
        <v>249900</v>
      </c>
      <c r="N109" s="81" t="s">
        <v>2826</v>
      </c>
      <c r="O109" s="37" t="s">
        <v>3223</v>
      </c>
      <c r="P109" s="28" t="s">
        <v>2826</v>
      </c>
    </row>
    <row r="110" spans="1:16" x14ac:dyDescent="0.3">
      <c r="A110" s="25" t="s">
        <v>3225</v>
      </c>
      <c r="B110" s="26">
        <v>46093</v>
      </c>
      <c r="C110" s="26">
        <v>46098</v>
      </c>
      <c r="D110" s="82">
        <v>3319</v>
      </c>
      <c r="E110" s="82">
        <v>327</v>
      </c>
      <c r="F110" s="25">
        <v>2</v>
      </c>
      <c r="G110" s="28">
        <v>2</v>
      </c>
      <c r="H110" s="28">
        <v>81778</v>
      </c>
      <c r="I110" s="28" t="s">
        <v>17</v>
      </c>
      <c r="J110" s="28">
        <v>55524333</v>
      </c>
      <c r="K110" t="s">
        <v>2915</v>
      </c>
      <c r="L110" t="s">
        <v>2919</v>
      </c>
      <c r="M110" s="37">
        <v>249900</v>
      </c>
      <c r="N110" s="81" t="s">
        <v>2826</v>
      </c>
      <c r="O110" s="37" t="s">
        <v>3223</v>
      </c>
      <c r="P110" s="28" t="s">
        <v>2826</v>
      </c>
    </row>
    <row r="111" spans="1:16" x14ac:dyDescent="0.3">
      <c r="A111" s="25" t="s">
        <v>3225</v>
      </c>
      <c r="B111" s="26">
        <v>46093</v>
      </c>
      <c r="C111" s="26">
        <v>46098</v>
      </c>
      <c r="D111" s="82">
        <v>3319</v>
      </c>
      <c r="E111" s="82">
        <v>327</v>
      </c>
      <c r="F111" s="25">
        <v>2</v>
      </c>
      <c r="G111" s="28">
        <v>2</v>
      </c>
      <c r="H111" s="28">
        <v>81778</v>
      </c>
      <c r="I111" s="28" t="s">
        <v>17</v>
      </c>
      <c r="J111" s="28">
        <v>55524342</v>
      </c>
      <c r="K111" t="s">
        <v>2915</v>
      </c>
      <c r="L111" t="s">
        <v>2920</v>
      </c>
      <c r="M111" s="37">
        <v>249900</v>
      </c>
      <c r="N111" s="81" t="s">
        <v>2826</v>
      </c>
      <c r="O111" s="37" t="s">
        <v>3223</v>
      </c>
      <c r="P111" s="28" t="s">
        <v>2826</v>
      </c>
    </row>
    <row r="112" spans="1:16" x14ac:dyDescent="0.3">
      <c r="A112" s="25" t="s">
        <v>3225</v>
      </c>
      <c r="B112" s="26">
        <v>46093</v>
      </c>
      <c r="C112" s="26">
        <v>46098</v>
      </c>
      <c r="D112" s="82">
        <v>3319</v>
      </c>
      <c r="E112" s="82">
        <v>327</v>
      </c>
      <c r="F112" s="25">
        <v>2</v>
      </c>
      <c r="G112" s="28">
        <v>2</v>
      </c>
      <c r="H112" s="28">
        <v>81778</v>
      </c>
      <c r="I112" s="28" t="s">
        <v>17</v>
      </c>
      <c r="J112" s="28">
        <v>55524351</v>
      </c>
      <c r="K112" t="s">
        <v>2915</v>
      </c>
      <c r="L112" t="s">
        <v>2921</v>
      </c>
      <c r="M112" s="37">
        <v>249900</v>
      </c>
      <c r="N112" s="81" t="s">
        <v>2826</v>
      </c>
      <c r="O112" s="37" t="s">
        <v>3223</v>
      </c>
      <c r="P112" s="28" t="s">
        <v>2826</v>
      </c>
    </row>
    <row r="113" spans="1:16" x14ac:dyDescent="0.3">
      <c r="A113" s="25" t="s">
        <v>3225</v>
      </c>
      <c r="B113" s="26">
        <v>46093</v>
      </c>
      <c r="C113" s="26">
        <v>46098</v>
      </c>
      <c r="D113" s="82">
        <v>3319</v>
      </c>
      <c r="E113" s="82">
        <v>327</v>
      </c>
      <c r="F113" s="25">
        <v>2</v>
      </c>
      <c r="G113" s="28">
        <v>2</v>
      </c>
      <c r="H113" s="28">
        <v>81778</v>
      </c>
      <c r="I113" s="28" t="s">
        <v>17</v>
      </c>
      <c r="J113" s="28">
        <v>55524360</v>
      </c>
      <c r="K113" t="s">
        <v>2915</v>
      </c>
      <c r="L113" t="s">
        <v>2922</v>
      </c>
      <c r="M113" s="37">
        <v>249900</v>
      </c>
      <c r="N113" s="81" t="s">
        <v>2826</v>
      </c>
      <c r="O113" s="37" t="s">
        <v>3223</v>
      </c>
      <c r="P113" s="28" t="s">
        <v>2826</v>
      </c>
    </row>
    <row r="114" spans="1:16" x14ac:dyDescent="0.3">
      <c r="A114" s="25" t="s">
        <v>3225</v>
      </c>
      <c r="B114" s="26">
        <v>46093</v>
      </c>
      <c r="C114" s="26">
        <v>46098</v>
      </c>
      <c r="D114" s="82">
        <v>3319</v>
      </c>
      <c r="E114" s="82">
        <v>327</v>
      </c>
      <c r="F114" s="25">
        <v>2</v>
      </c>
      <c r="G114" s="28">
        <v>2</v>
      </c>
      <c r="H114" s="28">
        <v>81778</v>
      </c>
      <c r="I114" s="28" t="s">
        <v>17</v>
      </c>
      <c r="J114" s="28">
        <v>55524379</v>
      </c>
      <c r="K114" t="s">
        <v>2915</v>
      </c>
      <c r="L114" t="s">
        <v>2923</v>
      </c>
      <c r="M114" s="37">
        <v>249900</v>
      </c>
      <c r="N114" s="81" t="s">
        <v>2826</v>
      </c>
      <c r="O114" s="37" t="s">
        <v>3223</v>
      </c>
      <c r="P114" s="28" t="s">
        <v>2826</v>
      </c>
    </row>
    <row r="115" spans="1:16" x14ac:dyDescent="0.3">
      <c r="A115" s="25" t="s">
        <v>3225</v>
      </c>
      <c r="B115" s="26">
        <v>46093</v>
      </c>
      <c r="C115" s="26">
        <v>46098</v>
      </c>
      <c r="D115" s="82">
        <v>3319</v>
      </c>
      <c r="E115" s="82">
        <v>327</v>
      </c>
      <c r="F115" s="25">
        <v>2</v>
      </c>
      <c r="G115" s="28">
        <v>2</v>
      </c>
      <c r="H115" s="28">
        <v>81778</v>
      </c>
      <c r="I115" s="28" t="s">
        <v>17</v>
      </c>
      <c r="J115" s="28">
        <v>55524388</v>
      </c>
      <c r="K115" t="s">
        <v>2915</v>
      </c>
      <c r="L115" t="s">
        <v>2924</v>
      </c>
      <c r="M115" s="37">
        <v>249900</v>
      </c>
      <c r="N115" s="81" t="s">
        <v>2826</v>
      </c>
      <c r="O115" s="37" t="s">
        <v>3223</v>
      </c>
      <c r="P115" s="28" t="s">
        <v>2826</v>
      </c>
    </row>
    <row r="116" spans="1:16" x14ac:dyDescent="0.3">
      <c r="A116" s="25" t="s">
        <v>3225</v>
      </c>
      <c r="B116" s="26">
        <v>46093</v>
      </c>
      <c r="C116" s="26">
        <v>46098</v>
      </c>
      <c r="D116" s="82">
        <v>3319</v>
      </c>
      <c r="E116" s="82">
        <v>327</v>
      </c>
      <c r="F116" s="25">
        <v>2</v>
      </c>
      <c r="G116" s="28">
        <v>2</v>
      </c>
      <c r="H116" s="28">
        <v>81778</v>
      </c>
      <c r="I116" s="28" t="s">
        <v>17</v>
      </c>
      <c r="J116" s="28">
        <v>55524397</v>
      </c>
      <c r="K116" t="s">
        <v>2915</v>
      </c>
      <c r="L116" t="s">
        <v>2925</v>
      </c>
      <c r="M116" s="37">
        <v>249900</v>
      </c>
      <c r="N116" s="81" t="s">
        <v>2826</v>
      </c>
      <c r="O116" s="37" t="s">
        <v>3223</v>
      </c>
      <c r="P116" s="28" t="s">
        <v>2826</v>
      </c>
    </row>
    <row r="117" spans="1:16" x14ac:dyDescent="0.3">
      <c r="A117" s="25" t="s">
        <v>3225</v>
      </c>
      <c r="B117" s="26">
        <v>46093</v>
      </c>
      <c r="C117" s="26">
        <v>46098</v>
      </c>
      <c r="D117" s="82">
        <v>3319</v>
      </c>
      <c r="E117" s="82">
        <v>327</v>
      </c>
      <c r="F117" s="25">
        <v>2</v>
      </c>
      <c r="G117" s="28">
        <v>2</v>
      </c>
      <c r="H117" s="28">
        <v>81778</v>
      </c>
      <c r="I117" s="28" t="s">
        <v>17</v>
      </c>
      <c r="J117" s="28">
        <v>55524708</v>
      </c>
      <c r="K117" t="s">
        <v>2926</v>
      </c>
      <c r="L117" t="s">
        <v>2927</v>
      </c>
      <c r="M117" s="37">
        <v>249900</v>
      </c>
      <c r="N117" s="81" t="s">
        <v>2826</v>
      </c>
      <c r="O117" s="37" t="s">
        <v>3223</v>
      </c>
      <c r="P117" s="28" t="s">
        <v>2826</v>
      </c>
    </row>
    <row r="118" spans="1:16" x14ac:dyDescent="0.3">
      <c r="A118" s="25" t="s">
        <v>3225</v>
      </c>
      <c r="B118" s="26">
        <v>46093</v>
      </c>
      <c r="C118" s="26">
        <v>46098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55524717</v>
      </c>
      <c r="K118" t="s">
        <v>2926</v>
      </c>
      <c r="L118" t="s">
        <v>2928</v>
      </c>
      <c r="M118" s="37">
        <v>249900</v>
      </c>
      <c r="N118" s="81" t="s">
        <v>2826</v>
      </c>
      <c r="O118" s="37" t="s">
        <v>3223</v>
      </c>
      <c r="P118" s="28" t="s">
        <v>2826</v>
      </c>
    </row>
    <row r="119" spans="1:16" x14ac:dyDescent="0.3">
      <c r="A119" s="25" t="s">
        <v>3225</v>
      </c>
      <c r="B119" s="26">
        <v>46093</v>
      </c>
      <c r="C119" s="26">
        <v>46098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55524726</v>
      </c>
      <c r="K119" t="s">
        <v>2926</v>
      </c>
      <c r="L119" t="s">
        <v>2929</v>
      </c>
      <c r="M119" s="37">
        <v>249900</v>
      </c>
      <c r="N119" s="81" t="s">
        <v>2826</v>
      </c>
      <c r="O119" s="37" t="s">
        <v>3223</v>
      </c>
      <c r="P119" s="28" t="s">
        <v>2826</v>
      </c>
    </row>
    <row r="120" spans="1:16" x14ac:dyDescent="0.3">
      <c r="A120" s="25" t="s">
        <v>3225</v>
      </c>
      <c r="B120" s="26">
        <v>46093</v>
      </c>
      <c r="C120" s="26">
        <v>46098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55524735</v>
      </c>
      <c r="K120" t="s">
        <v>2926</v>
      </c>
      <c r="L120" t="s">
        <v>2930</v>
      </c>
      <c r="M120" s="37">
        <v>249900</v>
      </c>
      <c r="N120" s="81" t="s">
        <v>2826</v>
      </c>
      <c r="O120" s="37" t="s">
        <v>3223</v>
      </c>
      <c r="P120" s="28" t="s">
        <v>2826</v>
      </c>
    </row>
    <row r="121" spans="1:16" x14ac:dyDescent="0.3">
      <c r="A121" s="25" t="s">
        <v>3225</v>
      </c>
      <c r="B121" s="26">
        <v>46093</v>
      </c>
      <c r="C121" s="26">
        <v>46098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55524744</v>
      </c>
      <c r="K121" t="s">
        <v>2926</v>
      </c>
      <c r="L121" t="s">
        <v>2931</v>
      </c>
      <c r="M121" s="37">
        <v>249900</v>
      </c>
      <c r="N121" s="81" t="s">
        <v>2826</v>
      </c>
      <c r="O121" s="37" t="s">
        <v>3223</v>
      </c>
      <c r="P121" s="28" t="s">
        <v>2826</v>
      </c>
    </row>
    <row r="122" spans="1:16" x14ac:dyDescent="0.3">
      <c r="A122" s="25" t="s">
        <v>3225</v>
      </c>
      <c r="B122" s="26">
        <v>46093</v>
      </c>
      <c r="C122" s="26">
        <v>46098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55524753</v>
      </c>
      <c r="K122" t="s">
        <v>2926</v>
      </c>
      <c r="L122" t="s">
        <v>2932</v>
      </c>
      <c r="M122" s="37">
        <v>249900</v>
      </c>
      <c r="N122" s="81" t="s">
        <v>2826</v>
      </c>
      <c r="O122" s="37" t="s">
        <v>3223</v>
      </c>
      <c r="P122" s="28" t="s">
        <v>2826</v>
      </c>
    </row>
    <row r="123" spans="1:16" x14ac:dyDescent="0.3">
      <c r="A123" s="25" t="s">
        <v>3225</v>
      </c>
      <c r="B123" s="26">
        <v>46093</v>
      </c>
      <c r="C123" s="26">
        <v>46098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55524762</v>
      </c>
      <c r="K123" t="s">
        <v>2926</v>
      </c>
      <c r="L123" t="s">
        <v>2933</v>
      </c>
      <c r="M123" s="37">
        <v>249900</v>
      </c>
      <c r="N123" s="81" t="s">
        <v>2826</v>
      </c>
      <c r="O123" s="37" t="s">
        <v>3223</v>
      </c>
      <c r="P123" s="28" t="s">
        <v>2826</v>
      </c>
    </row>
    <row r="124" spans="1:16" x14ac:dyDescent="0.3">
      <c r="A124" s="25" t="s">
        <v>3225</v>
      </c>
      <c r="B124" s="26">
        <v>46093</v>
      </c>
      <c r="C124" s="26">
        <v>46098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55524771</v>
      </c>
      <c r="K124" t="s">
        <v>2926</v>
      </c>
      <c r="L124" t="s">
        <v>2934</v>
      </c>
      <c r="M124" s="37">
        <v>249900</v>
      </c>
      <c r="N124" s="81" t="s">
        <v>2826</v>
      </c>
      <c r="O124" s="37" t="s">
        <v>3223</v>
      </c>
      <c r="P124" s="28" t="s">
        <v>2826</v>
      </c>
    </row>
    <row r="125" spans="1:16" x14ac:dyDescent="0.3">
      <c r="A125" s="25" t="s">
        <v>3225</v>
      </c>
      <c r="B125" s="26">
        <v>46093</v>
      </c>
      <c r="C125" s="26">
        <v>46098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55524780</v>
      </c>
      <c r="K125" t="s">
        <v>2926</v>
      </c>
      <c r="L125" t="s">
        <v>2935</v>
      </c>
      <c r="M125" s="37">
        <v>249900</v>
      </c>
      <c r="N125" s="81" t="s">
        <v>2826</v>
      </c>
      <c r="O125" s="37" t="s">
        <v>3223</v>
      </c>
      <c r="P125" s="28" t="s">
        <v>2826</v>
      </c>
    </row>
    <row r="126" spans="1:16" x14ac:dyDescent="0.3">
      <c r="A126" s="25" t="s">
        <v>3225</v>
      </c>
      <c r="B126" s="26">
        <v>46093</v>
      </c>
      <c r="C126" s="26">
        <v>46098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55524799</v>
      </c>
      <c r="K126" t="s">
        <v>2926</v>
      </c>
      <c r="L126" t="s">
        <v>2936</v>
      </c>
      <c r="M126" s="37">
        <v>249900</v>
      </c>
      <c r="N126" s="81" t="s">
        <v>2826</v>
      </c>
      <c r="O126" s="37" t="s">
        <v>3223</v>
      </c>
      <c r="P126" s="28" t="s">
        <v>2826</v>
      </c>
    </row>
    <row r="127" spans="1:16" x14ac:dyDescent="0.3">
      <c r="A127" s="25" t="s">
        <v>3225</v>
      </c>
      <c r="B127" s="26">
        <v>46093</v>
      </c>
      <c r="C127" s="26">
        <v>46098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55524806</v>
      </c>
      <c r="K127" t="s">
        <v>2937</v>
      </c>
      <c r="L127" t="s">
        <v>2938</v>
      </c>
      <c r="M127" s="37">
        <v>249900</v>
      </c>
      <c r="N127" s="81" t="s">
        <v>2826</v>
      </c>
      <c r="O127" s="37" t="s">
        <v>3223</v>
      </c>
      <c r="P127" s="28" t="s">
        <v>2826</v>
      </c>
    </row>
    <row r="128" spans="1:16" x14ac:dyDescent="0.3">
      <c r="A128" s="25" t="s">
        <v>3225</v>
      </c>
      <c r="B128" s="26">
        <v>46093</v>
      </c>
      <c r="C128" s="26">
        <v>46098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55524815</v>
      </c>
      <c r="K128" t="s">
        <v>2937</v>
      </c>
      <c r="L128" t="s">
        <v>2939</v>
      </c>
      <c r="M128" s="37">
        <v>249900</v>
      </c>
      <c r="N128" s="81" t="s">
        <v>2826</v>
      </c>
      <c r="O128" s="37" t="s">
        <v>3223</v>
      </c>
      <c r="P128" s="28" t="s">
        <v>2826</v>
      </c>
    </row>
    <row r="129" spans="1:16" x14ac:dyDescent="0.3">
      <c r="A129" s="25" t="s">
        <v>3225</v>
      </c>
      <c r="B129" s="26">
        <v>46093</v>
      </c>
      <c r="C129" s="26">
        <v>46098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55524824</v>
      </c>
      <c r="K129" t="s">
        <v>2937</v>
      </c>
      <c r="L129" t="s">
        <v>2940</v>
      </c>
      <c r="M129" s="37">
        <v>249900</v>
      </c>
      <c r="N129" s="81" t="s">
        <v>2826</v>
      </c>
      <c r="O129" s="37" t="s">
        <v>3223</v>
      </c>
      <c r="P129" s="28" t="s">
        <v>2826</v>
      </c>
    </row>
    <row r="130" spans="1:16" x14ac:dyDescent="0.3">
      <c r="A130" s="25" t="s">
        <v>3225</v>
      </c>
      <c r="B130" s="26">
        <v>46093</v>
      </c>
      <c r="C130" s="26">
        <v>46098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55524833</v>
      </c>
      <c r="K130" t="s">
        <v>2937</v>
      </c>
      <c r="L130" t="s">
        <v>2941</v>
      </c>
      <c r="M130" s="37">
        <v>249900</v>
      </c>
      <c r="N130" s="81" t="s">
        <v>2826</v>
      </c>
      <c r="O130" s="37" t="s">
        <v>3223</v>
      </c>
      <c r="P130" s="28" t="s">
        <v>2826</v>
      </c>
    </row>
    <row r="131" spans="1:16" x14ac:dyDescent="0.3">
      <c r="A131" s="25" t="s">
        <v>3225</v>
      </c>
      <c r="B131" s="26">
        <v>46093</v>
      </c>
      <c r="C131" s="26">
        <v>46098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55524842</v>
      </c>
      <c r="K131" t="s">
        <v>2937</v>
      </c>
      <c r="L131" t="s">
        <v>2942</v>
      </c>
      <c r="M131" s="37">
        <v>249900</v>
      </c>
      <c r="N131" s="81" t="s">
        <v>2826</v>
      </c>
      <c r="O131" s="37" t="s">
        <v>3223</v>
      </c>
      <c r="P131" s="28" t="s">
        <v>2826</v>
      </c>
    </row>
    <row r="132" spans="1:16" x14ac:dyDescent="0.3">
      <c r="A132" s="25" t="s">
        <v>3225</v>
      </c>
      <c r="B132" s="26">
        <v>46093</v>
      </c>
      <c r="C132" s="26">
        <v>46098</v>
      </c>
      <c r="D132" s="82">
        <v>3319</v>
      </c>
      <c r="E132" s="82">
        <v>327</v>
      </c>
      <c r="F132" s="25">
        <v>2</v>
      </c>
      <c r="G132" s="28">
        <v>1</v>
      </c>
      <c r="H132" s="28">
        <v>81778</v>
      </c>
      <c r="I132" s="28" t="s">
        <v>17</v>
      </c>
      <c r="J132" s="28">
        <v>55524057</v>
      </c>
      <c r="K132" t="s">
        <v>2954</v>
      </c>
      <c r="L132" t="s">
        <v>2955</v>
      </c>
      <c r="M132" s="37">
        <v>199900</v>
      </c>
      <c r="N132" s="81" t="s">
        <v>2826</v>
      </c>
      <c r="O132" s="37" t="s">
        <v>3223</v>
      </c>
      <c r="P132" s="28" t="s">
        <v>2826</v>
      </c>
    </row>
    <row r="133" spans="1:16" x14ac:dyDescent="0.3">
      <c r="A133" s="25" t="s">
        <v>3225</v>
      </c>
      <c r="B133" s="26">
        <v>46093</v>
      </c>
      <c r="C133" s="26">
        <v>46098</v>
      </c>
      <c r="D133" s="82">
        <v>3319</v>
      </c>
      <c r="E133" s="82">
        <v>327</v>
      </c>
      <c r="F133" s="25">
        <v>2</v>
      </c>
      <c r="G133" s="28">
        <v>1</v>
      </c>
      <c r="H133" s="28">
        <v>81778</v>
      </c>
      <c r="I133" s="28" t="s">
        <v>17</v>
      </c>
      <c r="J133" s="28">
        <v>55524066</v>
      </c>
      <c r="K133" t="s">
        <v>2954</v>
      </c>
      <c r="L133" t="s">
        <v>2956</v>
      </c>
      <c r="M133" s="37">
        <v>199900</v>
      </c>
      <c r="N133" s="81" t="s">
        <v>2826</v>
      </c>
      <c r="O133" s="37" t="s">
        <v>3223</v>
      </c>
      <c r="P133" s="28" t="s">
        <v>2826</v>
      </c>
    </row>
    <row r="134" spans="1:16" x14ac:dyDescent="0.3">
      <c r="A134" s="25" t="s">
        <v>3225</v>
      </c>
      <c r="B134" s="26">
        <v>46093</v>
      </c>
      <c r="C134" s="26">
        <v>46098</v>
      </c>
      <c r="D134" s="82">
        <v>3319</v>
      </c>
      <c r="E134" s="82">
        <v>327</v>
      </c>
      <c r="F134" s="25">
        <v>2</v>
      </c>
      <c r="G134" s="28">
        <v>1</v>
      </c>
      <c r="H134" s="28">
        <v>81778</v>
      </c>
      <c r="I134" s="28" t="s">
        <v>17</v>
      </c>
      <c r="J134" s="28">
        <v>55524075</v>
      </c>
      <c r="K134" t="s">
        <v>2954</v>
      </c>
      <c r="L134" t="s">
        <v>2957</v>
      </c>
      <c r="M134" s="37">
        <v>199900</v>
      </c>
      <c r="N134" s="81" t="s">
        <v>2826</v>
      </c>
      <c r="O134" s="37" t="s">
        <v>3223</v>
      </c>
      <c r="P134" s="28" t="s">
        <v>2826</v>
      </c>
    </row>
    <row r="135" spans="1:16" x14ac:dyDescent="0.3">
      <c r="A135" s="25" t="s">
        <v>3225</v>
      </c>
      <c r="B135" s="26">
        <v>46093</v>
      </c>
      <c r="C135" s="26">
        <v>46098</v>
      </c>
      <c r="D135" s="82">
        <v>3319</v>
      </c>
      <c r="E135" s="82">
        <v>327</v>
      </c>
      <c r="F135" s="25">
        <v>2</v>
      </c>
      <c r="G135" s="28">
        <v>1</v>
      </c>
      <c r="H135" s="28">
        <v>81778</v>
      </c>
      <c r="I135" s="28" t="s">
        <v>17</v>
      </c>
      <c r="J135" s="28">
        <v>55524084</v>
      </c>
      <c r="K135" t="s">
        <v>2954</v>
      </c>
      <c r="L135" t="s">
        <v>2958</v>
      </c>
      <c r="M135" s="37">
        <v>199900</v>
      </c>
      <c r="N135" s="81" t="s">
        <v>2826</v>
      </c>
      <c r="O135" s="37" t="s">
        <v>3223</v>
      </c>
      <c r="P135" s="28" t="s">
        <v>2826</v>
      </c>
    </row>
    <row r="136" spans="1:16" x14ac:dyDescent="0.3">
      <c r="A136" s="25" t="s">
        <v>3225</v>
      </c>
      <c r="B136" s="26">
        <v>46093</v>
      </c>
      <c r="C136" s="26">
        <v>46098</v>
      </c>
      <c r="D136" s="82">
        <v>3319</v>
      </c>
      <c r="E136" s="82">
        <v>327</v>
      </c>
      <c r="F136" s="25">
        <v>2</v>
      </c>
      <c r="G136" s="28">
        <v>1</v>
      </c>
      <c r="H136" s="28">
        <v>81778</v>
      </c>
      <c r="I136" s="28" t="s">
        <v>17</v>
      </c>
      <c r="J136" s="28">
        <v>55524093</v>
      </c>
      <c r="K136" t="s">
        <v>2954</v>
      </c>
      <c r="L136" t="s">
        <v>2959</v>
      </c>
      <c r="M136" s="37">
        <v>199900</v>
      </c>
      <c r="N136" s="81" t="s">
        <v>2826</v>
      </c>
      <c r="O136" s="37" t="s">
        <v>3223</v>
      </c>
      <c r="P136" s="28" t="s">
        <v>2826</v>
      </c>
    </row>
    <row r="137" spans="1:16" x14ac:dyDescent="0.3">
      <c r="A137" s="25" t="s">
        <v>3225</v>
      </c>
      <c r="B137" s="26">
        <v>46093</v>
      </c>
      <c r="C137" s="26">
        <v>46098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55524002</v>
      </c>
      <c r="K137" t="s">
        <v>2960</v>
      </c>
      <c r="L137" t="s">
        <v>2961</v>
      </c>
      <c r="M137" s="37">
        <v>249900</v>
      </c>
      <c r="N137" s="81" t="s">
        <v>2826</v>
      </c>
      <c r="O137" s="37" t="s">
        <v>3223</v>
      </c>
      <c r="P137" s="28" t="s">
        <v>2826</v>
      </c>
    </row>
    <row r="138" spans="1:16" x14ac:dyDescent="0.3">
      <c r="A138" s="25" t="s">
        <v>3225</v>
      </c>
      <c r="B138" s="26">
        <v>46093</v>
      </c>
      <c r="C138" s="26">
        <v>46098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55524011</v>
      </c>
      <c r="K138" t="s">
        <v>2960</v>
      </c>
      <c r="L138" t="s">
        <v>2962</v>
      </c>
      <c r="M138" s="37">
        <v>249900</v>
      </c>
      <c r="N138" s="81" t="s">
        <v>2826</v>
      </c>
      <c r="O138" s="37" t="s">
        <v>3223</v>
      </c>
      <c r="P138" s="28" t="s">
        <v>2826</v>
      </c>
    </row>
    <row r="139" spans="1:16" x14ac:dyDescent="0.3">
      <c r="A139" s="25" t="s">
        <v>3225</v>
      </c>
      <c r="B139" s="26">
        <v>46093</v>
      </c>
      <c r="C139" s="26">
        <v>46098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55524020</v>
      </c>
      <c r="K139" t="s">
        <v>2960</v>
      </c>
      <c r="L139" t="s">
        <v>2963</v>
      </c>
      <c r="M139" s="37">
        <v>249900</v>
      </c>
      <c r="N139" s="81" t="s">
        <v>2826</v>
      </c>
      <c r="O139" s="37" t="s">
        <v>3223</v>
      </c>
      <c r="P139" s="28" t="s">
        <v>2826</v>
      </c>
    </row>
    <row r="140" spans="1:16" x14ac:dyDescent="0.3">
      <c r="A140" s="25" t="s">
        <v>3225</v>
      </c>
      <c r="B140" s="26">
        <v>46093</v>
      </c>
      <c r="C140" s="26">
        <v>46098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55524039</v>
      </c>
      <c r="K140" t="s">
        <v>2960</v>
      </c>
      <c r="L140" t="s">
        <v>2964</v>
      </c>
      <c r="M140" s="37">
        <v>249900</v>
      </c>
      <c r="N140" s="81" t="s">
        <v>2826</v>
      </c>
      <c r="O140" s="37" t="s">
        <v>3223</v>
      </c>
      <c r="P140" s="28" t="s">
        <v>2826</v>
      </c>
    </row>
    <row r="141" spans="1:16" x14ac:dyDescent="0.3">
      <c r="A141" s="25" t="s">
        <v>3225</v>
      </c>
      <c r="B141" s="26">
        <v>46093</v>
      </c>
      <c r="C141" s="26">
        <v>46098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55524048</v>
      </c>
      <c r="K141" t="s">
        <v>2960</v>
      </c>
      <c r="L141" t="s">
        <v>2965</v>
      </c>
      <c r="M141" s="37">
        <v>249900</v>
      </c>
      <c r="N141" s="81" t="s">
        <v>2826</v>
      </c>
      <c r="O141" s="37" t="s">
        <v>3223</v>
      </c>
      <c r="P141" s="28" t="s">
        <v>2826</v>
      </c>
    </row>
    <row r="142" spans="1:16" x14ac:dyDescent="0.3">
      <c r="A142" s="25" t="s">
        <v>3225</v>
      </c>
      <c r="B142" s="26">
        <v>46093</v>
      </c>
      <c r="C142" s="26">
        <v>46098</v>
      </c>
      <c r="D142" s="82">
        <v>3319</v>
      </c>
      <c r="E142" s="82">
        <v>327</v>
      </c>
      <c r="F142" s="25">
        <v>2</v>
      </c>
      <c r="G142" s="28">
        <v>1</v>
      </c>
      <c r="H142" s="28">
        <v>81778</v>
      </c>
      <c r="I142" s="28" t="s">
        <v>17</v>
      </c>
      <c r="J142" s="28">
        <v>55524100</v>
      </c>
      <c r="K142" t="s">
        <v>2966</v>
      </c>
      <c r="L142" t="s">
        <v>2967</v>
      </c>
      <c r="M142" s="37">
        <v>199900</v>
      </c>
      <c r="N142" s="81" t="s">
        <v>2826</v>
      </c>
      <c r="O142" s="37" t="s">
        <v>3223</v>
      </c>
      <c r="P142" s="28" t="s">
        <v>2826</v>
      </c>
    </row>
    <row r="143" spans="1:16" x14ac:dyDescent="0.3">
      <c r="A143" s="25" t="s">
        <v>3225</v>
      </c>
      <c r="B143" s="26">
        <v>46093</v>
      </c>
      <c r="C143" s="26">
        <v>46098</v>
      </c>
      <c r="D143" s="82">
        <v>3319</v>
      </c>
      <c r="E143" s="82">
        <v>327</v>
      </c>
      <c r="F143" s="25">
        <v>2</v>
      </c>
      <c r="G143" s="28">
        <v>1</v>
      </c>
      <c r="H143" s="28">
        <v>81778</v>
      </c>
      <c r="I143" s="28" t="s">
        <v>17</v>
      </c>
      <c r="J143" s="28">
        <v>55524119</v>
      </c>
      <c r="K143" t="s">
        <v>2966</v>
      </c>
      <c r="L143" t="s">
        <v>2968</v>
      </c>
      <c r="M143" s="37">
        <v>199900</v>
      </c>
      <c r="N143" s="81" t="s">
        <v>2826</v>
      </c>
      <c r="O143" s="37" t="s">
        <v>3223</v>
      </c>
      <c r="P143" s="28" t="s">
        <v>2826</v>
      </c>
    </row>
    <row r="144" spans="1:16" x14ac:dyDescent="0.3">
      <c r="A144" s="25" t="s">
        <v>3225</v>
      </c>
      <c r="B144" s="26">
        <v>46093</v>
      </c>
      <c r="C144" s="26">
        <v>46098</v>
      </c>
      <c r="D144" s="82">
        <v>3319</v>
      </c>
      <c r="E144" s="82">
        <v>327</v>
      </c>
      <c r="F144" s="25">
        <v>2</v>
      </c>
      <c r="G144" s="28">
        <v>1</v>
      </c>
      <c r="H144" s="28">
        <v>81778</v>
      </c>
      <c r="I144" s="28" t="s">
        <v>17</v>
      </c>
      <c r="J144" s="28">
        <v>55524128</v>
      </c>
      <c r="K144" t="s">
        <v>2966</v>
      </c>
      <c r="L144" t="s">
        <v>2969</v>
      </c>
      <c r="M144" s="37">
        <v>199900</v>
      </c>
      <c r="N144" s="81" t="s">
        <v>2826</v>
      </c>
      <c r="O144" s="37" t="s">
        <v>3223</v>
      </c>
      <c r="P144" s="28" t="s">
        <v>2826</v>
      </c>
    </row>
    <row r="145" spans="1:16" x14ac:dyDescent="0.3">
      <c r="A145" s="25" t="s">
        <v>3225</v>
      </c>
      <c r="B145" s="26">
        <v>46093</v>
      </c>
      <c r="C145" s="26">
        <v>46098</v>
      </c>
      <c r="D145" s="82">
        <v>3319</v>
      </c>
      <c r="E145" s="82">
        <v>327</v>
      </c>
      <c r="F145" s="25">
        <v>2</v>
      </c>
      <c r="G145" s="28">
        <v>1</v>
      </c>
      <c r="H145" s="28">
        <v>81778</v>
      </c>
      <c r="I145" s="28" t="s">
        <v>17</v>
      </c>
      <c r="J145" s="28">
        <v>55524137</v>
      </c>
      <c r="K145" t="s">
        <v>2966</v>
      </c>
      <c r="L145" t="s">
        <v>2970</v>
      </c>
      <c r="M145" s="37">
        <v>199900</v>
      </c>
      <c r="N145" s="81" t="s">
        <v>2826</v>
      </c>
      <c r="O145" s="37" t="s">
        <v>3223</v>
      </c>
      <c r="P145" s="28" t="s">
        <v>2826</v>
      </c>
    </row>
    <row r="146" spans="1:16" x14ac:dyDescent="0.3">
      <c r="A146" s="25" t="s">
        <v>3225</v>
      </c>
      <c r="B146" s="26">
        <v>46093</v>
      </c>
      <c r="C146" s="26">
        <v>46098</v>
      </c>
      <c r="D146" s="82">
        <v>3319</v>
      </c>
      <c r="E146" s="82">
        <v>327</v>
      </c>
      <c r="F146" s="25">
        <v>2</v>
      </c>
      <c r="G146" s="28">
        <v>1</v>
      </c>
      <c r="H146" s="28">
        <v>81778</v>
      </c>
      <c r="I146" s="28" t="s">
        <v>17</v>
      </c>
      <c r="J146" s="28">
        <v>55524146</v>
      </c>
      <c r="K146" t="s">
        <v>2966</v>
      </c>
      <c r="L146" t="s">
        <v>2971</v>
      </c>
      <c r="M146" s="37">
        <v>199900</v>
      </c>
      <c r="N146" s="81" t="s">
        <v>2826</v>
      </c>
      <c r="O146" s="37" t="s">
        <v>3223</v>
      </c>
      <c r="P146" s="28" t="s">
        <v>2826</v>
      </c>
    </row>
  </sheetData>
  <autoFilter ref="A1:Q146" xr:uid="{00000000-0001-0000-0900-000000000000}"/>
  <conditionalFormatting sqref="J1">
    <cfRule type="duplicateValues" dxfId="66" priority="66"/>
    <cfRule type="duplicateValues" dxfId="65" priority="67"/>
    <cfRule type="duplicateValues" dxfId="64" priority="68"/>
    <cfRule type="duplicateValues" dxfId="63" priority="69"/>
    <cfRule type="duplicateValues" dxfId="62" priority="70"/>
    <cfRule type="duplicateValues" dxfId="61" priority="71"/>
  </conditionalFormatting>
  <conditionalFormatting sqref="J2:J6">
    <cfRule type="duplicateValues" dxfId="60" priority="48"/>
    <cfRule type="duplicateValues" dxfId="59" priority="49"/>
    <cfRule type="duplicateValues" dxfId="58" priority="50"/>
    <cfRule type="duplicateValues" dxfId="57" priority="51"/>
    <cfRule type="duplicateValues" dxfId="56" priority="52"/>
  </conditionalFormatting>
  <conditionalFormatting sqref="J7:J11">
    <cfRule type="duplicateValues" dxfId="55" priority="43"/>
    <cfRule type="duplicateValues" dxfId="54" priority="44"/>
    <cfRule type="duplicateValues" dxfId="53" priority="45"/>
    <cfRule type="duplicateValues" dxfId="52" priority="46"/>
    <cfRule type="duplicateValues" dxfId="51" priority="47"/>
  </conditionalFormatting>
  <conditionalFormatting sqref="J12:J16">
    <cfRule type="duplicateValues" dxfId="50" priority="38"/>
    <cfRule type="duplicateValues" dxfId="49" priority="39"/>
    <cfRule type="duplicateValues" dxfId="48" priority="40"/>
    <cfRule type="duplicateValues" dxfId="47" priority="41"/>
    <cfRule type="duplicateValues" dxfId="46" priority="42"/>
  </conditionalFormatting>
  <conditionalFormatting sqref="J22:J26">
    <cfRule type="duplicateValues" dxfId="45" priority="22"/>
    <cfRule type="duplicateValues" dxfId="44" priority="23"/>
    <cfRule type="duplicateValues" dxfId="43" priority="24"/>
    <cfRule type="duplicateValues" dxfId="42" priority="25"/>
    <cfRule type="duplicateValues" dxfId="41" priority="26"/>
  </conditionalFormatting>
  <conditionalFormatting sqref="J27:J31">
    <cfRule type="duplicateValues" dxfId="40" priority="604"/>
  </conditionalFormatting>
  <conditionalFormatting sqref="J32:J1048576 J1 J17:J21">
    <cfRule type="duplicateValues" dxfId="39" priority="555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E2C-91E0-482D-85D6-F23A898C0467}">
  <dimension ref="A1:P169"/>
  <sheetViews>
    <sheetView zoomScale="85" zoomScaleNormal="85" workbookViewId="0">
      <selection activeCell="B3" sqref="B3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3217</v>
      </c>
      <c r="B2" s="26">
        <v>46093</v>
      </c>
      <c r="C2" s="26">
        <v>46098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15473071</v>
      </c>
      <c r="K2" s="28" t="s">
        <v>30</v>
      </c>
      <c r="L2" t="s">
        <v>2703</v>
      </c>
      <c r="M2" s="37">
        <v>149900</v>
      </c>
      <c r="N2" s="28" t="s">
        <v>2826</v>
      </c>
      <c r="O2" s="28" t="s">
        <v>3212</v>
      </c>
      <c r="P2" s="28" t="s">
        <v>2826</v>
      </c>
    </row>
    <row r="3" spans="1:16" x14ac:dyDescent="0.3">
      <c r="A3" s="28" t="s">
        <v>3217</v>
      </c>
      <c r="B3" s="26">
        <v>46093</v>
      </c>
      <c r="C3" s="26">
        <v>46098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15473053</v>
      </c>
      <c r="K3" s="28" t="s">
        <v>30</v>
      </c>
      <c r="L3" t="s">
        <v>2704</v>
      </c>
      <c r="M3" s="37">
        <v>149900</v>
      </c>
      <c r="N3" s="28" t="s">
        <v>2826</v>
      </c>
      <c r="O3" s="28" t="s">
        <v>3212</v>
      </c>
      <c r="P3" s="28" t="s">
        <v>2826</v>
      </c>
    </row>
    <row r="4" spans="1:16" x14ac:dyDescent="0.3">
      <c r="A4" s="28" t="s">
        <v>3217</v>
      </c>
      <c r="B4" s="26">
        <v>46093</v>
      </c>
      <c r="C4" s="26">
        <v>46098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15473062</v>
      </c>
      <c r="K4" s="28" t="s">
        <v>30</v>
      </c>
      <c r="L4" t="s">
        <v>2705</v>
      </c>
      <c r="M4" s="37">
        <v>149900</v>
      </c>
      <c r="N4" s="28" t="s">
        <v>2826</v>
      </c>
      <c r="O4" s="28" t="s">
        <v>3212</v>
      </c>
      <c r="P4" s="28" t="s">
        <v>2826</v>
      </c>
    </row>
    <row r="5" spans="1:16" x14ac:dyDescent="0.3">
      <c r="A5" s="28" t="s">
        <v>3217</v>
      </c>
      <c r="B5" s="26">
        <v>46093</v>
      </c>
      <c r="C5" s="26">
        <v>46098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15473035</v>
      </c>
      <c r="K5" s="28" t="s">
        <v>30</v>
      </c>
      <c r="L5" t="s">
        <v>2706</v>
      </c>
      <c r="M5" s="37">
        <v>149900</v>
      </c>
      <c r="N5" s="28" t="s">
        <v>2826</v>
      </c>
      <c r="O5" s="28" t="s">
        <v>3212</v>
      </c>
      <c r="P5" s="28" t="s">
        <v>2826</v>
      </c>
    </row>
    <row r="6" spans="1:16" x14ac:dyDescent="0.3">
      <c r="A6" s="28" t="s">
        <v>3217</v>
      </c>
      <c r="B6" s="26">
        <v>46093</v>
      </c>
      <c r="C6" s="26">
        <v>46098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15473044</v>
      </c>
      <c r="K6" s="28" t="s">
        <v>30</v>
      </c>
      <c r="L6" t="s">
        <v>2707</v>
      </c>
      <c r="M6" s="37">
        <v>149900</v>
      </c>
      <c r="N6" s="28" t="s">
        <v>2826</v>
      </c>
      <c r="O6" s="28" t="s">
        <v>3212</v>
      </c>
      <c r="P6" s="28" t="s">
        <v>2826</v>
      </c>
    </row>
    <row r="7" spans="1:16" x14ac:dyDescent="0.3">
      <c r="A7" s="28" t="s">
        <v>3217</v>
      </c>
      <c r="B7" s="26">
        <v>46093</v>
      </c>
      <c r="C7" s="26">
        <v>46098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15806229</v>
      </c>
      <c r="K7" s="28" t="s">
        <v>2119</v>
      </c>
      <c r="L7" t="s">
        <v>2120</v>
      </c>
      <c r="M7" s="37">
        <v>149900</v>
      </c>
      <c r="N7" s="28" t="s">
        <v>2826</v>
      </c>
      <c r="O7" s="28" t="s">
        <v>3212</v>
      </c>
      <c r="P7" s="28" t="s">
        <v>2826</v>
      </c>
    </row>
    <row r="8" spans="1:16" x14ac:dyDescent="0.3">
      <c r="A8" s="28" t="s">
        <v>3217</v>
      </c>
      <c r="B8" s="26">
        <v>46093</v>
      </c>
      <c r="C8" s="26">
        <v>46098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15806238</v>
      </c>
      <c r="K8" s="28" t="s">
        <v>2119</v>
      </c>
      <c r="L8" t="s">
        <v>2121</v>
      </c>
      <c r="M8" s="37">
        <v>149900</v>
      </c>
      <c r="N8" s="28" t="s">
        <v>2826</v>
      </c>
      <c r="O8" s="28" t="s">
        <v>3212</v>
      </c>
      <c r="P8" s="28" t="s">
        <v>2826</v>
      </c>
    </row>
    <row r="9" spans="1:16" x14ac:dyDescent="0.3">
      <c r="A9" s="28" t="s">
        <v>3217</v>
      </c>
      <c r="B9" s="26">
        <v>46093</v>
      </c>
      <c r="C9" s="26">
        <v>46098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15806247</v>
      </c>
      <c r="K9" s="28" t="s">
        <v>2119</v>
      </c>
      <c r="L9" t="s">
        <v>2122</v>
      </c>
      <c r="M9" s="37">
        <v>149900</v>
      </c>
      <c r="N9" s="28" t="s">
        <v>2826</v>
      </c>
      <c r="O9" s="28" t="s">
        <v>3212</v>
      </c>
      <c r="P9" s="28" t="s">
        <v>2826</v>
      </c>
    </row>
    <row r="10" spans="1:16" x14ac:dyDescent="0.3">
      <c r="A10" s="28" t="s">
        <v>3217</v>
      </c>
      <c r="B10" s="26">
        <v>46093</v>
      </c>
      <c r="C10" s="26">
        <v>46098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15806256</v>
      </c>
      <c r="K10" s="28" t="s">
        <v>2119</v>
      </c>
      <c r="L10" t="s">
        <v>2123</v>
      </c>
      <c r="M10" s="37">
        <v>149900</v>
      </c>
      <c r="N10" s="28" t="s">
        <v>2826</v>
      </c>
      <c r="O10" s="28" t="s">
        <v>3212</v>
      </c>
      <c r="P10" s="28" t="s">
        <v>2826</v>
      </c>
    </row>
    <row r="11" spans="1:16" x14ac:dyDescent="0.3">
      <c r="A11" s="28" t="s">
        <v>3217</v>
      </c>
      <c r="B11" s="26">
        <v>46093</v>
      </c>
      <c r="C11" s="26">
        <v>46098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15806210</v>
      </c>
      <c r="K11" s="28" t="s">
        <v>2119</v>
      </c>
      <c r="L11" t="s">
        <v>2129</v>
      </c>
      <c r="M11" s="37">
        <v>149900</v>
      </c>
      <c r="N11" s="28" t="s">
        <v>2826</v>
      </c>
      <c r="O11" s="28" t="s">
        <v>3212</v>
      </c>
      <c r="P11" s="28" t="s">
        <v>2826</v>
      </c>
    </row>
    <row r="12" spans="1:16" x14ac:dyDescent="0.3">
      <c r="A12" s="28" t="s">
        <v>3217</v>
      </c>
      <c r="B12" s="26">
        <v>46093</v>
      </c>
      <c r="C12" s="26">
        <v>46098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19295819</v>
      </c>
      <c r="K12" s="28" t="s">
        <v>2181</v>
      </c>
      <c r="L12" t="s">
        <v>2182</v>
      </c>
      <c r="M12" s="37">
        <v>149900</v>
      </c>
      <c r="N12" s="28" t="s">
        <v>2826</v>
      </c>
      <c r="O12" s="28" t="s">
        <v>3212</v>
      </c>
      <c r="P12" s="28" t="s">
        <v>2826</v>
      </c>
    </row>
    <row r="13" spans="1:16" x14ac:dyDescent="0.3">
      <c r="A13" s="28" t="s">
        <v>3217</v>
      </c>
      <c r="B13" s="26">
        <v>46093</v>
      </c>
      <c r="C13" s="26">
        <v>46098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19295828</v>
      </c>
      <c r="K13" s="28" t="s">
        <v>2181</v>
      </c>
      <c r="L13" t="s">
        <v>2183</v>
      </c>
      <c r="M13" s="37">
        <v>149900</v>
      </c>
      <c r="N13" s="28" t="s">
        <v>2826</v>
      </c>
      <c r="O13" s="28" t="s">
        <v>3212</v>
      </c>
      <c r="P13" s="28" t="s">
        <v>2826</v>
      </c>
    </row>
    <row r="14" spans="1:16" x14ac:dyDescent="0.3">
      <c r="A14" s="28" t="s">
        <v>3217</v>
      </c>
      <c r="B14" s="26">
        <v>46093</v>
      </c>
      <c r="C14" s="26">
        <v>46098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19295837</v>
      </c>
      <c r="K14" s="28" t="s">
        <v>2181</v>
      </c>
      <c r="L14" t="s">
        <v>2184</v>
      </c>
      <c r="M14" s="37">
        <v>149900</v>
      </c>
      <c r="N14" s="28" t="s">
        <v>2826</v>
      </c>
      <c r="O14" s="28" t="s">
        <v>3212</v>
      </c>
      <c r="P14" s="28" t="s">
        <v>2826</v>
      </c>
    </row>
    <row r="15" spans="1:16" x14ac:dyDescent="0.3">
      <c r="A15" s="28" t="s">
        <v>3217</v>
      </c>
      <c r="B15" s="26">
        <v>46093</v>
      </c>
      <c r="C15" s="26">
        <v>46098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19295846</v>
      </c>
      <c r="K15" s="28" t="s">
        <v>2181</v>
      </c>
      <c r="L15" t="s">
        <v>2185</v>
      </c>
      <c r="M15" s="37">
        <v>149900</v>
      </c>
      <c r="N15" s="28" t="s">
        <v>2826</v>
      </c>
      <c r="O15" s="28" t="s">
        <v>3212</v>
      </c>
      <c r="P15" s="28" t="s">
        <v>2826</v>
      </c>
    </row>
    <row r="16" spans="1:16" x14ac:dyDescent="0.3">
      <c r="A16" s="28" t="s">
        <v>3217</v>
      </c>
      <c r="B16" s="26">
        <v>46093</v>
      </c>
      <c r="C16" s="26">
        <v>46098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19295855</v>
      </c>
      <c r="K16" s="28" t="s">
        <v>2181</v>
      </c>
      <c r="L16" t="s">
        <v>2186</v>
      </c>
      <c r="M16" s="37">
        <v>149900</v>
      </c>
      <c r="N16" s="28" t="s">
        <v>2826</v>
      </c>
      <c r="O16" s="28" t="s">
        <v>3212</v>
      </c>
      <c r="P16" s="28" t="s">
        <v>2826</v>
      </c>
    </row>
    <row r="17" spans="1:16" x14ac:dyDescent="0.3">
      <c r="A17" s="28" t="s">
        <v>3217</v>
      </c>
      <c r="B17" s="26">
        <v>46093</v>
      </c>
      <c r="C17" s="26">
        <v>46098</v>
      </c>
      <c r="D17" s="48">
        <v>3319</v>
      </c>
      <c r="E17" s="48">
        <v>327</v>
      </c>
      <c r="F17" s="28">
        <v>2</v>
      </c>
      <c r="G17" s="28">
        <v>1</v>
      </c>
      <c r="H17" s="28">
        <v>81778</v>
      </c>
      <c r="I17" s="28" t="s">
        <v>17</v>
      </c>
      <c r="J17" s="28">
        <v>54500762</v>
      </c>
      <c r="K17" s="28" t="s">
        <v>2311</v>
      </c>
      <c r="L17" t="s">
        <v>2776</v>
      </c>
      <c r="M17" s="37">
        <v>149900</v>
      </c>
      <c r="N17" s="28" t="s">
        <v>2826</v>
      </c>
      <c r="O17" s="28" t="s">
        <v>3212</v>
      </c>
      <c r="P17" s="28" t="s">
        <v>2826</v>
      </c>
    </row>
    <row r="18" spans="1:16" x14ac:dyDescent="0.3">
      <c r="A18" s="28" t="s">
        <v>3217</v>
      </c>
      <c r="B18" s="26">
        <v>46093</v>
      </c>
      <c r="C18" s="26">
        <v>46098</v>
      </c>
      <c r="D18" s="48">
        <v>3319</v>
      </c>
      <c r="E18" s="48">
        <v>327</v>
      </c>
      <c r="F18" s="28">
        <v>2</v>
      </c>
      <c r="G18" s="28">
        <v>1</v>
      </c>
      <c r="H18" s="28">
        <v>81778</v>
      </c>
      <c r="I18" s="28" t="s">
        <v>17</v>
      </c>
      <c r="J18" s="28">
        <v>54500771</v>
      </c>
      <c r="K18" s="28" t="s">
        <v>2311</v>
      </c>
      <c r="L18" t="s">
        <v>2777</v>
      </c>
      <c r="M18" s="37">
        <v>149900</v>
      </c>
      <c r="N18" s="28" t="s">
        <v>2826</v>
      </c>
      <c r="O18" s="28" t="s">
        <v>3212</v>
      </c>
      <c r="P18" s="28" t="s">
        <v>2826</v>
      </c>
    </row>
    <row r="19" spans="1:16" x14ac:dyDescent="0.3">
      <c r="A19" s="28" t="s">
        <v>3217</v>
      </c>
      <c r="B19" s="26">
        <v>46093</v>
      </c>
      <c r="C19" s="26">
        <v>46098</v>
      </c>
      <c r="D19" s="48">
        <v>3319</v>
      </c>
      <c r="E19" s="48">
        <v>327</v>
      </c>
      <c r="F19" s="28">
        <v>2</v>
      </c>
      <c r="G19" s="28">
        <v>1</v>
      </c>
      <c r="H19" s="28">
        <v>81778</v>
      </c>
      <c r="I19" s="28" t="s">
        <v>17</v>
      </c>
      <c r="J19" s="28">
        <v>54500780</v>
      </c>
      <c r="K19" s="28" t="s">
        <v>2311</v>
      </c>
      <c r="L19" t="s">
        <v>2778</v>
      </c>
      <c r="M19" s="37">
        <v>149900</v>
      </c>
      <c r="N19" s="28" t="s">
        <v>2826</v>
      </c>
      <c r="O19" s="28" t="s">
        <v>3212</v>
      </c>
      <c r="P19" s="28" t="s">
        <v>2826</v>
      </c>
    </row>
    <row r="20" spans="1:16" x14ac:dyDescent="0.3">
      <c r="A20" s="28" t="s">
        <v>3217</v>
      </c>
      <c r="B20" s="26">
        <v>46093</v>
      </c>
      <c r="C20" s="26">
        <v>46098</v>
      </c>
      <c r="D20" s="48">
        <v>3319</v>
      </c>
      <c r="E20" s="48">
        <v>327</v>
      </c>
      <c r="F20" s="28">
        <v>2</v>
      </c>
      <c r="G20" s="28">
        <v>1</v>
      </c>
      <c r="H20" s="28">
        <v>81778</v>
      </c>
      <c r="I20" s="28" t="s">
        <v>17</v>
      </c>
      <c r="J20" s="28">
        <v>54500799</v>
      </c>
      <c r="K20" s="28" t="s">
        <v>2311</v>
      </c>
      <c r="L20" t="s">
        <v>2779</v>
      </c>
      <c r="M20" s="37">
        <v>149900</v>
      </c>
      <c r="N20" s="28" t="s">
        <v>2826</v>
      </c>
      <c r="O20" s="28" t="s">
        <v>3212</v>
      </c>
      <c r="P20" s="28" t="s">
        <v>2826</v>
      </c>
    </row>
    <row r="21" spans="1:16" x14ac:dyDescent="0.3">
      <c r="A21" s="28" t="s">
        <v>3217</v>
      </c>
      <c r="B21" s="26">
        <v>46093</v>
      </c>
      <c r="C21" s="26">
        <v>46098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52703476</v>
      </c>
      <c r="K21" s="28" t="s">
        <v>2627</v>
      </c>
      <c r="L21" t="s">
        <v>2633</v>
      </c>
      <c r="M21" s="37">
        <v>129900</v>
      </c>
      <c r="N21" s="28" t="s">
        <v>2826</v>
      </c>
      <c r="O21" s="28" t="s">
        <v>3212</v>
      </c>
      <c r="P21" s="28" t="s">
        <v>2826</v>
      </c>
    </row>
    <row r="22" spans="1:16" x14ac:dyDescent="0.3">
      <c r="A22" s="28" t="s">
        <v>3217</v>
      </c>
      <c r="B22" s="26">
        <v>46093</v>
      </c>
      <c r="C22" s="26">
        <v>46098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52703485</v>
      </c>
      <c r="K22" s="28" t="s">
        <v>2627</v>
      </c>
      <c r="L22" t="s">
        <v>2634</v>
      </c>
      <c r="M22" s="37">
        <v>129900</v>
      </c>
      <c r="N22" s="28" t="s">
        <v>2826</v>
      </c>
      <c r="O22" s="28" t="s">
        <v>3212</v>
      </c>
      <c r="P22" s="28" t="s">
        <v>2826</v>
      </c>
    </row>
    <row r="23" spans="1:16" x14ac:dyDescent="0.3">
      <c r="A23" s="28" t="s">
        <v>3217</v>
      </c>
      <c r="B23" s="26">
        <v>46093</v>
      </c>
      <c r="C23" s="26">
        <v>46098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52703494</v>
      </c>
      <c r="K23" s="28" t="s">
        <v>2627</v>
      </c>
      <c r="L23" t="s">
        <v>2635</v>
      </c>
      <c r="M23" s="37">
        <v>129900</v>
      </c>
      <c r="N23" s="28" t="s">
        <v>2826</v>
      </c>
      <c r="O23" s="28" t="s">
        <v>3212</v>
      </c>
      <c r="P23" s="28" t="s">
        <v>2826</v>
      </c>
    </row>
    <row r="24" spans="1:16" x14ac:dyDescent="0.3">
      <c r="A24" s="28" t="s">
        <v>3217</v>
      </c>
      <c r="B24" s="26">
        <v>46093</v>
      </c>
      <c r="C24" s="26">
        <v>46098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52703501</v>
      </c>
      <c r="K24" s="28" t="s">
        <v>2627</v>
      </c>
      <c r="L24" t="s">
        <v>2636</v>
      </c>
      <c r="M24" s="37">
        <v>129900</v>
      </c>
      <c r="N24" s="28" t="s">
        <v>2826</v>
      </c>
      <c r="O24" s="28" t="s">
        <v>3212</v>
      </c>
      <c r="P24" s="28" t="s">
        <v>2826</v>
      </c>
    </row>
    <row r="25" spans="1:16" x14ac:dyDescent="0.3">
      <c r="A25" s="28" t="s">
        <v>3217</v>
      </c>
      <c r="B25" s="26">
        <v>46093</v>
      </c>
      <c r="C25" s="26">
        <v>46098</v>
      </c>
      <c r="D25" s="48">
        <v>3319</v>
      </c>
      <c r="E25" s="48">
        <v>327</v>
      </c>
      <c r="F25" s="28">
        <v>2</v>
      </c>
      <c r="G25" s="28">
        <v>1</v>
      </c>
      <c r="H25" s="28">
        <v>81778</v>
      </c>
      <c r="I25" s="28" t="s">
        <v>17</v>
      </c>
      <c r="J25" s="28">
        <v>54500566</v>
      </c>
      <c r="K25" s="28" t="s">
        <v>2764</v>
      </c>
      <c r="L25" t="s">
        <v>2765</v>
      </c>
      <c r="M25" s="37">
        <v>149900</v>
      </c>
      <c r="N25" s="28" t="s">
        <v>2826</v>
      </c>
      <c r="O25" s="28" t="s">
        <v>3212</v>
      </c>
      <c r="P25" s="28" t="s">
        <v>2826</v>
      </c>
    </row>
    <row r="26" spans="1:16" x14ac:dyDescent="0.3">
      <c r="A26" s="28" t="s">
        <v>3217</v>
      </c>
      <c r="B26" s="26">
        <v>46093</v>
      </c>
      <c r="C26" s="26">
        <v>46098</v>
      </c>
      <c r="D26" s="48">
        <v>3319</v>
      </c>
      <c r="E26" s="48">
        <v>327</v>
      </c>
      <c r="F26" s="28">
        <v>2</v>
      </c>
      <c r="G26" s="28">
        <v>1</v>
      </c>
      <c r="H26" s="28">
        <v>81778</v>
      </c>
      <c r="I26" s="28" t="s">
        <v>17</v>
      </c>
      <c r="J26" s="28">
        <v>54500575</v>
      </c>
      <c r="K26" s="28" t="s">
        <v>2764</v>
      </c>
      <c r="L26" t="s">
        <v>2766</v>
      </c>
      <c r="M26" s="37">
        <v>149900</v>
      </c>
      <c r="N26" s="28" t="s">
        <v>2826</v>
      </c>
      <c r="O26" s="28" t="s">
        <v>3212</v>
      </c>
      <c r="P26" s="28" t="s">
        <v>2826</v>
      </c>
    </row>
    <row r="27" spans="1:16" x14ac:dyDescent="0.3">
      <c r="A27" s="28" t="s">
        <v>3217</v>
      </c>
      <c r="B27" s="26">
        <v>46093</v>
      </c>
      <c r="C27" s="26">
        <v>46098</v>
      </c>
      <c r="D27" s="48">
        <v>3319</v>
      </c>
      <c r="E27" s="48">
        <v>327</v>
      </c>
      <c r="F27" s="28">
        <v>2</v>
      </c>
      <c r="G27" s="28">
        <v>1</v>
      </c>
      <c r="H27" s="28">
        <v>81778</v>
      </c>
      <c r="I27" s="28" t="s">
        <v>17</v>
      </c>
      <c r="J27" s="28">
        <v>54500584</v>
      </c>
      <c r="K27" s="28" t="s">
        <v>2764</v>
      </c>
      <c r="L27" t="s">
        <v>2767</v>
      </c>
      <c r="M27" s="37">
        <v>149900</v>
      </c>
      <c r="N27" s="28" t="s">
        <v>2826</v>
      </c>
      <c r="O27" s="28" t="s">
        <v>3212</v>
      </c>
      <c r="P27" s="28" t="s">
        <v>2826</v>
      </c>
    </row>
    <row r="28" spans="1:16" x14ac:dyDescent="0.3">
      <c r="A28" s="28" t="s">
        <v>3217</v>
      </c>
      <c r="B28" s="26">
        <v>46093</v>
      </c>
      <c r="C28" s="26">
        <v>46098</v>
      </c>
      <c r="D28" s="48">
        <v>3319</v>
      </c>
      <c r="E28" s="48">
        <v>327</v>
      </c>
      <c r="F28" s="28">
        <v>2</v>
      </c>
      <c r="G28" s="28">
        <v>1</v>
      </c>
      <c r="H28" s="28">
        <v>81778</v>
      </c>
      <c r="I28" s="28" t="s">
        <v>17</v>
      </c>
      <c r="J28" s="28">
        <v>54500593</v>
      </c>
      <c r="K28" s="28" t="s">
        <v>2764</v>
      </c>
      <c r="L28" t="s">
        <v>2768</v>
      </c>
      <c r="M28" s="37">
        <v>149900</v>
      </c>
      <c r="N28" s="28" t="s">
        <v>2826</v>
      </c>
      <c r="O28" s="28" t="s">
        <v>3212</v>
      </c>
      <c r="P28" s="28" t="s">
        <v>2826</v>
      </c>
    </row>
    <row r="29" spans="1:16" x14ac:dyDescent="0.3">
      <c r="A29" s="28" t="s">
        <v>3217</v>
      </c>
      <c r="B29" s="26">
        <v>46093</v>
      </c>
      <c r="C29" s="26">
        <v>46098</v>
      </c>
      <c r="D29" s="48">
        <v>3319</v>
      </c>
      <c r="E29" s="48">
        <v>327</v>
      </c>
      <c r="F29" s="28">
        <v>2</v>
      </c>
      <c r="G29" s="28">
        <v>1</v>
      </c>
      <c r="H29" s="28">
        <v>81778</v>
      </c>
      <c r="I29" s="28" t="s">
        <v>17</v>
      </c>
      <c r="J29" s="28">
        <v>54500600</v>
      </c>
      <c r="K29" s="28" t="s">
        <v>2764</v>
      </c>
      <c r="L29" t="s">
        <v>2769</v>
      </c>
      <c r="M29" s="37">
        <v>149900</v>
      </c>
      <c r="N29" s="28" t="s">
        <v>2826</v>
      </c>
      <c r="O29" s="28" t="s">
        <v>3212</v>
      </c>
      <c r="P29" s="28" t="s">
        <v>2826</v>
      </c>
    </row>
    <row r="30" spans="1:16" x14ac:dyDescent="0.3">
      <c r="A30" s="28" t="s">
        <v>3217</v>
      </c>
      <c r="B30" s="26">
        <v>46093</v>
      </c>
      <c r="C30" s="26">
        <v>46098</v>
      </c>
      <c r="D30" s="48">
        <v>3319</v>
      </c>
      <c r="E30" s="48">
        <v>327</v>
      </c>
      <c r="F30" s="28">
        <v>2</v>
      </c>
      <c r="G30" s="28">
        <v>1</v>
      </c>
      <c r="H30" s="28">
        <v>81778</v>
      </c>
      <c r="I30" s="28" t="s">
        <v>17</v>
      </c>
      <c r="J30" s="28">
        <v>54500619</v>
      </c>
      <c r="K30" s="28" t="s">
        <v>2770</v>
      </c>
      <c r="L30" t="s">
        <v>2771</v>
      </c>
      <c r="M30" s="37">
        <v>149900</v>
      </c>
      <c r="N30" s="28" t="s">
        <v>2826</v>
      </c>
      <c r="O30" s="28" t="s">
        <v>3212</v>
      </c>
      <c r="P30" s="28" t="s">
        <v>2826</v>
      </c>
    </row>
    <row r="31" spans="1:16" x14ac:dyDescent="0.3">
      <c r="A31" s="28" t="s">
        <v>3217</v>
      </c>
      <c r="B31" s="26">
        <v>46093</v>
      </c>
      <c r="C31" s="26">
        <v>46098</v>
      </c>
      <c r="D31" s="48">
        <v>3319</v>
      </c>
      <c r="E31" s="48">
        <v>327</v>
      </c>
      <c r="F31" s="28">
        <v>2</v>
      </c>
      <c r="G31" s="28">
        <v>1</v>
      </c>
      <c r="H31" s="28">
        <v>81778</v>
      </c>
      <c r="I31" s="28" t="s">
        <v>17</v>
      </c>
      <c r="J31" s="28">
        <v>54500628</v>
      </c>
      <c r="K31" s="28" t="s">
        <v>2770</v>
      </c>
      <c r="L31" t="s">
        <v>2772</v>
      </c>
      <c r="M31" s="37">
        <v>149900</v>
      </c>
      <c r="N31" s="28" t="s">
        <v>2826</v>
      </c>
      <c r="O31" s="28" t="s">
        <v>3212</v>
      </c>
      <c r="P31" s="28" t="s">
        <v>2826</v>
      </c>
    </row>
    <row r="32" spans="1:16" x14ac:dyDescent="0.3">
      <c r="A32" s="28" t="s">
        <v>3217</v>
      </c>
      <c r="B32" s="26">
        <v>46093</v>
      </c>
      <c r="C32" s="26">
        <v>46098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54500637</v>
      </c>
      <c r="K32" s="28" t="s">
        <v>2770</v>
      </c>
      <c r="L32" t="s">
        <v>2773</v>
      </c>
      <c r="M32" s="37">
        <v>149900</v>
      </c>
      <c r="N32" s="28" t="s">
        <v>2826</v>
      </c>
      <c r="O32" s="28" t="s">
        <v>3212</v>
      </c>
      <c r="P32" s="28" t="s">
        <v>2826</v>
      </c>
    </row>
    <row r="33" spans="1:16" x14ac:dyDescent="0.3">
      <c r="A33" s="28" t="s">
        <v>3217</v>
      </c>
      <c r="B33" s="26">
        <v>46093</v>
      </c>
      <c r="C33" s="26">
        <v>46098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54500646</v>
      </c>
      <c r="K33" s="28" t="s">
        <v>2770</v>
      </c>
      <c r="L33" t="s">
        <v>2774</v>
      </c>
      <c r="M33" s="37">
        <v>149900</v>
      </c>
      <c r="N33" s="28" t="s">
        <v>2826</v>
      </c>
      <c r="O33" s="28" t="s">
        <v>3212</v>
      </c>
      <c r="P33" s="28" t="s">
        <v>2826</v>
      </c>
    </row>
    <row r="34" spans="1:16" x14ac:dyDescent="0.3">
      <c r="A34" s="28" t="s">
        <v>3217</v>
      </c>
      <c r="B34" s="26">
        <v>46093</v>
      </c>
      <c r="C34" s="26">
        <v>46098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54500655</v>
      </c>
      <c r="K34" s="28" t="s">
        <v>2770</v>
      </c>
      <c r="L34" t="s">
        <v>2775</v>
      </c>
      <c r="M34" s="37">
        <v>149900</v>
      </c>
      <c r="N34" s="28" t="s">
        <v>2826</v>
      </c>
      <c r="O34" s="28" t="s">
        <v>3212</v>
      </c>
      <c r="P34" s="28" t="s">
        <v>2826</v>
      </c>
    </row>
    <row r="35" spans="1:16" x14ac:dyDescent="0.3">
      <c r="A35" s="28" t="s">
        <v>3217</v>
      </c>
      <c r="B35" s="26">
        <v>46093</v>
      </c>
      <c r="C35" s="26">
        <v>46098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54500664</v>
      </c>
      <c r="K35" s="28" t="s">
        <v>2780</v>
      </c>
      <c r="L35" t="s">
        <v>2781</v>
      </c>
      <c r="M35" s="37">
        <v>149900</v>
      </c>
      <c r="N35" s="28" t="s">
        <v>2826</v>
      </c>
      <c r="O35" s="28" t="s">
        <v>3212</v>
      </c>
      <c r="P35" s="28" t="s">
        <v>2826</v>
      </c>
    </row>
    <row r="36" spans="1:16" x14ac:dyDescent="0.3">
      <c r="A36" s="28" t="s">
        <v>3217</v>
      </c>
      <c r="B36" s="26">
        <v>46093</v>
      </c>
      <c r="C36" s="26">
        <v>46098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54500673</v>
      </c>
      <c r="K36" s="28" t="s">
        <v>2780</v>
      </c>
      <c r="L36" t="s">
        <v>2782</v>
      </c>
      <c r="M36" s="37">
        <v>149900</v>
      </c>
      <c r="N36" s="28" t="s">
        <v>2826</v>
      </c>
      <c r="O36" s="28" t="s">
        <v>3212</v>
      </c>
      <c r="P36" s="28" t="s">
        <v>2826</v>
      </c>
    </row>
    <row r="37" spans="1:16" x14ac:dyDescent="0.3">
      <c r="A37" s="28" t="s">
        <v>3217</v>
      </c>
      <c r="B37" s="26">
        <v>46093</v>
      </c>
      <c r="C37" s="26">
        <v>46098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54500682</v>
      </c>
      <c r="K37" s="28" t="s">
        <v>2780</v>
      </c>
      <c r="L37" t="s">
        <v>2783</v>
      </c>
      <c r="M37" s="37">
        <v>149900</v>
      </c>
      <c r="N37" s="28" t="s">
        <v>2826</v>
      </c>
      <c r="O37" s="28" t="s">
        <v>3212</v>
      </c>
      <c r="P37" s="28" t="s">
        <v>2826</v>
      </c>
    </row>
    <row r="38" spans="1:16" x14ac:dyDescent="0.3">
      <c r="A38" s="28" t="s">
        <v>3217</v>
      </c>
      <c r="B38" s="26">
        <v>46093</v>
      </c>
      <c r="C38" s="26">
        <v>46098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54500691</v>
      </c>
      <c r="K38" s="28" t="s">
        <v>2780</v>
      </c>
      <c r="L38" t="s">
        <v>2784</v>
      </c>
      <c r="M38" s="37">
        <v>149900</v>
      </c>
      <c r="N38" s="28" t="s">
        <v>2826</v>
      </c>
      <c r="O38" s="28" t="s">
        <v>3212</v>
      </c>
      <c r="P38" s="28" t="s">
        <v>2826</v>
      </c>
    </row>
    <row r="39" spans="1:16" x14ac:dyDescent="0.3">
      <c r="A39" s="28" t="s">
        <v>3217</v>
      </c>
      <c r="B39" s="26">
        <v>46093</v>
      </c>
      <c r="C39" s="26">
        <v>46098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54500708</v>
      </c>
      <c r="K39" s="28" t="s">
        <v>2780</v>
      </c>
      <c r="L39" t="s">
        <v>2785</v>
      </c>
      <c r="M39" s="37">
        <v>149900</v>
      </c>
      <c r="N39" s="28" t="s">
        <v>2826</v>
      </c>
      <c r="O39" s="28" t="s">
        <v>3212</v>
      </c>
      <c r="P39" s="28" t="s">
        <v>2826</v>
      </c>
    </row>
    <row r="40" spans="1:16" x14ac:dyDescent="0.3">
      <c r="A40" s="28" t="s">
        <v>3217</v>
      </c>
      <c r="B40" s="26">
        <v>46093</v>
      </c>
      <c r="C40" s="26">
        <v>46098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54500717</v>
      </c>
      <c r="K40" s="28" t="s">
        <v>2786</v>
      </c>
      <c r="L40" t="s">
        <v>2787</v>
      </c>
      <c r="M40" s="37">
        <v>149900</v>
      </c>
      <c r="N40" s="28" t="s">
        <v>2826</v>
      </c>
      <c r="O40" s="28" t="s">
        <v>3212</v>
      </c>
      <c r="P40" s="28" t="s">
        <v>2826</v>
      </c>
    </row>
    <row r="41" spans="1:16" x14ac:dyDescent="0.3">
      <c r="A41" s="28" t="s">
        <v>3217</v>
      </c>
      <c r="B41" s="26">
        <v>46093</v>
      </c>
      <c r="C41" s="26">
        <v>46098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54500726</v>
      </c>
      <c r="K41" s="28" t="s">
        <v>2786</v>
      </c>
      <c r="L41" t="s">
        <v>2788</v>
      </c>
      <c r="M41" s="37">
        <v>149900</v>
      </c>
      <c r="N41" s="28" t="s">
        <v>2826</v>
      </c>
      <c r="O41" s="28" t="s">
        <v>3212</v>
      </c>
      <c r="P41" s="28" t="s">
        <v>2826</v>
      </c>
    </row>
    <row r="42" spans="1:16" x14ac:dyDescent="0.3">
      <c r="A42" s="28" t="s">
        <v>3217</v>
      </c>
      <c r="B42" s="26">
        <v>46093</v>
      </c>
      <c r="C42" s="26">
        <v>46098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54500735</v>
      </c>
      <c r="K42" s="28" t="s">
        <v>2786</v>
      </c>
      <c r="L42" t="s">
        <v>2789</v>
      </c>
      <c r="M42" s="37">
        <v>149900</v>
      </c>
      <c r="N42" s="28" t="s">
        <v>2826</v>
      </c>
      <c r="O42" s="28" t="s">
        <v>3212</v>
      </c>
      <c r="P42" s="28" t="s">
        <v>2826</v>
      </c>
    </row>
    <row r="43" spans="1:16" x14ac:dyDescent="0.3">
      <c r="A43" s="28" t="s">
        <v>3217</v>
      </c>
      <c r="B43" s="26">
        <v>46093</v>
      </c>
      <c r="C43" s="26">
        <v>46098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54500744</v>
      </c>
      <c r="K43" s="28" t="s">
        <v>2786</v>
      </c>
      <c r="L43" t="s">
        <v>2790</v>
      </c>
      <c r="M43" s="37">
        <v>149900</v>
      </c>
      <c r="N43" s="28" t="s">
        <v>2826</v>
      </c>
      <c r="O43" s="28" t="s">
        <v>3212</v>
      </c>
      <c r="P43" s="28" t="s">
        <v>2826</v>
      </c>
    </row>
    <row r="44" spans="1:16" x14ac:dyDescent="0.3">
      <c r="A44" s="28" t="s">
        <v>3217</v>
      </c>
      <c r="B44" s="26">
        <v>46093</v>
      </c>
      <c r="C44" s="26">
        <v>46098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54500753</v>
      </c>
      <c r="K44" s="28" t="s">
        <v>2786</v>
      </c>
      <c r="L44" t="s">
        <v>2791</v>
      </c>
      <c r="M44" s="37">
        <v>149900</v>
      </c>
      <c r="N44" s="28" t="s">
        <v>2826</v>
      </c>
      <c r="O44" s="28" t="s">
        <v>3212</v>
      </c>
      <c r="P44" s="28" t="s">
        <v>2826</v>
      </c>
    </row>
    <row r="45" spans="1:16" x14ac:dyDescent="0.3">
      <c r="A45" s="28" t="s">
        <v>3217</v>
      </c>
      <c r="B45" s="26">
        <v>46093</v>
      </c>
      <c r="C45" s="26">
        <v>46098</v>
      </c>
      <c r="D45" s="48">
        <v>3319</v>
      </c>
      <c r="E45" s="48">
        <v>327</v>
      </c>
      <c r="F45" s="28">
        <v>2</v>
      </c>
      <c r="G45" s="28">
        <v>1</v>
      </c>
      <c r="H45" s="28">
        <v>81433</v>
      </c>
      <c r="I45" s="28" t="s">
        <v>17</v>
      </c>
      <c r="J45" s="28">
        <v>52134457</v>
      </c>
      <c r="K45" s="28" t="s">
        <v>2555</v>
      </c>
      <c r="L45" t="s">
        <v>2559</v>
      </c>
      <c r="M45" s="37">
        <v>149900</v>
      </c>
      <c r="N45" s="28" t="s">
        <v>2826</v>
      </c>
      <c r="O45" s="28" t="s">
        <v>3212</v>
      </c>
      <c r="P45" s="28" t="s">
        <v>2826</v>
      </c>
    </row>
    <row r="46" spans="1:16" x14ac:dyDescent="0.3">
      <c r="A46" s="28" t="s">
        <v>3217</v>
      </c>
      <c r="B46" s="26">
        <v>46093</v>
      </c>
      <c r="C46" s="26">
        <v>46098</v>
      </c>
      <c r="D46" s="48">
        <v>3319</v>
      </c>
      <c r="E46" s="48">
        <v>327</v>
      </c>
      <c r="F46" s="28">
        <v>2</v>
      </c>
      <c r="G46" s="28">
        <v>1</v>
      </c>
      <c r="H46" s="28">
        <v>81433</v>
      </c>
      <c r="I46" s="28" t="s">
        <v>17</v>
      </c>
      <c r="J46" s="28">
        <v>52134448</v>
      </c>
      <c r="K46" s="28" t="s">
        <v>2555</v>
      </c>
      <c r="L46" t="s">
        <v>2556</v>
      </c>
      <c r="M46" s="37">
        <v>149900</v>
      </c>
      <c r="N46" s="28" t="s">
        <v>2826</v>
      </c>
      <c r="O46" s="28" t="s">
        <v>3212</v>
      </c>
      <c r="P46" s="28" t="s">
        <v>2826</v>
      </c>
    </row>
    <row r="47" spans="1:16" x14ac:dyDescent="0.3">
      <c r="A47" s="28" t="s">
        <v>3217</v>
      </c>
      <c r="B47" s="26">
        <v>46093</v>
      </c>
      <c r="C47" s="26">
        <v>46098</v>
      </c>
      <c r="D47" s="48">
        <v>3319</v>
      </c>
      <c r="E47" s="48">
        <v>327</v>
      </c>
      <c r="F47" s="28">
        <v>2</v>
      </c>
      <c r="G47" s="28">
        <v>1</v>
      </c>
      <c r="H47" s="28">
        <v>81433</v>
      </c>
      <c r="I47" s="28" t="s">
        <v>17</v>
      </c>
      <c r="J47" s="28">
        <v>52134484</v>
      </c>
      <c r="K47" s="28" t="s">
        <v>2555</v>
      </c>
      <c r="L47" t="s">
        <v>2564</v>
      </c>
      <c r="M47" s="37">
        <v>149900</v>
      </c>
      <c r="N47" s="28" t="s">
        <v>2826</v>
      </c>
      <c r="O47" s="28" t="s">
        <v>3212</v>
      </c>
      <c r="P47" s="28" t="s">
        <v>2826</v>
      </c>
    </row>
    <row r="48" spans="1:16" x14ac:dyDescent="0.3">
      <c r="A48" s="28" t="s">
        <v>3217</v>
      </c>
      <c r="B48" s="26">
        <v>46093</v>
      </c>
      <c r="C48" s="26">
        <v>46098</v>
      </c>
      <c r="D48" s="48">
        <v>3319</v>
      </c>
      <c r="E48" s="48">
        <v>327</v>
      </c>
      <c r="F48" s="28">
        <v>2</v>
      </c>
      <c r="G48" s="28">
        <v>1</v>
      </c>
      <c r="H48" s="28">
        <v>81433</v>
      </c>
      <c r="I48" s="28" t="s">
        <v>17</v>
      </c>
      <c r="J48" s="28">
        <v>52134475</v>
      </c>
      <c r="K48" s="28" t="s">
        <v>2555</v>
      </c>
      <c r="L48" t="s">
        <v>2565</v>
      </c>
      <c r="M48" s="37">
        <v>149900</v>
      </c>
      <c r="N48" s="28" t="s">
        <v>2826</v>
      </c>
      <c r="O48" s="28" t="s">
        <v>3212</v>
      </c>
      <c r="P48" s="28" t="s">
        <v>2826</v>
      </c>
    </row>
    <row r="49" spans="1:16" x14ac:dyDescent="0.3">
      <c r="A49" s="28" t="s">
        <v>3217</v>
      </c>
      <c r="B49" s="26">
        <v>46093</v>
      </c>
      <c r="C49" s="26">
        <v>46098</v>
      </c>
      <c r="D49" s="48">
        <v>3319</v>
      </c>
      <c r="E49" s="48">
        <v>327</v>
      </c>
      <c r="F49" s="28">
        <v>2</v>
      </c>
      <c r="G49" s="28">
        <v>1</v>
      </c>
      <c r="H49" s="28">
        <v>81433</v>
      </c>
      <c r="I49" s="28" t="s">
        <v>17</v>
      </c>
      <c r="J49" s="28">
        <v>52134466</v>
      </c>
      <c r="K49" s="28" t="s">
        <v>2555</v>
      </c>
      <c r="L49" t="s">
        <v>2568</v>
      </c>
      <c r="M49" s="37">
        <v>149900</v>
      </c>
      <c r="N49" s="28" t="s">
        <v>2826</v>
      </c>
      <c r="O49" s="28" t="s">
        <v>3212</v>
      </c>
      <c r="P49" s="28" t="s">
        <v>2826</v>
      </c>
    </row>
    <row r="50" spans="1:16" x14ac:dyDescent="0.3">
      <c r="A50" s="28" t="s">
        <v>3217</v>
      </c>
      <c r="B50" s="26">
        <v>46093</v>
      </c>
      <c r="C50" s="26">
        <v>46098</v>
      </c>
      <c r="D50" s="48">
        <v>3319</v>
      </c>
      <c r="E50" s="48">
        <v>327</v>
      </c>
      <c r="F50" s="28">
        <v>2</v>
      </c>
      <c r="G50" s="28">
        <v>1</v>
      </c>
      <c r="H50" s="28">
        <v>81433</v>
      </c>
      <c r="I50" s="28" t="s">
        <v>17</v>
      </c>
      <c r="J50" s="28">
        <v>52134493</v>
      </c>
      <c r="K50" s="28" t="s">
        <v>2553</v>
      </c>
      <c r="L50" t="s">
        <v>2554</v>
      </c>
      <c r="M50" s="37">
        <v>149900</v>
      </c>
      <c r="N50" s="28" t="s">
        <v>2826</v>
      </c>
      <c r="O50" s="28" t="s">
        <v>3212</v>
      </c>
      <c r="P50" s="28" t="s">
        <v>2826</v>
      </c>
    </row>
    <row r="51" spans="1:16" x14ac:dyDescent="0.3">
      <c r="A51" s="28" t="s">
        <v>3217</v>
      </c>
      <c r="B51" s="26">
        <v>46093</v>
      </c>
      <c r="C51" s="26">
        <v>46098</v>
      </c>
      <c r="D51" s="48">
        <v>3319</v>
      </c>
      <c r="E51" s="48">
        <v>327</v>
      </c>
      <c r="F51" s="28">
        <v>2</v>
      </c>
      <c r="G51" s="28">
        <v>1</v>
      </c>
      <c r="H51" s="28">
        <v>81433</v>
      </c>
      <c r="I51" s="28" t="s">
        <v>17</v>
      </c>
      <c r="J51" s="28">
        <v>52134537</v>
      </c>
      <c r="K51" s="28" t="s">
        <v>2553</v>
      </c>
      <c r="L51" t="s">
        <v>2563</v>
      </c>
      <c r="M51" s="37">
        <v>149900</v>
      </c>
      <c r="N51" s="28" t="s">
        <v>2826</v>
      </c>
      <c r="O51" s="28" t="s">
        <v>3212</v>
      </c>
      <c r="P51" s="28" t="s">
        <v>2826</v>
      </c>
    </row>
    <row r="52" spans="1:16" x14ac:dyDescent="0.3">
      <c r="A52" s="28" t="s">
        <v>3217</v>
      </c>
      <c r="B52" s="26">
        <v>46093</v>
      </c>
      <c r="C52" s="26">
        <v>46098</v>
      </c>
      <c r="D52" s="48">
        <v>3319</v>
      </c>
      <c r="E52" s="48">
        <v>327</v>
      </c>
      <c r="F52" s="28">
        <v>2</v>
      </c>
      <c r="G52" s="28">
        <v>1</v>
      </c>
      <c r="H52" s="28">
        <v>81433</v>
      </c>
      <c r="I52" s="28" t="s">
        <v>17</v>
      </c>
      <c r="J52" s="28">
        <v>52134500</v>
      </c>
      <c r="K52" s="28" t="s">
        <v>2553</v>
      </c>
      <c r="L52" t="s">
        <v>2569</v>
      </c>
      <c r="M52" s="37">
        <v>149900</v>
      </c>
      <c r="N52" s="28" t="s">
        <v>2826</v>
      </c>
      <c r="O52" s="28" t="s">
        <v>3212</v>
      </c>
      <c r="P52" s="28" t="s">
        <v>2826</v>
      </c>
    </row>
    <row r="53" spans="1:16" x14ac:dyDescent="0.3">
      <c r="A53" s="28" t="s">
        <v>3217</v>
      </c>
      <c r="B53" s="26">
        <v>46093</v>
      </c>
      <c r="C53" s="26">
        <v>46098</v>
      </c>
      <c r="D53" s="48">
        <v>3319</v>
      </c>
      <c r="E53" s="48">
        <v>327</v>
      </c>
      <c r="F53" s="28">
        <v>2</v>
      </c>
      <c r="G53" s="28">
        <v>1</v>
      </c>
      <c r="H53" s="28">
        <v>81433</v>
      </c>
      <c r="I53" s="28" t="s">
        <v>17</v>
      </c>
      <c r="J53" s="28">
        <v>52134519</v>
      </c>
      <c r="K53" s="28" t="s">
        <v>2553</v>
      </c>
      <c r="L53" t="s">
        <v>2571</v>
      </c>
      <c r="M53" s="37">
        <v>149900</v>
      </c>
      <c r="N53" s="28" t="s">
        <v>2826</v>
      </c>
      <c r="O53" s="28" t="s">
        <v>3212</v>
      </c>
      <c r="P53" s="28" t="s">
        <v>2826</v>
      </c>
    </row>
    <row r="54" spans="1:16" x14ac:dyDescent="0.3">
      <c r="A54" s="28" t="s">
        <v>3217</v>
      </c>
      <c r="B54" s="26">
        <v>46093</v>
      </c>
      <c r="C54" s="26">
        <v>46098</v>
      </c>
      <c r="D54" s="48">
        <v>3319</v>
      </c>
      <c r="E54" s="48">
        <v>327</v>
      </c>
      <c r="F54" s="28">
        <v>2</v>
      </c>
      <c r="G54" s="28">
        <v>1</v>
      </c>
      <c r="H54" s="28">
        <v>81433</v>
      </c>
      <c r="I54" s="28" t="s">
        <v>17</v>
      </c>
      <c r="J54" s="28">
        <v>52134528</v>
      </c>
      <c r="K54" s="28" t="s">
        <v>2553</v>
      </c>
      <c r="L54" t="s">
        <v>2575</v>
      </c>
      <c r="M54" s="37">
        <v>149900</v>
      </c>
      <c r="N54" s="28" t="s">
        <v>2826</v>
      </c>
      <c r="O54" s="28" t="s">
        <v>3212</v>
      </c>
      <c r="P54" s="28" t="s">
        <v>2826</v>
      </c>
    </row>
    <row r="55" spans="1:16" x14ac:dyDescent="0.3">
      <c r="A55" s="28" t="s">
        <v>3217</v>
      </c>
      <c r="B55" s="26">
        <v>46093</v>
      </c>
      <c r="C55" s="26">
        <v>46098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52134546</v>
      </c>
      <c r="K55" s="28" t="s">
        <v>2557</v>
      </c>
      <c r="L55" t="s">
        <v>2558</v>
      </c>
      <c r="M55" s="37">
        <v>149900</v>
      </c>
      <c r="N55" s="28" t="s">
        <v>2826</v>
      </c>
      <c r="O55" s="28" t="s">
        <v>3212</v>
      </c>
      <c r="P55" s="28" t="s">
        <v>2826</v>
      </c>
    </row>
    <row r="56" spans="1:16" x14ac:dyDescent="0.3">
      <c r="A56" s="28" t="s">
        <v>3217</v>
      </c>
      <c r="B56" s="26">
        <v>46093</v>
      </c>
      <c r="C56" s="26">
        <v>46098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52134564</v>
      </c>
      <c r="K56" s="28" t="s">
        <v>2557</v>
      </c>
      <c r="L56" t="s">
        <v>2560</v>
      </c>
      <c r="M56" s="37">
        <v>149900</v>
      </c>
      <c r="N56" s="28" t="s">
        <v>2826</v>
      </c>
      <c r="O56" s="28" t="s">
        <v>3212</v>
      </c>
      <c r="P56" s="28" t="s">
        <v>2826</v>
      </c>
    </row>
    <row r="57" spans="1:16" x14ac:dyDescent="0.3">
      <c r="A57" s="28" t="s">
        <v>3217</v>
      </c>
      <c r="B57" s="26">
        <v>46093</v>
      </c>
      <c r="C57" s="26">
        <v>46098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52134591</v>
      </c>
      <c r="K57" s="28" t="s">
        <v>2557</v>
      </c>
      <c r="L57" t="s">
        <v>2561</v>
      </c>
      <c r="M57" s="37">
        <v>149900</v>
      </c>
      <c r="N57" s="28" t="s">
        <v>2826</v>
      </c>
      <c r="O57" s="28" t="s">
        <v>3212</v>
      </c>
      <c r="P57" s="28" t="s">
        <v>2826</v>
      </c>
    </row>
    <row r="58" spans="1:16" x14ac:dyDescent="0.3">
      <c r="A58" s="28" t="s">
        <v>3217</v>
      </c>
      <c r="B58" s="26">
        <v>46093</v>
      </c>
      <c r="C58" s="26">
        <v>46098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52134608</v>
      </c>
      <c r="K58" s="28" t="s">
        <v>2557</v>
      </c>
      <c r="L58" t="s">
        <v>2562</v>
      </c>
      <c r="M58" s="37">
        <v>149900</v>
      </c>
      <c r="N58" s="28" t="s">
        <v>2826</v>
      </c>
      <c r="O58" s="28" t="s">
        <v>3212</v>
      </c>
      <c r="P58" s="28" t="s">
        <v>2826</v>
      </c>
    </row>
    <row r="59" spans="1:16" x14ac:dyDescent="0.3">
      <c r="A59" s="28" t="s">
        <v>3217</v>
      </c>
      <c r="B59" s="26">
        <v>46093</v>
      </c>
      <c r="C59" s="26">
        <v>46098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52134617</v>
      </c>
      <c r="K59" s="28" t="s">
        <v>2557</v>
      </c>
      <c r="L59" t="s">
        <v>2566</v>
      </c>
      <c r="M59" s="37">
        <v>149900</v>
      </c>
      <c r="N59" s="28" t="s">
        <v>2826</v>
      </c>
      <c r="O59" s="28" t="s">
        <v>3212</v>
      </c>
      <c r="P59" s="28" t="s">
        <v>2826</v>
      </c>
    </row>
    <row r="60" spans="1:16" x14ac:dyDescent="0.3">
      <c r="A60" s="28" t="s">
        <v>3217</v>
      </c>
      <c r="B60" s="26">
        <v>46093</v>
      </c>
      <c r="C60" s="26">
        <v>46098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52134582</v>
      </c>
      <c r="K60" s="28" t="s">
        <v>2557</v>
      </c>
      <c r="L60" t="s">
        <v>2567</v>
      </c>
      <c r="M60" s="37">
        <v>149900</v>
      </c>
      <c r="N60" s="28" t="s">
        <v>2826</v>
      </c>
      <c r="O60" s="28" t="s">
        <v>3212</v>
      </c>
      <c r="P60" s="28" t="s">
        <v>2826</v>
      </c>
    </row>
    <row r="61" spans="1:16" x14ac:dyDescent="0.3">
      <c r="A61" s="28" t="s">
        <v>3217</v>
      </c>
      <c r="B61" s="26">
        <v>46093</v>
      </c>
      <c r="C61" s="26">
        <v>46098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52134573</v>
      </c>
      <c r="K61" s="28" t="s">
        <v>2557</v>
      </c>
      <c r="L61" t="s">
        <v>2570</v>
      </c>
      <c r="M61" s="37">
        <v>149900</v>
      </c>
      <c r="N61" s="28" t="s">
        <v>2826</v>
      </c>
      <c r="O61" s="28" t="s">
        <v>3212</v>
      </c>
      <c r="P61" s="28" t="s">
        <v>2826</v>
      </c>
    </row>
    <row r="62" spans="1:16" x14ac:dyDescent="0.3">
      <c r="A62" s="28" t="s">
        <v>3217</v>
      </c>
      <c r="B62" s="26">
        <v>46093</v>
      </c>
      <c r="C62" s="26">
        <v>46098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52134626</v>
      </c>
      <c r="K62" s="28" t="s">
        <v>2557</v>
      </c>
      <c r="L62" t="s">
        <v>2572</v>
      </c>
      <c r="M62" s="37">
        <v>149900</v>
      </c>
      <c r="N62" s="28" t="s">
        <v>2826</v>
      </c>
      <c r="O62" s="28" t="s">
        <v>3212</v>
      </c>
      <c r="P62" s="28" t="s">
        <v>2826</v>
      </c>
    </row>
    <row r="63" spans="1:16" x14ac:dyDescent="0.3">
      <c r="A63" s="28" t="s">
        <v>3217</v>
      </c>
      <c r="B63" s="26">
        <v>46093</v>
      </c>
      <c r="C63" s="26">
        <v>46098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52134635</v>
      </c>
      <c r="K63" s="28" t="s">
        <v>2557</v>
      </c>
      <c r="L63" t="s">
        <v>2573</v>
      </c>
      <c r="M63" s="37">
        <v>149900</v>
      </c>
      <c r="N63" s="28" t="s">
        <v>2826</v>
      </c>
      <c r="O63" s="28" t="s">
        <v>3212</v>
      </c>
      <c r="P63" s="28" t="s">
        <v>2826</v>
      </c>
    </row>
    <row r="64" spans="1:16" x14ac:dyDescent="0.3">
      <c r="A64" s="28" t="s">
        <v>3217</v>
      </c>
      <c r="B64" s="26">
        <v>46093</v>
      </c>
      <c r="C64" s="26">
        <v>46098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52134555</v>
      </c>
      <c r="K64" s="28" t="s">
        <v>2557</v>
      </c>
      <c r="L64" t="s">
        <v>2574</v>
      </c>
      <c r="M64" s="37">
        <v>149900</v>
      </c>
      <c r="N64" s="28" t="s">
        <v>2826</v>
      </c>
      <c r="O64" s="28" t="s">
        <v>3212</v>
      </c>
      <c r="P64" s="28" t="s">
        <v>2826</v>
      </c>
    </row>
    <row r="65" spans="1:16" x14ac:dyDescent="0.3">
      <c r="A65" s="28" t="s">
        <v>3217</v>
      </c>
      <c r="B65" s="26">
        <v>46093</v>
      </c>
      <c r="C65" s="26">
        <v>46098</v>
      </c>
      <c r="D65" s="48">
        <v>3319</v>
      </c>
      <c r="E65" s="48">
        <v>327</v>
      </c>
      <c r="F65" s="28">
        <v>2</v>
      </c>
      <c r="G65" s="28">
        <v>1</v>
      </c>
      <c r="H65" s="28">
        <v>80700</v>
      </c>
      <c r="I65" s="28" t="s">
        <v>17</v>
      </c>
      <c r="J65" s="28">
        <v>51673037</v>
      </c>
      <c r="K65" s="28" t="s">
        <v>2368</v>
      </c>
      <c r="L65" t="s">
        <v>2369</v>
      </c>
      <c r="M65" s="37">
        <v>149900</v>
      </c>
      <c r="N65" s="28" t="s">
        <v>2826</v>
      </c>
      <c r="O65" s="28" t="s">
        <v>3212</v>
      </c>
      <c r="P65" s="28" t="s">
        <v>2826</v>
      </c>
    </row>
    <row r="66" spans="1:16" x14ac:dyDescent="0.3">
      <c r="A66" s="28" t="s">
        <v>3217</v>
      </c>
      <c r="B66" s="26">
        <v>46093</v>
      </c>
      <c r="C66" s="26">
        <v>46098</v>
      </c>
      <c r="D66" s="48">
        <v>3319</v>
      </c>
      <c r="E66" s="48">
        <v>327</v>
      </c>
      <c r="F66" s="28">
        <v>2</v>
      </c>
      <c r="G66" s="28">
        <v>1</v>
      </c>
      <c r="H66" s="28">
        <v>80700</v>
      </c>
      <c r="I66" s="28" t="s">
        <v>17</v>
      </c>
      <c r="J66" s="28">
        <v>51673046</v>
      </c>
      <c r="K66" s="28" t="s">
        <v>2368</v>
      </c>
      <c r="L66" t="s">
        <v>2370</v>
      </c>
      <c r="M66" s="37">
        <v>149900</v>
      </c>
      <c r="N66" s="28" t="s">
        <v>2826</v>
      </c>
      <c r="O66" s="28" t="s">
        <v>3212</v>
      </c>
      <c r="P66" s="28" t="s">
        <v>2826</v>
      </c>
    </row>
    <row r="67" spans="1:16" x14ac:dyDescent="0.3">
      <c r="A67" s="28" t="s">
        <v>3217</v>
      </c>
      <c r="B67" s="26">
        <v>46093</v>
      </c>
      <c r="C67" s="26">
        <v>46098</v>
      </c>
      <c r="D67" s="48">
        <v>3319</v>
      </c>
      <c r="E67" s="48">
        <v>327</v>
      </c>
      <c r="F67" s="28">
        <v>2</v>
      </c>
      <c r="G67" s="28">
        <v>1</v>
      </c>
      <c r="H67" s="28">
        <v>80700</v>
      </c>
      <c r="I67" s="28" t="s">
        <v>17</v>
      </c>
      <c r="J67" s="28">
        <v>51673055</v>
      </c>
      <c r="K67" s="28" t="s">
        <v>2368</v>
      </c>
      <c r="L67" t="s">
        <v>2371</v>
      </c>
      <c r="M67" s="37">
        <v>149900</v>
      </c>
      <c r="N67" s="28" t="s">
        <v>2826</v>
      </c>
      <c r="O67" s="28" t="s">
        <v>3212</v>
      </c>
      <c r="P67" s="28" t="s">
        <v>2826</v>
      </c>
    </row>
    <row r="68" spans="1:16" x14ac:dyDescent="0.3">
      <c r="A68" s="28" t="s">
        <v>3217</v>
      </c>
      <c r="B68" s="26">
        <v>46093</v>
      </c>
      <c r="C68" s="26">
        <v>46098</v>
      </c>
      <c r="D68" s="48">
        <v>3319</v>
      </c>
      <c r="E68" s="48">
        <v>327</v>
      </c>
      <c r="F68" s="28">
        <v>2</v>
      </c>
      <c r="G68" s="28">
        <v>1</v>
      </c>
      <c r="H68" s="28">
        <v>80700</v>
      </c>
      <c r="I68" s="28" t="s">
        <v>17</v>
      </c>
      <c r="J68" s="28">
        <v>51673064</v>
      </c>
      <c r="K68" s="28" t="s">
        <v>2368</v>
      </c>
      <c r="L68" t="s">
        <v>2372</v>
      </c>
      <c r="M68" s="37">
        <v>149900</v>
      </c>
      <c r="N68" s="28" t="s">
        <v>2826</v>
      </c>
      <c r="O68" s="28" t="s">
        <v>3212</v>
      </c>
      <c r="P68" s="28" t="s">
        <v>2826</v>
      </c>
    </row>
    <row r="69" spans="1:16" x14ac:dyDescent="0.3">
      <c r="A69" s="28" t="s">
        <v>3217</v>
      </c>
      <c r="B69" s="26">
        <v>46093</v>
      </c>
      <c r="C69" s="26">
        <v>46098</v>
      </c>
      <c r="D69" s="48">
        <v>3319</v>
      </c>
      <c r="E69" s="48">
        <v>327</v>
      </c>
      <c r="F69" s="28">
        <v>2</v>
      </c>
      <c r="G69" s="28">
        <v>1</v>
      </c>
      <c r="H69" s="28">
        <v>80700</v>
      </c>
      <c r="I69" s="28" t="s">
        <v>17</v>
      </c>
      <c r="J69" s="28">
        <v>51673073</v>
      </c>
      <c r="K69" s="28" t="s">
        <v>2368</v>
      </c>
      <c r="L69" t="s">
        <v>2373</v>
      </c>
      <c r="M69" s="37">
        <v>149900</v>
      </c>
      <c r="N69" s="28" t="s">
        <v>2826</v>
      </c>
      <c r="O69" s="28" t="s">
        <v>3212</v>
      </c>
      <c r="P69" s="28" t="s">
        <v>2826</v>
      </c>
    </row>
    <row r="70" spans="1:16" x14ac:dyDescent="0.3">
      <c r="A70" s="28" t="s">
        <v>3217</v>
      </c>
      <c r="B70" s="26">
        <v>46093</v>
      </c>
      <c r="C70" s="26">
        <v>46098</v>
      </c>
      <c r="D70" s="48">
        <v>3319</v>
      </c>
      <c r="E70" s="48">
        <v>327</v>
      </c>
      <c r="F70" s="28">
        <v>2</v>
      </c>
      <c r="G70" s="28">
        <v>1</v>
      </c>
      <c r="H70" s="28">
        <v>80700</v>
      </c>
      <c r="I70" s="28" t="s">
        <v>17</v>
      </c>
      <c r="J70" s="28">
        <v>51673082</v>
      </c>
      <c r="K70" s="28" t="s">
        <v>2368</v>
      </c>
      <c r="L70" t="s">
        <v>2374</v>
      </c>
      <c r="M70" s="37">
        <v>149900</v>
      </c>
      <c r="N70" s="28" t="s">
        <v>2826</v>
      </c>
      <c r="O70" s="28" t="s">
        <v>3212</v>
      </c>
      <c r="P70" s="28" t="s">
        <v>2826</v>
      </c>
    </row>
    <row r="71" spans="1:16" x14ac:dyDescent="0.3">
      <c r="A71" s="28" t="s">
        <v>3217</v>
      </c>
      <c r="B71" s="26">
        <v>46093</v>
      </c>
      <c r="C71" s="26">
        <v>46098</v>
      </c>
      <c r="D71" s="48">
        <v>3319</v>
      </c>
      <c r="E71" s="48">
        <v>327</v>
      </c>
      <c r="F71" s="28">
        <v>2</v>
      </c>
      <c r="G71" s="28">
        <v>1</v>
      </c>
      <c r="H71" s="28">
        <v>80700</v>
      </c>
      <c r="I71" s="28" t="s">
        <v>17</v>
      </c>
      <c r="J71" s="28">
        <v>51673091</v>
      </c>
      <c r="K71" s="28" t="s">
        <v>2368</v>
      </c>
      <c r="L71" t="s">
        <v>2375</v>
      </c>
      <c r="M71" s="37">
        <v>149900</v>
      </c>
      <c r="N71" s="28" t="s">
        <v>2826</v>
      </c>
      <c r="O71" s="28" t="s">
        <v>3212</v>
      </c>
      <c r="P71" s="28" t="s">
        <v>2826</v>
      </c>
    </row>
    <row r="72" spans="1:16" x14ac:dyDescent="0.3">
      <c r="A72" s="28" t="s">
        <v>3217</v>
      </c>
      <c r="B72" s="26">
        <v>46093</v>
      </c>
      <c r="C72" s="26">
        <v>46098</v>
      </c>
      <c r="D72" s="48">
        <v>3319</v>
      </c>
      <c r="E72" s="48">
        <v>327</v>
      </c>
      <c r="F72" s="28">
        <v>2</v>
      </c>
      <c r="G72" s="28">
        <v>1</v>
      </c>
      <c r="H72" s="28">
        <v>80700</v>
      </c>
      <c r="I72" s="28" t="s">
        <v>17</v>
      </c>
      <c r="J72" s="28">
        <v>51673108</v>
      </c>
      <c r="K72" s="28" t="s">
        <v>2368</v>
      </c>
      <c r="L72" t="s">
        <v>2376</v>
      </c>
      <c r="M72" s="37">
        <v>149900</v>
      </c>
      <c r="N72" s="28" t="s">
        <v>2826</v>
      </c>
      <c r="O72" s="28" t="s">
        <v>3212</v>
      </c>
      <c r="P72" s="28" t="s">
        <v>2826</v>
      </c>
    </row>
    <row r="73" spans="1:16" x14ac:dyDescent="0.3">
      <c r="A73" s="28" t="s">
        <v>3217</v>
      </c>
      <c r="B73" s="26">
        <v>46093</v>
      </c>
      <c r="C73" s="26">
        <v>46098</v>
      </c>
      <c r="D73" s="48">
        <v>3319</v>
      </c>
      <c r="E73" s="48">
        <v>327</v>
      </c>
      <c r="F73" s="28">
        <v>2</v>
      </c>
      <c r="G73" s="28">
        <v>1</v>
      </c>
      <c r="H73" s="28">
        <v>80700</v>
      </c>
      <c r="I73" s="28" t="s">
        <v>17</v>
      </c>
      <c r="J73" s="28">
        <v>51673117</v>
      </c>
      <c r="K73" s="28" t="s">
        <v>2368</v>
      </c>
      <c r="L73" t="s">
        <v>2377</v>
      </c>
      <c r="M73" s="37">
        <v>149900</v>
      </c>
      <c r="N73" s="28" t="s">
        <v>2826</v>
      </c>
      <c r="O73" s="28" t="s">
        <v>3212</v>
      </c>
      <c r="P73" s="28" t="s">
        <v>2826</v>
      </c>
    </row>
    <row r="74" spans="1:16" x14ac:dyDescent="0.3">
      <c r="A74" s="28" t="s">
        <v>3217</v>
      </c>
      <c r="B74" s="26">
        <v>46093</v>
      </c>
      <c r="C74" s="26">
        <v>46098</v>
      </c>
      <c r="D74" s="48">
        <v>3319</v>
      </c>
      <c r="E74" s="48">
        <v>327</v>
      </c>
      <c r="F74" s="28">
        <v>2</v>
      </c>
      <c r="G74" s="28">
        <v>1</v>
      </c>
      <c r="H74" s="28">
        <v>80700</v>
      </c>
      <c r="I74" s="28" t="s">
        <v>17</v>
      </c>
      <c r="J74" s="28">
        <v>51673126</v>
      </c>
      <c r="K74" s="28" t="s">
        <v>2368</v>
      </c>
      <c r="L74" t="s">
        <v>2378</v>
      </c>
      <c r="M74" s="37">
        <v>149900</v>
      </c>
      <c r="N74" s="28" t="s">
        <v>2826</v>
      </c>
      <c r="O74" s="28" t="s">
        <v>3212</v>
      </c>
      <c r="P74" s="28" t="s">
        <v>2826</v>
      </c>
    </row>
    <row r="75" spans="1:16" x14ac:dyDescent="0.3">
      <c r="A75" s="28" t="s">
        <v>3217</v>
      </c>
      <c r="B75" s="26">
        <v>46093</v>
      </c>
      <c r="C75" s="26">
        <v>46098</v>
      </c>
      <c r="D75" s="48">
        <v>3319</v>
      </c>
      <c r="E75" s="48">
        <v>327</v>
      </c>
      <c r="F75" s="28">
        <v>2</v>
      </c>
      <c r="G75" s="28">
        <v>1</v>
      </c>
      <c r="H75" s="28">
        <v>80700</v>
      </c>
      <c r="I75" s="28" t="s">
        <v>17</v>
      </c>
      <c r="J75" s="28">
        <v>51672985</v>
      </c>
      <c r="K75" s="28" t="s">
        <v>2379</v>
      </c>
      <c r="L75" t="s">
        <v>2380</v>
      </c>
      <c r="M75" s="37">
        <v>149900</v>
      </c>
      <c r="N75" s="28" t="s">
        <v>2826</v>
      </c>
      <c r="O75" s="28" t="s">
        <v>3212</v>
      </c>
      <c r="P75" s="28" t="s">
        <v>2826</v>
      </c>
    </row>
    <row r="76" spans="1:16" x14ac:dyDescent="0.3">
      <c r="A76" s="28" t="s">
        <v>3217</v>
      </c>
      <c r="B76" s="26">
        <v>46093</v>
      </c>
      <c r="C76" s="26">
        <v>46098</v>
      </c>
      <c r="D76" s="48">
        <v>3319</v>
      </c>
      <c r="E76" s="48">
        <v>327</v>
      </c>
      <c r="F76" s="28">
        <v>2</v>
      </c>
      <c r="G76" s="28">
        <v>1</v>
      </c>
      <c r="H76" s="28">
        <v>80700</v>
      </c>
      <c r="I76" s="28" t="s">
        <v>17</v>
      </c>
      <c r="J76" s="28">
        <v>51672994</v>
      </c>
      <c r="K76" s="28" t="s">
        <v>2379</v>
      </c>
      <c r="L76" t="s">
        <v>2381</v>
      </c>
      <c r="M76" s="37">
        <v>149900</v>
      </c>
      <c r="N76" s="28" t="s">
        <v>2826</v>
      </c>
      <c r="O76" s="28" t="s">
        <v>3212</v>
      </c>
      <c r="P76" s="28" t="s">
        <v>2826</v>
      </c>
    </row>
    <row r="77" spans="1:16" x14ac:dyDescent="0.3">
      <c r="A77" s="28" t="s">
        <v>3217</v>
      </c>
      <c r="B77" s="26">
        <v>46093</v>
      </c>
      <c r="C77" s="26">
        <v>46098</v>
      </c>
      <c r="D77" s="48">
        <v>3319</v>
      </c>
      <c r="E77" s="48">
        <v>327</v>
      </c>
      <c r="F77" s="28">
        <v>2</v>
      </c>
      <c r="G77" s="28">
        <v>1</v>
      </c>
      <c r="H77" s="28">
        <v>80700</v>
      </c>
      <c r="I77" s="28" t="s">
        <v>17</v>
      </c>
      <c r="J77" s="28">
        <v>51673000</v>
      </c>
      <c r="K77" s="28" t="s">
        <v>2379</v>
      </c>
      <c r="L77" t="s">
        <v>2382</v>
      </c>
      <c r="M77" s="37">
        <v>149900</v>
      </c>
      <c r="N77" s="28" t="s">
        <v>2826</v>
      </c>
      <c r="O77" s="28" t="s">
        <v>3212</v>
      </c>
      <c r="P77" s="28" t="s">
        <v>2826</v>
      </c>
    </row>
    <row r="78" spans="1:16" x14ac:dyDescent="0.3">
      <c r="A78" s="28" t="s">
        <v>3217</v>
      </c>
      <c r="B78" s="26">
        <v>46093</v>
      </c>
      <c r="C78" s="26">
        <v>46098</v>
      </c>
      <c r="D78" s="48">
        <v>3319</v>
      </c>
      <c r="E78" s="48">
        <v>327</v>
      </c>
      <c r="F78" s="28">
        <v>2</v>
      </c>
      <c r="G78" s="28">
        <v>1</v>
      </c>
      <c r="H78" s="28">
        <v>80700</v>
      </c>
      <c r="I78" s="28" t="s">
        <v>17</v>
      </c>
      <c r="J78" s="28">
        <v>51673019</v>
      </c>
      <c r="K78" s="28" t="s">
        <v>2379</v>
      </c>
      <c r="L78" t="s">
        <v>2383</v>
      </c>
      <c r="M78" s="37">
        <v>149900</v>
      </c>
      <c r="N78" s="28" t="s">
        <v>2826</v>
      </c>
      <c r="O78" s="28" t="s">
        <v>3212</v>
      </c>
      <c r="P78" s="28" t="s">
        <v>2826</v>
      </c>
    </row>
    <row r="79" spans="1:16" x14ac:dyDescent="0.3">
      <c r="A79" s="28" t="s">
        <v>3217</v>
      </c>
      <c r="B79" s="26">
        <v>46093</v>
      </c>
      <c r="C79" s="26">
        <v>46098</v>
      </c>
      <c r="D79" s="48">
        <v>3319</v>
      </c>
      <c r="E79" s="48">
        <v>327</v>
      </c>
      <c r="F79" s="28">
        <v>2</v>
      </c>
      <c r="G79" s="28">
        <v>1</v>
      </c>
      <c r="H79" s="28">
        <v>80700</v>
      </c>
      <c r="I79" s="28" t="s">
        <v>17</v>
      </c>
      <c r="J79" s="28">
        <v>51673028</v>
      </c>
      <c r="K79" s="28" t="s">
        <v>2379</v>
      </c>
      <c r="L79" t="s">
        <v>2384</v>
      </c>
      <c r="M79" s="37">
        <v>149900</v>
      </c>
      <c r="N79" s="28" t="s">
        <v>2826</v>
      </c>
      <c r="O79" s="28" t="s">
        <v>3212</v>
      </c>
      <c r="P79" s="28" t="s">
        <v>2826</v>
      </c>
    </row>
    <row r="80" spans="1:16" x14ac:dyDescent="0.3">
      <c r="A80" s="28" t="s">
        <v>3217</v>
      </c>
      <c r="B80" s="26">
        <v>46093</v>
      </c>
      <c r="C80" s="26">
        <v>46098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51672930</v>
      </c>
      <c r="K80" s="28" t="s">
        <v>2385</v>
      </c>
      <c r="L80" t="s">
        <v>2386</v>
      </c>
      <c r="M80" s="37">
        <v>149900</v>
      </c>
      <c r="N80" s="28" t="s">
        <v>2826</v>
      </c>
      <c r="O80" s="28" t="s">
        <v>3212</v>
      </c>
      <c r="P80" s="28" t="s">
        <v>2826</v>
      </c>
    </row>
    <row r="81" spans="1:16" x14ac:dyDescent="0.3">
      <c r="A81" s="28" t="s">
        <v>3217</v>
      </c>
      <c r="B81" s="26">
        <v>46093</v>
      </c>
      <c r="C81" s="26">
        <v>46098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51672949</v>
      </c>
      <c r="K81" s="28" t="s">
        <v>2385</v>
      </c>
      <c r="L81" t="s">
        <v>2387</v>
      </c>
      <c r="M81" s="37">
        <v>149900</v>
      </c>
      <c r="N81" s="28" t="s">
        <v>2826</v>
      </c>
      <c r="O81" s="28" t="s">
        <v>3212</v>
      </c>
      <c r="P81" s="28" t="s">
        <v>2826</v>
      </c>
    </row>
    <row r="82" spans="1:16" x14ac:dyDescent="0.3">
      <c r="A82" s="28" t="s">
        <v>3217</v>
      </c>
      <c r="B82" s="26">
        <v>46093</v>
      </c>
      <c r="C82" s="26">
        <v>46098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51672958</v>
      </c>
      <c r="K82" s="28" t="s">
        <v>2385</v>
      </c>
      <c r="L82" t="s">
        <v>2388</v>
      </c>
      <c r="M82" s="37">
        <v>149900</v>
      </c>
      <c r="N82" s="28" t="s">
        <v>2826</v>
      </c>
      <c r="O82" s="28" t="s">
        <v>3212</v>
      </c>
      <c r="P82" s="28" t="s">
        <v>2826</v>
      </c>
    </row>
    <row r="83" spans="1:16" x14ac:dyDescent="0.3">
      <c r="A83" s="28" t="s">
        <v>3217</v>
      </c>
      <c r="B83" s="26">
        <v>46093</v>
      </c>
      <c r="C83" s="26">
        <v>46098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51672967</v>
      </c>
      <c r="K83" s="28" t="s">
        <v>2385</v>
      </c>
      <c r="L83" t="s">
        <v>2389</v>
      </c>
      <c r="M83" s="37">
        <v>149900</v>
      </c>
      <c r="N83" s="28" t="s">
        <v>2826</v>
      </c>
      <c r="O83" s="28" t="s">
        <v>3212</v>
      </c>
      <c r="P83" s="28" t="s">
        <v>2826</v>
      </c>
    </row>
    <row r="84" spans="1:16" x14ac:dyDescent="0.3">
      <c r="A84" s="28" t="s">
        <v>3217</v>
      </c>
      <c r="B84" s="26">
        <v>46093</v>
      </c>
      <c r="C84" s="26">
        <v>46098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51672976</v>
      </c>
      <c r="K84" s="28" t="s">
        <v>2385</v>
      </c>
      <c r="L84" t="s">
        <v>2390</v>
      </c>
      <c r="M84" s="37">
        <v>149900</v>
      </c>
      <c r="N84" s="28" t="s">
        <v>2826</v>
      </c>
      <c r="O84" s="28" t="s">
        <v>3212</v>
      </c>
      <c r="P84" s="28" t="s">
        <v>2826</v>
      </c>
    </row>
    <row r="85" spans="1:16" x14ac:dyDescent="0.3">
      <c r="A85" s="28" t="s">
        <v>3217</v>
      </c>
      <c r="B85" s="26">
        <v>46093</v>
      </c>
      <c r="C85" s="26">
        <v>46098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52134395</v>
      </c>
      <c r="K85" s="28" t="s">
        <v>2396</v>
      </c>
      <c r="L85" t="s">
        <v>2397</v>
      </c>
      <c r="M85" s="37">
        <v>149900</v>
      </c>
      <c r="N85" s="28" t="s">
        <v>2826</v>
      </c>
      <c r="O85" s="28" t="s">
        <v>3212</v>
      </c>
      <c r="P85" s="28" t="s">
        <v>2826</v>
      </c>
    </row>
    <row r="86" spans="1:16" x14ac:dyDescent="0.3">
      <c r="A86" s="28" t="s">
        <v>3217</v>
      </c>
      <c r="B86" s="26">
        <v>46093</v>
      </c>
      <c r="C86" s="26">
        <v>46098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52134402</v>
      </c>
      <c r="K86" s="28" t="s">
        <v>2396</v>
      </c>
      <c r="L86" t="s">
        <v>2398</v>
      </c>
      <c r="M86" s="37">
        <v>149900</v>
      </c>
      <c r="N86" s="28" t="s">
        <v>2826</v>
      </c>
      <c r="O86" s="28" t="s">
        <v>3212</v>
      </c>
      <c r="P86" s="28" t="s">
        <v>2826</v>
      </c>
    </row>
    <row r="87" spans="1:16" x14ac:dyDescent="0.3">
      <c r="A87" s="28" t="s">
        <v>3217</v>
      </c>
      <c r="B87" s="26">
        <v>46093</v>
      </c>
      <c r="C87" s="26">
        <v>46098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52134411</v>
      </c>
      <c r="K87" s="28" t="s">
        <v>2396</v>
      </c>
      <c r="L87" t="s">
        <v>2399</v>
      </c>
      <c r="M87" s="37">
        <v>149900</v>
      </c>
      <c r="N87" s="28" t="s">
        <v>2826</v>
      </c>
      <c r="O87" s="28" t="s">
        <v>3212</v>
      </c>
      <c r="P87" s="28" t="s">
        <v>2826</v>
      </c>
    </row>
    <row r="88" spans="1:16" x14ac:dyDescent="0.3">
      <c r="A88" s="28" t="s">
        <v>3217</v>
      </c>
      <c r="B88" s="26">
        <v>46093</v>
      </c>
      <c r="C88" s="26">
        <v>46098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52134420</v>
      </c>
      <c r="K88" s="28" t="s">
        <v>2396</v>
      </c>
      <c r="L88" t="s">
        <v>2400</v>
      </c>
      <c r="M88" s="37">
        <v>149900</v>
      </c>
      <c r="N88" s="28" t="s">
        <v>2826</v>
      </c>
      <c r="O88" s="28" t="s">
        <v>3212</v>
      </c>
      <c r="P88" s="28" t="s">
        <v>2826</v>
      </c>
    </row>
    <row r="89" spans="1:16" x14ac:dyDescent="0.3">
      <c r="A89" s="28" t="s">
        <v>3217</v>
      </c>
      <c r="B89" s="26">
        <v>46093</v>
      </c>
      <c r="C89" s="26">
        <v>46098</v>
      </c>
      <c r="D89" s="48">
        <v>3319</v>
      </c>
      <c r="E89" s="48">
        <v>327</v>
      </c>
      <c r="F89" s="28">
        <v>2</v>
      </c>
      <c r="G89" s="28">
        <v>1</v>
      </c>
      <c r="H89" s="28">
        <v>80700</v>
      </c>
      <c r="I89" s="28" t="s">
        <v>17</v>
      </c>
      <c r="J89" s="28">
        <v>52134439</v>
      </c>
      <c r="K89" s="28" t="s">
        <v>2396</v>
      </c>
      <c r="L89" t="s">
        <v>2401</v>
      </c>
      <c r="M89" s="37">
        <v>149900</v>
      </c>
      <c r="N89" s="28" t="s">
        <v>2826</v>
      </c>
      <c r="O89" s="28" t="s">
        <v>3212</v>
      </c>
      <c r="P89" s="28" t="s">
        <v>2826</v>
      </c>
    </row>
    <row r="90" spans="1:16" x14ac:dyDescent="0.3">
      <c r="A90" s="28" t="s">
        <v>3217</v>
      </c>
      <c r="B90" s="26">
        <v>46093</v>
      </c>
      <c r="C90" s="26">
        <v>46098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22704307</v>
      </c>
      <c r="K90" s="28" t="s">
        <v>2702</v>
      </c>
      <c r="L90" t="s">
        <v>2806</v>
      </c>
      <c r="M90" s="37">
        <v>149900</v>
      </c>
      <c r="N90" s="28" t="s">
        <v>2826</v>
      </c>
      <c r="O90" s="28" t="s">
        <v>3212</v>
      </c>
      <c r="P90" s="28" t="s">
        <v>2826</v>
      </c>
    </row>
    <row r="91" spans="1:16" x14ac:dyDescent="0.3">
      <c r="A91" s="28" t="s">
        <v>3217</v>
      </c>
      <c r="B91" s="26">
        <v>46093</v>
      </c>
      <c r="C91" s="26">
        <v>46098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22704370</v>
      </c>
      <c r="K91" s="28" t="s">
        <v>2702</v>
      </c>
      <c r="L91" t="s">
        <v>2805</v>
      </c>
      <c r="M91" s="37">
        <v>149900</v>
      </c>
      <c r="N91" s="28" t="s">
        <v>2826</v>
      </c>
      <c r="O91" s="28" t="s">
        <v>3212</v>
      </c>
      <c r="P91" s="28" t="s">
        <v>2826</v>
      </c>
    </row>
    <row r="92" spans="1:16" x14ac:dyDescent="0.3">
      <c r="A92" s="28" t="s">
        <v>3217</v>
      </c>
      <c r="B92" s="26">
        <v>46093</v>
      </c>
      <c r="C92" s="26">
        <v>46098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22704389</v>
      </c>
      <c r="K92" s="28" t="s">
        <v>2702</v>
      </c>
      <c r="L92" t="s">
        <v>2807</v>
      </c>
      <c r="M92" s="37">
        <v>149900</v>
      </c>
      <c r="N92" s="28" t="s">
        <v>2826</v>
      </c>
      <c r="O92" s="28" t="s">
        <v>3212</v>
      </c>
      <c r="P92" s="28" t="s">
        <v>2826</v>
      </c>
    </row>
    <row r="93" spans="1:16" x14ac:dyDescent="0.3">
      <c r="A93" s="28" t="s">
        <v>3217</v>
      </c>
      <c r="B93" s="26">
        <v>46093</v>
      </c>
      <c r="C93" s="26">
        <v>46098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22704398</v>
      </c>
      <c r="K93" s="28" t="s">
        <v>2702</v>
      </c>
      <c r="L93" t="s">
        <v>2804</v>
      </c>
      <c r="M93" s="37">
        <v>149900</v>
      </c>
      <c r="N93" s="28" t="s">
        <v>2826</v>
      </c>
      <c r="O93" s="28" t="s">
        <v>3212</v>
      </c>
      <c r="P93" s="28" t="s">
        <v>2826</v>
      </c>
    </row>
    <row r="94" spans="1:16" x14ac:dyDescent="0.3">
      <c r="A94" s="28" t="s">
        <v>3217</v>
      </c>
      <c r="B94" s="26">
        <v>46093</v>
      </c>
      <c r="C94" s="26">
        <v>46098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22704405</v>
      </c>
      <c r="K94" s="28" t="s">
        <v>2702</v>
      </c>
      <c r="L94" t="s">
        <v>2803</v>
      </c>
      <c r="M94" s="37">
        <v>149900</v>
      </c>
      <c r="N94" s="28" t="s">
        <v>2826</v>
      </c>
      <c r="O94" s="28" t="s">
        <v>3212</v>
      </c>
      <c r="P94" s="28" t="s">
        <v>2826</v>
      </c>
    </row>
    <row r="95" spans="1:16" x14ac:dyDescent="0.3">
      <c r="A95" s="28" t="s">
        <v>3217</v>
      </c>
      <c r="B95" s="26">
        <v>46093</v>
      </c>
      <c r="C95" s="26">
        <v>46098</v>
      </c>
      <c r="D95" s="48">
        <v>3319</v>
      </c>
      <c r="E95" s="48">
        <v>327</v>
      </c>
      <c r="F95" s="28">
        <v>2</v>
      </c>
      <c r="G95" s="28">
        <v>1</v>
      </c>
      <c r="H95" s="28">
        <v>80700</v>
      </c>
      <c r="I95" s="28" t="s">
        <v>17</v>
      </c>
      <c r="J95" s="28">
        <v>51672690</v>
      </c>
      <c r="K95" s="28" t="s">
        <v>2337</v>
      </c>
      <c r="L95" t="s">
        <v>2339</v>
      </c>
      <c r="M95" s="37">
        <v>129900</v>
      </c>
      <c r="N95" s="28" t="s">
        <v>2826</v>
      </c>
      <c r="O95" s="28" t="s">
        <v>3212</v>
      </c>
      <c r="P95" s="28" t="s">
        <v>2826</v>
      </c>
    </row>
    <row r="96" spans="1:16" x14ac:dyDescent="0.3">
      <c r="A96" s="28" t="s">
        <v>3217</v>
      </c>
      <c r="B96" s="26">
        <v>46093</v>
      </c>
      <c r="C96" s="26">
        <v>46098</v>
      </c>
      <c r="D96" s="48">
        <v>3319</v>
      </c>
      <c r="E96" s="48">
        <v>327</v>
      </c>
      <c r="F96" s="28">
        <v>2</v>
      </c>
      <c r="G96" s="28">
        <v>1</v>
      </c>
      <c r="H96" s="28">
        <v>80700</v>
      </c>
      <c r="I96" s="28" t="s">
        <v>17</v>
      </c>
      <c r="J96" s="28">
        <v>51672707</v>
      </c>
      <c r="K96" s="28" t="s">
        <v>2337</v>
      </c>
      <c r="L96" t="s">
        <v>2340</v>
      </c>
      <c r="M96" s="37">
        <v>129900</v>
      </c>
      <c r="N96" s="28" t="s">
        <v>2826</v>
      </c>
      <c r="O96" s="28" t="s">
        <v>3212</v>
      </c>
      <c r="P96" s="28" t="s">
        <v>2826</v>
      </c>
    </row>
    <row r="97" spans="1:16" x14ac:dyDescent="0.3">
      <c r="A97" s="28" t="s">
        <v>3217</v>
      </c>
      <c r="B97" s="26">
        <v>46093</v>
      </c>
      <c r="C97" s="26">
        <v>46098</v>
      </c>
      <c r="D97" s="48">
        <v>3319</v>
      </c>
      <c r="E97" s="48">
        <v>327</v>
      </c>
      <c r="F97" s="28">
        <v>2</v>
      </c>
      <c r="G97" s="28">
        <v>1</v>
      </c>
      <c r="H97" s="28">
        <v>80700</v>
      </c>
      <c r="I97" s="28" t="s">
        <v>17</v>
      </c>
      <c r="J97" s="28">
        <v>51672716</v>
      </c>
      <c r="K97" s="28" t="s">
        <v>2337</v>
      </c>
      <c r="L97" t="s">
        <v>2341</v>
      </c>
      <c r="M97" s="37">
        <v>129900</v>
      </c>
      <c r="N97" s="28" t="s">
        <v>2826</v>
      </c>
      <c r="O97" s="28" t="s">
        <v>3212</v>
      </c>
      <c r="P97" s="28" t="s">
        <v>2826</v>
      </c>
    </row>
    <row r="98" spans="1:16" x14ac:dyDescent="0.3">
      <c r="A98" s="28" t="s">
        <v>3217</v>
      </c>
      <c r="B98" s="26">
        <v>46093</v>
      </c>
      <c r="C98" s="26">
        <v>46098</v>
      </c>
      <c r="D98" s="48">
        <v>3319</v>
      </c>
      <c r="E98" s="48">
        <v>327</v>
      </c>
      <c r="F98" s="28">
        <v>2</v>
      </c>
      <c r="G98" s="28">
        <v>1</v>
      </c>
      <c r="H98" s="28">
        <v>80700</v>
      </c>
      <c r="I98" s="28" t="s">
        <v>17</v>
      </c>
      <c r="J98" s="28">
        <v>51672725</v>
      </c>
      <c r="K98" s="28" t="s">
        <v>2337</v>
      </c>
      <c r="L98" t="s">
        <v>2342</v>
      </c>
      <c r="M98" s="37">
        <v>129900</v>
      </c>
      <c r="N98" s="28" t="s">
        <v>2826</v>
      </c>
      <c r="O98" s="28" t="s">
        <v>3212</v>
      </c>
      <c r="P98" s="28" t="s">
        <v>2826</v>
      </c>
    </row>
    <row r="99" spans="1:16" x14ac:dyDescent="0.3">
      <c r="A99" s="28" t="s">
        <v>3217</v>
      </c>
      <c r="B99" s="26">
        <v>46093</v>
      </c>
      <c r="C99" s="26">
        <v>46098</v>
      </c>
      <c r="D99" s="48">
        <v>3319</v>
      </c>
      <c r="E99" s="48">
        <v>327</v>
      </c>
      <c r="F99" s="28">
        <v>2</v>
      </c>
      <c r="G99" s="28">
        <v>1</v>
      </c>
      <c r="H99" s="28">
        <v>80700</v>
      </c>
      <c r="I99" s="28" t="s">
        <v>17</v>
      </c>
      <c r="J99" s="28">
        <v>51672734</v>
      </c>
      <c r="K99" s="28" t="s">
        <v>2337</v>
      </c>
      <c r="L99" t="s">
        <v>2343</v>
      </c>
      <c r="M99" s="37">
        <v>129900</v>
      </c>
      <c r="N99" s="28" t="s">
        <v>2826</v>
      </c>
      <c r="O99" s="28" t="s">
        <v>3212</v>
      </c>
      <c r="P99" s="28" t="s">
        <v>2826</v>
      </c>
    </row>
    <row r="100" spans="1:16" x14ac:dyDescent="0.3">
      <c r="A100" s="28" t="s">
        <v>3217</v>
      </c>
      <c r="B100" s="26">
        <v>46093</v>
      </c>
      <c r="C100" s="26">
        <v>46098</v>
      </c>
      <c r="D100" s="48">
        <v>3319</v>
      </c>
      <c r="E100" s="48">
        <v>327</v>
      </c>
      <c r="F100" s="28">
        <v>2</v>
      </c>
      <c r="G100" s="28">
        <v>1</v>
      </c>
      <c r="H100" s="28">
        <v>80700</v>
      </c>
      <c r="I100" s="28" t="s">
        <v>17</v>
      </c>
      <c r="J100" s="28">
        <v>51672743</v>
      </c>
      <c r="K100" s="28" t="s">
        <v>2337</v>
      </c>
      <c r="L100" t="s">
        <v>2344</v>
      </c>
      <c r="M100" s="37">
        <v>129900</v>
      </c>
      <c r="N100" s="28" t="s">
        <v>2826</v>
      </c>
      <c r="O100" s="28" t="s">
        <v>3212</v>
      </c>
      <c r="P100" s="28" t="s">
        <v>2826</v>
      </c>
    </row>
    <row r="101" spans="1:16" x14ac:dyDescent="0.3">
      <c r="A101" s="28" t="s">
        <v>3217</v>
      </c>
      <c r="B101" s="26">
        <v>46093</v>
      </c>
      <c r="C101" s="26">
        <v>46098</v>
      </c>
      <c r="D101" s="48">
        <v>3319</v>
      </c>
      <c r="E101" s="48">
        <v>327</v>
      </c>
      <c r="F101" s="28">
        <v>2</v>
      </c>
      <c r="G101" s="28">
        <v>1</v>
      </c>
      <c r="H101" s="28">
        <v>80700</v>
      </c>
      <c r="I101" s="28" t="s">
        <v>17</v>
      </c>
      <c r="J101" s="28">
        <v>51672752</v>
      </c>
      <c r="K101" s="28" t="s">
        <v>2337</v>
      </c>
      <c r="L101" t="s">
        <v>2345</v>
      </c>
      <c r="M101" s="37">
        <v>129900</v>
      </c>
      <c r="N101" s="28" t="s">
        <v>2826</v>
      </c>
      <c r="O101" s="28" t="s">
        <v>3212</v>
      </c>
      <c r="P101" s="28" t="s">
        <v>2826</v>
      </c>
    </row>
    <row r="102" spans="1:16" x14ac:dyDescent="0.3">
      <c r="A102" s="28" t="s">
        <v>3217</v>
      </c>
      <c r="B102" s="26">
        <v>46093</v>
      </c>
      <c r="C102" s="26">
        <v>46098</v>
      </c>
      <c r="D102" s="48">
        <v>3319</v>
      </c>
      <c r="E102" s="48">
        <v>327</v>
      </c>
      <c r="F102" s="28">
        <v>2</v>
      </c>
      <c r="G102" s="28">
        <v>1</v>
      </c>
      <c r="H102" s="28">
        <v>80700</v>
      </c>
      <c r="I102" s="28" t="s">
        <v>17</v>
      </c>
      <c r="J102" s="28">
        <v>51672761</v>
      </c>
      <c r="K102" s="28" t="s">
        <v>2337</v>
      </c>
      <c r="L102" t="s">
        <v>2346</v>
      </c>
      <c r="M102" s="37">
        <v>129900</v>
      </c>
      <c r="N102" s="28" t="s">
        <v>2826</v>
      </c>
      <c r="O102" s="28" t="s">
        <v>3212</v>
      </c>
      <c r="P102" s="28" t="s">
        <v>2826</v>
      </c>
    </row>
    <row r="103" spans="1:16" x14ac:dyDescent="0.3">
      <c r="A103" s="28" t="s">
        <v>3217</v>
      </c>
      <c r="B103" s="26">
        <v>46093</v>
      </c>
      <c r="C103" s="26">
        <v>46098</v>
      </c>
      <c r="D103" s="48">
        <v>3319</v>
      </c>
      <c r="E103" s="48">
        <v>327</v>
      </c>
      <c r="F103" s="28">
        <v>2</v>
      </c>
      <c r="G103" s="28">
        <v>1</v>
      </c>
      <c r="H103" s="28">
        <v>80700</v>
      </c>
      <c r="I103" s="28" t="s">
        <v>17</v>
      </c>
      <c r="J103" s="28">
        <v>51672770</v>
      </c>
      <c r="K103" s="28" t="s">
        <v>2337</v>
      </c>
      <c r="L103" t="s">
        <v>2347</v>
      </c>
      <c r="M103" s="37">
        <v>129900</v>
      </c>
      <c r="N103" s="28" t="s">
        <v>2826</v>
      </c>
      <c r="O103" s="28" t="s">
        <v>3212</v>
      </c>
      <c r="P103" s="28" t="s">
        <v>2826</v>
      </c>
    </row>
    <row r="104" spans="1:16" x14ac:dyDescent="0.3">
      <c r="A104" s="28" t="s">
        <v>3217</v>
      </c>
      <c r="B104" s="26">
        <v>46093</v>
      </c>
      <c r="C104" s="26">
        <v>46098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51672789</v>
      </c>
      <c r="K104" s="28" t="s">
        <v>2337</v>
      </c>
      <c r="L104" t="s">
        <v>2348</v>
      </c>
      <c r="M104" s="37">
        <v>129900</v>
      </c>
      <c r="N104" s="28" t="s">
        <v>2826</v>
      </c>
      <c r="O104" s="28" t="s">
        <v>3212</v>
      </c>
      <c r="P104" s="28" t="s">
        <v>2826</v>
      </c>
    </row>
    <row r="105" spans="1:16" x14ac:dyDescent="0.3">
      <c r="A105" s="28" t="s">
        <v>3217</v>
      </c>
      <c r="B105" s="26">
        <v>46093</v>
      </c>
      <c r="C105" s="26">
        <v>46098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51672798</v>
      </c>
      <c r="K105" s="28" t="s">
        <v>2337</v>
      </c>
      <c r="L105" t="s">
        <v>2349</v>
      </c>
      <c r="M105" s="37">
        <v>129900</v>
      </c>
      <c r="N105" s="28" t="s">
        <v>2826</v>
      </c>
      <c r="O105" s="28" t="s">
        <v>3212</v>
      </c>
      <c r="P105" s="28" t="s">
        <v>2826</v>
      </c>
    </row>
    <row r="106" spans="1:16" x14ac:dyDescent="0.3">
      <c r="A106" s="28" t="s">
        <v>3217</v>
      </c>
      <c r="B106" s="26">
        <v>46093</v>
      </c>
      <c r="C106" s="26">
        <v>46098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51672805</v>
      </c>
      <c r="K106" s="28" t="s">
        <v>2337</v>
      </c>
      <c r="L106" t="s">
        <v>2350</v>
      </c>
      <c r="M106" s="37">
        <v>129900</v>
      </c>
      <c r="N106" s="28" t="s">
        <v>2826</v>
      </c>
      <c r="O106" s="28" t="s">
        <v>3212</v>
      </c>
      <c r="P106" s="28" t="s">
        <v>2826</v>
      </c>
    </row>
    <row r="107" spans="1:16" x14ac:dyDescent="0.3">
      <c r="A107" s="28" t="s">
        <v>3217</v>
      </c>
      <c r="B107" s="26">
        <v>46093</v>
      </c>
      <c r="C107" s="26">
        <v>46098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51672814</v>
      </c>
      <c r="K107" s="28" t="s">
        <v>2337</v>
      </c>
      <c r="L107" t="s">
        <v>2351</v>
      </c>
      <c r="M107" s="37">
        <v>129900</v>
      </c>
      <c r="N107" s="28" t="s">
        <v>2826</v>
      </c>
      <c r="O107" s="28" t="s">
        <v>3212</v>
      </c>
      <c r="P107" s="28" t="s">
        <v>2826</v>
      </c>
    </row>
    <row r="108" spans="1:16" x14ac:dyDescent="0.3">
      <c r="A108" s="28" t="s">
        <v>3217</v>
      </c>
      <c r="B108" s="26">
        <v>46093</v>
      </c>
      <c r="C108" s="26">
        <v>46098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51672823</v>
      </c>
      <c r="K108" s="28" t="s">
        <v>2337</v>
      </c>
      <c r="L108" t="s">
        <v>2352</v>
      </c>
      <c r="M108" s="37">
        <v>129900</v>
      </c>
      <c r="N108" s="28" t="s">
        <v>2826</v>
      </c>
      <c r="O108" s="28" t="s">
        <v>3212</v>
      </c>
      <c r="P108" s="28" t="s">
        <v>2826</v>
      </c>
    </row>
    <row r="109" spans="1:16" x14ac:dyDescent="0.3">
      <c r="A109" s="28" t="s">
        <v>3217</v>
      </c>
      <c r="B109" s="26">
        <v>46093</v>
      </c>
      <c r="C109" s="26">
        <v>46098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51672832</v>
      </c>
      <c r="K109" s="28" t="s">
        <v>2337</v>
      </c>
      <c r="L109" t="s">
        <v>2353</v>
      </c>
      <c r="M109" s="37">
        <v>129900</v>
      </c>
      <c r="N109" s="28" t="s">
        <v>2826</v>
      </c>
      <c r="O109" s="28" t="s">
        <v>3212</v>
      </c>
      <c r="P109" s="28" t="s">
        <v>2826</v>
      </c>
    </row>
    <row r="110" spans="1:16" x14ac:dyDescent="0.3">
      <c r="A110" s="28" t="s">
        <v>3217</v>
      </c>
      <c r="B110" s="26">
        <v>46093</v>
      </c>
      <c r="C110" s="26">
        <v>46098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51672841</v>
      </c>
      <c r="K110" s="28" t="s">
        <v>2337</v>
      </c>
      <c r="L110" t="s">
        <v>2338</v>
      </c>
      <c r="M110" s="37">
        <v>129900</v>
      </c>
      <c r="N110" s="28" t="s">
        <v>2826</v>
      </c>
      <c r="O110" s="28" t="s">
        <v>3212</v>
      </c>
      <c r="P110" s="28" t="s">
        <v>2826</v>
      </c>
    </row>
    <row r="111" spans="1:16" x14ac:dyDescent="0.3">
      <c r="A111" s="28" t="s">
        <v>3217</v>
      </c>
      <c r="B111" s="26">
        <v>46093</v>
      </c>
      <c r="C111" s="26">
        <v>46098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51672618</v>
      </c>
      <c r="K111" s="28" t="s">
        <v>2354</v>
      </c>
      <c r="L111" t="s">
        <v>2355</v>
      </c>
      <c r="M111" s="37">
        <v>129900</v>
      </c>
      <c r="N111" s="28" t="s">
        <v>2826</v>
      </c>
      <c r="O111" s="28" t="s">
        <v>3212</v>
      </c>
      <c r="P111" s="28" t="s">
        <v>2826</v>
      </c>
    </row>
    <row r="112" spans="1:16" x14ac:dyDescent="0.3">
      <c r="A112" s="28" t="s">
        <v>3217</v>
      </c>
      <c r="B112" s="26">
        <v>46093</v>
      </c>
      <c r="C112" s="26">
        <v>46098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51672627</v>
      </c>
      <c r="K112" s="28" t="s">
        <v>2354</v>
      </c>
      <c r="L112" t="s">
        <v>2356</v>
      </c>
      <c r="M112" s="37">
        <v>129900</v>
      </c>
      <c r="N112" s="28" t="s">
        <v>2826</v>
      </c>
      <c r="O112" s="28" t="s">
        <v>3212</v>
      </c>
      <c r="P112" s="28" t="s">
        <v>2826</v>
      </c>
    </row>
    <row r="113" spans="1:16" x14ac:dyDescent="0.3">
      <c r="A113" s="28" t="s">
        <v>3217</v>
      </c>
      <c r="B113" s="26">
        <v>46093</v>
      </c>
      <c r="C113" s="26">
        <v>46098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51672636</v>
      </c>
      <c r="K113" s="28" t="s">
        <v>2354</v>
      </c>
      <c r="L113" t="s">
        <v>2357</v>
      </c>
      <c r="M113" s="37">
        <v>129900</v>
      </c>
      <c r="N113" s="28" t="s">
        <v>2826</v>
      </c>
      <c r="O113" s="28" t="s">
        <v>3212</v>
      </c>
      <c r="P113" s="28" t="s">
        <v>2826</v>
      </c>
    </row>
    <row r="114" spans="1:16" x14ac:dyDescent="0.3">
      <c r="A114" s="28" t="s">
        <v>3217</v>
      </c>
      <c r="B114" s="26">
        <v>46093</v>
      </c>
      <c r="C114" s="26">
        <v>46098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51672645</v>
      </c>
      <c r="K114" s="28" t="s">
        <v>2354</v>
      </c>
      <c r="L114" t="s">
        <v>2358</v>
      </c>
      <c r="M114" s="37">
        <v>129900</v>
      </c>
      <c r="N114" s="28" t="s">
        <v>2826</v>
      </c>
      <c r="O114" s="28" t="s">
        <v>3212</v>
      </c>
      <c r="P114" s="28" t="s">
        <v>2826</v>
      </c>
    </row>
    <row r="115" spans="1:16" x14ac:dyDescent="0.3">
      <c r="A115" s="28" t="s">
        <v>3217</v>
      </c>
      <c r="B115" s="26">
        <v>46093</v>
      </c>
      <c r="C115" s="26">
        <v>46098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51672654</v>
      </c>
      <c r="K115" s="28" t="s">
        <v>2354</v>
      </c>
      <c r="L115" t="s">
        <v>2359</v>
      </c>
      <c r="M115" s="37">
        <v>129900</v>
      </c>
      <c r="N115" s="28" t="s">
        <v>2826</v>
      </c>
      <c r="O115" s="28" t="s">
        <v>3212</v>
      </c>
      <c r="P115" s="28" t="s">
        <v>2826</v>
      </c>
    </row>
    <row r="116" spans="1:16" x14ac:dyDescent="0.3">
      <c r="A116" s="28" t="s">
        <v>3217</v>
      </c>
      <c r="B116" s="26">
        <v>46093</v>
      </c>
      <c r="C116" s="26">
        <v>46098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51672663</v>
      </c>
      <c r="K116" s="28" t="s">
        <v>2354</v>
      </c>
      <c r="L116" t="s">
        <v>2360</v>
      </c>
      <c r="M116" s="37">
        <v>129900</v>
      </c>
      <c r="N116" s="28" t="s">
        <v>2826</v>
      </c>
      <c r="O116" s="28" t="s">
        <v>3212</v>
      </c>
      <c r="P116" s="28" t="s">
        <v>2826</v>
      </c>
    </row>
    <row r="117" spans="1:16" x14ac:dyDescent="0.3">
      <c r="A117" s="28" t="s">
        <v>3217</v>
      </c>
      <c r="B117" s="26">
        <v>46093</v>
      </c>
      <c r="C117" s="26">
        <v>46098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51672672</v>
      </c>
      <c r="K117" s="28" t="s">
        <v>2354</v>
      </c>
      <c r="L117" t="s">
        <v>2361</v>
      </c>
      <c r="M117" s="37">
        <v>129900</v>
      </c>
      <c r="N117" s="28" t="s">
        <v>2826</v>
      </c>
      <c r="O117" s="28" t="s">
        <v>3212</v>
      </c>
      <c r="P117" s="28" t="s">
        <v>2826</v>
      </c>
    </row>
    <row r="118" spans="1:16" x14ac:dyDescent="0.3">
      <c r="A118" s="28" t="s">
        <v>3217</v>
      </c>
      <c r="B118" s="26">
        <v>46093</v>
      </c>
      <c r="C118" s="26">
        <v>46098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51672681</v>
      </c>
      <c r="K118" s="28" t="s">
        <v>2354</v>
      </c>
      <c r="L118" t="s">
        <v>2362</v>
      </c>
      <c r="M118" s="37">
        <v>129900</v>
      </c>
      <c r="N118" s="28" t="s">
        <v>2826</v>
      </c>
      <c r="O118" s="28" t="s">
        <v>3212</v>
      </c>
      <c r="P118" s="28" t="s">
        <v>2826</v>
      </c>
    </row>
    <row r="119" spans="1:16" x14ac:dyDescent="0.3">
      <c r="A119" s="28" t="s">
        <v>3217</v>
      </c>
      <c r="B119" s="26">
        <v>46093</v>
      </c>
      <c r="C119" s="26">
        <v>46098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51672850</v>
      </c>
      <c r="K119" s="28" t="s">
        <v>2363</v>
      </c>
      <c r="L119" t="s">
        <v>2364</v>
      </c>
      <c r="M119" s="37">
        <v>129900</v>
      </c>
      <c r="N119" s="28" t="s">
        <v>2826</v>
      </c>
      <c r="O119" s="28" t="s">
        <v>3212</v>
      </c>
      <c r="P119" s="28" t="s">
        <v>2826</v>
      </c>
    </row>
    <row r="120" spans="1:16" x14ac:dyDescent="0.3">
      <c r="A120" s="28" t="s">
        <v>3217</v>
      </c>
      <c r="B120" s="26">
        <v>46093</v>
      </c>
      <c r="C120" s="26">
        <v>46098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51672869</v>
      </c>
      <c r="K120" s="28" t="s">
        <v>2363</v>
      </c>
      <c r="L120" t="s">
        <v>2365</v>
      </c>
      <c r="M120" s="37">
        <v>129900</v>
      </c>
      <c r="N120" s="28" t="s">
        <v>2826</v>
      </c>
      <c r="O120" s="28" t="s">
        <v>3212</v>
      </c>
      <c r="P120" s="28" t="s">
        <v>2826</v>
      </c>
    </row>
    <row r="121" spans="1:16" x14ac:dyDescent="0.3">
      <c r="A121" s="28" t="s">
        <v>3217</v>
      </c>
      <c r="B121" s="26">
        <v>46093</v>
      </c>
      <c r="C121" s="26">
        <v>46098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51672878</v>
      </c>
      <c r="K121" s="28" t="s">
        <v>2363</v>
      </c>
      <c r="L121" t="s">
        <v>2366</v>
      </c>
      <c r="M121" s="37">
        <v>129900</v>
      </c>
      <c r="N121" s="28" t="s">
        <v>2826</v>
      </c>
      <c r="O121" s="28" t="s">
        <v>3212</v>
      </c>
      <c r="P121" s="28" t="s">
        <v>2826</v>
      </c>
    </row>
    <row r="122" spans="1:16" x14ac:dyDescent="0.3">
      <c r="A122" s="28" t="s">
        <v>3217</v>
      </c>
      <c r="B122" s="26">
        <v>46093</v>
      </c>
      <c r="C122" s="26">
        <v>46098</v>
      </c>
      <c r="D122" s="48">
        <v>3319</v>
      </c>
      <c r="E122" s="48">
        <v>327</v>
      </c>
      <c r="F122" s="28">
        <v>2</v>
      </c>
      <c r="G122" s="28">
        <v>1</v>
      </c>
      <c r="H122" s="28">
        <v>80700</v>
      </c>
      <c r="I122" s="28" t="s">
        <v>17</v>
      </c>
      <c r="J122" s="28">
        <v>51672887</v>
      </c>
      <c r="K122" s="28" t="s">
        <v>2363</v>
      </c>
      <c r="L122" t="s">
        <v>2367</v>
      </c>
      <c r="M122" s="37">
        <v>129900</v>
      </c>
      <c r="N122" s="28" t="s">
        <v>2826</v>
      </c>
      <c r="O122" s="28" t="s">
        <v>3212</v>
      </c>
      <c r="P122" s="28" t="s">
        <v>2826</v>
      </c>
    </row>
    <row r="123" spans="1:16" x14ac:dyDescent="0.3">
      <c r="A123" s="28" t="s">
        <v>3217</v>
      </c>
      <c r="B123" s="26">
        <v>46093</v>
      </c>
      <c r="C123" s="26">
        <v>46098</v>
      </c>
      <c r="D123" s="48">
        <v>3319</v>
      </c>
      <c r="E123" s="48">
        <v>327</v>
      </c>
      <c r="F123" s="28">
        <v>2</v>
      </c>
      <c r="G123" s="28">
        <v>1</v>
      </c>
      <c r="H123" s="28">
        <v>80700</v>
      </c>
      <c r="I123" s="28" t="s">
        <v>17</v>
      </c>
      <c r="J123" s="28">
        <v>51672896</v>
      </c>
      <c r="K123" s="28" t="s">
        <v>2391</v>
      </c>
      <c r="L123" t="s">
        <v>2392</v>
      </c>
      <c r="M123" s="37">
        <v>129900</v>
      </c>
      <c r="N123" s="28" t="s">
        <v>2826</v>
      </c>
      <c r="O123" s="28" t="s">
        <v>3212</v>
      </c>
      <c r="P123" s="28" t="s">
        <v>2826</v>
      </c>
    </row>
    <row r="124" spans="1:16" x14ac:dyDescent="0.3">
      <c r="A124" s="28" t="s">
        <v>3217</v>
      </c>
      <c r="B124" s="26">
        <v>46093</v>
      </c>
      <c r="C124" s="26">
        <v>46098</v>
      </c>
      <c r="D124" s="48">
        <v>3319</v>
      </c>
      <c r="E124" s="48">
        <v>327</v>
      </c>
      <c r="F124" s="28">
        <v>2</v>
      </c>
      <c r="G124" s="28">
        <v>1</v>
      </c>
      <c r="H124" s="28">
        <v>80700</v>
      </c>
      <c r="I124" s="28" t="s">
        <v>17</v>
      </c>
      <c r="J124" s="28">
        <v>51672903</v>
      </c>
      <c r="K124" s="28" t="s">
        <v>2391</v>
      </c>
      <c r="L124" t="s">
        <v>2393</v>
      </c>
      <c r="M124" s="37">
        <v>129900</v>
      </c>
      <c r="N124" s="28" t="s">
        <v>2826</v>
      </c>
      <c r="O124" s="28" t="s">
        <v>3212</v>
      </c>
      <c r="P124" s="28" t="s">
        <v>2826</v>
      </c>
    </row>
    <row r="125" spans="1:16" x14ac:dyDescent="0.3">
      <c r="A125" s="28" t="s">
        <v>3217</v>
      </c>
      <c r="B125" s="26">
        <v>46093</v>
      </c>
      <c r="C125" s="26">
        <v>46098</v>
      </c>
      <c r="D125" s="48">
        <v>3319</v>
      </c>
      <c r="E125" s="48">
        <v>327</v>
      </c>
      <c r="F125" s="28">
        <v>2</v>
      </c>
      <c r="G125" s="28">
        <v>1</v>
      </c>
      <c r="H125" s="28">
        <v>80700</v>
      </c>
      <c r="I125" s="28" t="s">
        <v>17</v>
      </c>
      <c r="J125" s="28">
        <v>51672912</v>
      </c>
      <c r="K125" s="28" t="s">
        <v>2391</v>
      </c>
      <c r="L125" t="s">
        <v>2394</v>
      </c>
      <c r="M125" s="37">
        <v>129900</v>
      </c>
      <c r="N125" s="28" t="s">
        <v>2826</v>
      </c>
      <c r="O125" s="28" t="s">
        <v>3212</v>
      </c>
      <c r="P125" s="28" t="s">
        <v>2826</v>
      </c>
    </row>
    <row r="126" spans="1:16" x14ac:dyDescent="0.3">
      <c r="A126" s="28" t="s">
        <v>3217</v>
      </c>
      <c r="B126" s="26">
        <v>46093</v>
      </c>
      <c r="C126" s="26">
        <v>46098</v>
      </c>
      <c r="D126" s="48">
        <v>3319</v>
      </c>
      <c r="E126" s="48">
        <v>327</v>
      </c>
      <c r="F126" s="28">
        <v>2</v>
      </c>
      <c r="G126" s="28">
        <v>1</v>
      </c>
      <c r="H126" s="28">
        <v>80700</v>
      </c>
      <c r="I126" s="28" t="s">
        <v>17</v>
      </c>
      <c r="J126" s="28">
        <v>51672921</v>
      </c>
      <c r="K126" s="28" t="s">
        <v>2391</v>
      </c>
      <c r="L126" t="s">
        <v>2395</v>
      </c>
      <c r="M126" s="37">
        <v>129900</v>
      </c>
      <c r="N126" s="28" t="s">
        <v>2826</v>
      </c>
      <c r="O126" s="28" t="s">
        <v>3212</v>
      </c>
      <c r="P126" s="28" t="s">
        <v>2826</v>
      </c>
    </row>
    <row r="127" spans="1:16" x14ac:dyDescent="0.3">
      <c r="A127" s="28" t="s">
        <v>3217</v>
      </c>
      <c r="B127" s="26">
        <v>46093</v>
      </c>
      <c r="C127" s="26">
        <v>46098</v>
      </c>
      <c r="D127" s="48">
        <v>3319</v>
      </c>
      <c r="E127" s="48">
        <v>327</v>
      </c>
      <c r="F127" s="28">
        <v>2</v>
      </c>
      <c r="G127" s="28">
        <v>1</v>
      </c>
      <c r="H127" s="28">
        <v>80700</v>
      </c>
      <c r="I127" s="28" t="s">
        <v>17</v>
      </c>
      <c r="J127" s="28">
        <v>52703458</v>
      </c>
      <c r="K127" s="28" t="s">
        <v>2627</v>
      </c>
      <c r="L127" t="s">
        <v>2628</v>
      </c>
      <c r="M127" s="37">
        <v>129900</v>
      </c>
      <c r="N127" s="28" t="s">
        <v>2826</v>
      </c>
      <c r="O127" s="28" t="s">
        <v>3212</v>
      </c>
      <c r="P127" s="28" t="s">
        <v>2826</v>
      </c>
    </row>
    <row r="128" spans="1:16" x14ac:dyDescent="0.3">
      <c r="A128" s="28" t="s">
        <v>3217</v>
      </c>
      <c r="B128" s="26">
        <v>46093</v>
      </c>
      <c r="C128" s="26">
        <v>46098</v>
      </c>
      <c r="D128" s="48">
        <v>3319</v>
      </c>
      <c r="E128" s="48">
        <v>327</v>
      </c>
      <c r="F128" s="28">
        <v>2</v>
      </c>
      <c r="G128" s="28">
        <v>1</v>
      </c>
      <c r="H128" s="28">
        <v>80700</v>
      </c>
      <c r="I128" s="28" t="s">
        <v>17</v>
      </c>
      <c r="J128" s="28">
        <v>52703449</v>
      </c>
      <c r="K128" s="28" t="s">
        <v>2627</v>
      </c>
      <c r="L128" t="s">
        <v>2631</v>
      </c>
      <c r="M128" s="37">
        <v>129900</v>
      </c>
      <c r="N128" s="28" t="s">
        <v>2826</v>
      </c>
      <c r="O128" s="28" t="s">
        <v>3212</v>
      </c>
      <c r="P128" s="28" t="s">
        <v>2826</v>
      </c>
    </row>
    <row r="129" spans="1:16" x14ac:dyDescent="0.3">
      <c r="A129" s="28" t="s">
        <v>3217</v>
      </c>
      <c r="B129" s="26">
        <v>46093</v>
      </c>
      <c r="C129" s="26">
        <v>46098</v>
      </c>
      <c r="D129" s="48">
        <v>3319</v>
      </c>
      <c r="E129" s="48">
        <v>327</v>
      </c>
      <c r="F129" s="28">
        <v>2</v>
      </c>
      <c r="G129" s="28">
        <v>1</v>
      </c>
      <c r="H129" s="28">
        <v>80700</v>
      </c>
      <c r="I129" s="28" t="s">
        <v>17</v>
      </c>
      <c r="J129" s="28">
        <v>52703467</v>
      </c>
      <c r="K129" s="28" t="s">
        <v>2627</v>
      </c>
      <c r="L129" t="s">
        <v>2632</v>
      </c>
      <c r="M129" s="37">
        <v>129900</v>
      </c>
      <c r="N129" s="28" t="s">
        <v>2826</v>
      </c>
      <c r="O129" s="28" t="s">
        <v>3212</v>
      </c>
      <c r="P129" s="28" t="s">
        <v>2826</v>
      </c>
    </row>
    <row r="130" spans="1:16" x14ac:dyDescent="0.3">
      <c r="A130" s="28" t="s">
        <v>3217</v>
      </c>
      <c r="B130" s="26">
        <v>46093</v>
      </c>
      <c r="C130" s="26">
        <v>46098</v>
      </c>
      <c r="D130" s="48">
        <v>3319</v>
      </c>
      <c r="E130" s="48">
        <v>327</v>
      </c>
      <c r="F130" s="28">
        <v>2</v>
      </c>
      <c r="G130" s="28">
        <v>1</v>
      </c>
      <c r="H130" s="28">
        <v>80700</v>
      </c>
      <c r="I130" s="28" t="s">
        <v>17</v>
      </c>
      <c r="J130" s="28">
        <v>52703430</v>
      </c>
      <c r="K130" s="28" t="s">
        <v>2627</v>
      </c>
      <c r="L130" t="s">
        <v>2640</v>
      </c>
      <c r="M130" s="37">
        <v>129900</v>
      </c>
      <c r="N130" s="28" t="s">
        <v>2826</v>
      </c>
      <c r="O130" s="28" t="s">
        <v>3212</v>
      </c>
      <c r="P130" s="28" t="s">
        <v>2826</v>
      </c>
    </row>
    <row r="131" spans="1:16" x14ac:dyDescent="0.3">
      <c r="A131" s="28" t="s">
        <v>3217</v>
      </c>
      <c r="B131" s="26">
        <v>46093</v>
      </c>
      <c r="C131" s="26">
        <v>46098</v>
      </c>
      <c r="D131" s="48">
        <v>3319</v>
      </c>
      <c r="E131" s="48">
        <v>327</v>
      </c>
      <c r="F131" s="28">
        <v>2</v>
      </c>
      <c r="G131" s="28">
        <v>1</v>
      </c>
      <c r="H131" s="28">
        <v>80700</v>
      </c>
      <c r="I131" s="28" t="s">
        <v>17</v>
      </c>
      <c r="J131" s="28">
        <v>53692870</v>
      </c>
      <c r="K131" s="28" t="s">
        <v>2629</v>
      </c>
      <c r="L131" t="s">
        <v>2637</v>
      </c>
      <c r="M131" s="37">
        <v>149900</v>
      </c>
      <c r="N131" s="28" t="s">
        <v>2826</v>
      </c>
      <c r="O131" s="28" t="s">
        <v>3212</v>
      </c>
      <c r="P131" s="28" t="s">
        <v>2826</v>
      </c>
    </row>
    <row r="132" spans="1:16" x14ac:dyDescent="0.3">
      <c r="A132" s="28" t="s">
        <v>3217</v>
      </c>
      <c r="B132" s="26">
        <v>46093</v>
      </c>
      <c r="C132" s="26">
        <v>46098</v>
      </c>
      <c r="D132" s="48">
        <v>3319</v>
      </c>
      <c r="E132" s="48">
        <v>327</v>
      </c>
      <c r="F132" s="28">
        <v>2</v>
      </c>
      <c r="G132" s="28">
        <v>1</v>
      </c>
      <c r="H132" s="28">
        <v>80700</v>
      </c>
      <c r="I132" s="28" t="s">
        <v>17</v>
      </c>
      <c r="J132" s="28">
        <v>53692889</v>
      </c>
      <c r="K132" s="28" t="s">
        <v>2629</v>
      </c>
      <c r="L132" t="s">
        <v>2638</v>
      </c>
      <c r="M132" s="37">
        <v>149900</v>
      </c>
      <c r="N132" s="28" t="s">
        <v>2826</v>
      </c>
      <c r="O132" s="28" t="s">
        <v>3212</v>
      </c>
      <c r="P132" s="28" t="s">
        <v>2826</v>
      </c>
    </row>
    <row r="133" spans="1:16" x14ac:dyDescent="0.3">
      <c r="A133" s="28" t="s">
        <v>3217</v>
      </c>
      <c r="B133" s="26">
        <v>46093</v>
      </c>
      <c r="C133" s="26">
        <v>46098</v>
      </c>
      <c r="D133" s="48">
        <v>3319</v>
      </c>
      <c r="E133" s="48">
        <v>327</v>
      </c>
      <c r="F133" s="28">
        <v>2</v>
      </c>
      <c r="G133" s="28">
        <v>1</v>
      </c>
      <c r="H133" s="28">
        <v>80700</v>
      </c>
      <c r="I133" s="28" t="s">
        <v>17</v>
      </c>
      <c r="J133" s="28">
        <v>53692861</v>
      </c>
      <c r="K133" s="28" t="s">
        <v>2629</v>
      </c>
      <c r="L133" t="s">
        <v>2639</v>
      </c>
      <c r="M133" s="37">
        <v>149900</v>
      </c>
      <c r="N133" s="28" t="s">
        <v>2826</v>
      </c>
      <c r="O133" s="28" t="s">
        <v>3212</v>
      </c>
      <c r="P133" s="28" t="s">
        <v>2826</v>
      </c>
    </row>
    <row r="134" spans="1:16" x14ac:dyDescent="0.3">
      <c r="A134" s="28" t="s">
        <v>3217</v>
      </c>
      <c r="B134" s="26">
        <v>46093</v>
      </c>
      <c r="C134" s="26">
        <v>46098</v>
      </c>
      <c r="D134" s="48">
        <v>3319</v>
      </c>
      <c r="E134" s="48">
        <v>327</v>
      </c>
      <c r="F134" s="28">
        <v>2</v>
      </c>
      <c r="G134" s="28">
        <v>1</v>
      </c>
      <c r="H134" s="28">
        <v>80700</v>
      </c>
      <c r="I134" s="28" t="s">
        <v>17</v>
      </c>
      <c r="J134" s="28">
        <v>53692898</v>
      </c>
      <c r="K134" s="28" t="s">
        <v>2629</v>
      </c>
      <c r="L134" t="s">
        <v>2630</v>
      </c>
      <c r="M134" s="37">
        <v>149900</v>
      </c>
      <c r="N134" s="28" t="s">
        <v>2826</v>
      </c>
      <c r="O134" s="28" t="s">
        <v>3212</v>
      </c>
      <c r="P134" s="28" t="s">
        <v>2826</v>
      </c>
    </row>
    <row r="135" spans="1:16" x14ac:dyDescent="0.3">
      <c r="A135" s="28" t="s">
        <v>3217</v>
      </c>
      <c r="B135" s="26">
        <v>46093</v>
      </c>
      <c r="C135" s="26">
        <v>46098</v>
      </c>
      <c r="D135" s="48">
        <v>3319</v>
      </c>
      <c r="E135" s="48">
        <v>327</v>
      </c>
      <c r="F135" s="28">
        <v>2</v>
      </c>
      <c r="G135" s="28">
        <v>1</v>
      </c>
      <c r="H135" s="28">
        <v>81778</v>
      </c>
      <c r="I135" s="28" t="s">
        <v>17</v>
      </c>
      <c r="J135" s="28">
        <v>54568226</v>
      </c>
      <c r="K135" s="28" t="s">
        <v>1774</v>
      </c>
      <c r="L135" t="s">
        <v>2641</v>
      </c>
      <c r="M135" s="37">
        <v>149900</v>
      </c>
      <c r="N135" s="28" t="s">
        <v>2826</v>
      </c>
      <c r="O135" s="28" t="s">
        <v>3212</v>
      </c>
      <c r="P135" s="28" t="s">
        <v>2826</v>
      </c>
    </row>
    <row r="136" spans="1:16" x14ac:dyDescent="0.3">
      <c r="A136" s="28" t="s">
        <v>3217</v>
      </c>
      <c r="B136" s="26">
        <v>46093</v>
      </c>
      <c r="C136" s="26">
        <v>46098</v>
      </c>
      <c r="D136" s="48">
        <v>3319</v>
      </c>
      <c r="E136" s="48">
        <v>327</v>
      </c>
      <c r="F136" s="28">
        <v>2</v>
      </c>
      <c r="G136" s="28">
        <v>1</v>
      </c>
      <c r="H136" s="28">
        <v>81778</v>
      </c>
      <c r="I136" s="28" t="s">
        <v>17</v>
      </c>
      <c r="J136" s="28">
        <v>54568217</v>
      </c>
      <c r="K136" s="28" t="s">
        <v>1774</v>
      </c>
      <c r="L136" t="s">
        <v>2642</v>
      </c>
      <c r="M136" s="37">
        <v>149900</v>
      </c>
      <c r="N136" s="28" t="s">
        <v>2826</v>
      </c>
      <c r="O136" s="28" t="s">
        <v>3212</v>
      </c>
      <c r="P136" s="28" t="s">
        <v>2826</v>
      </c>
    </row>
    <row r="137" spans="1:16" x14ac:dyDescent="0.3">
      <c r="A137" s="28" t="s">
        <v>3217</v>
      </c>
      <c r="B137" s="26">
        <v>46093</v>
      </c>
      <c r="C137" s="26">
        <v>46098</v>
      </c>
      <c r="D137" s="48">
        <v>3319</v>
      </c>
      <c r="E137" s="48">
        <v>327</v>
      </c>
      <c r="F137" s="28">
        <v>2</v>
      </c>
      <c r="G137" s="28">
        <v>1</v>
      </c>
      <c r="H137" s="28">
        <v>81778</v>
      </c>
      <c r="I137" s="28" t="s">
        <v>17</v>
      </c>
      <c r="J137" s="28">
        <v>54568235</v>
      </c>
      <c r="K137" s="28" t="s">
        <v>1774</v>
      </c>
      <c r="L137" t="s">
        <v>2643</v>
      </c>
      <c r="M137" s="37">
        <v>149900</v>
      </c>
      <c r="N137" s="28" t="s">
        <v>2826</v>
      </c>
      <c r="O137" s="28" t="s">
        <v>3212</v>
      </c>
      <c r="P137" s="28" t="s">
        <v>2826</v>
      </c>
    </row>
    <row r="138" spans="1:16" x14ac:dyDescent="0.3">
      <c r="A138" s="28" t="s">
        <v>3217</v>
      </c>
      <c r="B138" s="26">
        <v>46093</v>
      </c>
      <c r="C138" s="26">
        <v>46098</v>
      </c>
      <c r="D138" s="48">
        <v>3319</v>
      </c>
      <c r="E138" s="48">
        <v>327</v>
      </c>
      <c r="F138" s="28">
        <v>2</v>
      </c>
      <c r="G138" s="28">
        <v>1</v>
      </c>
      <c r="H138" s="28">
        <v>81778</v>
      </c>
      <c r="I138" s="28" t="s">
        <v>17</v>
      </c>
      <c r="J138" s="28">
        <v>54568244</v>
      </c>
      <c r="K138" s="28" t="s">
        <v>1774</v>
      </c>
      <c r="L138" t="s">
        <v>2644</v>
      </c>
      <c r="M138" s="37">
        <v>149900</v>
      </c>
      <c r="N138" s="28" t="s">
        <v>2826</v>
      </c>
      <c r="O138" s="28" t="s">
        <v>3212</v>
      </c>
      <c r="P138" s="28" t="s">
        <v>2826</v>
      </c>
    </row>
    <row r="139" spans="1:16" x14ac:dyDescent="0.3">
      <c r="A139" s="28" t="s">
        <v>3217</v>
      </c>
      <c r="B139" s="26">
        <v>46093</v>
      </c>
      <c r="C139" s="26">
        <v>46098</v>
      </c>
      <c r="D139" s="48">
        <v>3319</v>
      </c>
      <c r="E139" s="48">
        <v>327</v>
      </c>
      <c r="F139" s="28">
        <v>2</v>
      </c>
      <c r="G139" s="28">
        <v>1</v>
      </c>
      <c r="H139" s="28">
        <v>81778</v>
      </c>
      <c r="I139" s="28" t="s">
        <v>17</v>
      </c>
      <c r="J139" s="28">
        <v>54568253</v>
      </c>
      <c r="K139" s="28" t="s">
        <v>1774</v>
      </c>
      <c r="L139" t="s">
        <v>2645</v>
      </c>
      <c r="M139" s="37">
        <v>149900</v>
      </c>
      <c r="N139" s="28" t="s">
        <v>2826</v>
      </c>
      <c r="O139" s="28" t="s">
        <v>3212</v>
      </c>
      <c r="P139" s="28" t="s">
        <v>2826</v>
      </c>
    </row>
    <row r="140" spans="1:16" x14ac:dyDescent="0.3">
      <c r="A140" s="28" t="s">
        <v>3217</v>
      </c>
      <c r="B140" s="26">
        <v>46093</v>
      </c>
      <c r="C140" s="26">
        <v>46098</v>
      </c>
      <c r="D140" s="48">
        <v>3319</v>
      </c>
      <c r="E140" s="48">
        <v>327</v>
      </c>
      <c r="F140" s="28">
        <v>2</v>
      </c>
      <c r="G140" s="28">
        <v>1</v>
      </c>
      <c r="H140" s="28">
        <v>81778</v>
      </c>
      <c r="I140" s="28" t="s">
        <v>17</v>
      </c>
      <c r="J140" s="28">
        <v>54568262</v>
      </c>
      <c r="K140" s="28" t="s">
        <v>1774</v>
      </c>
      <c r="L140" t="s">
        <v>2646</v>
      </c>
      <c r="M140" s="37">
        <v>149900</v>
      </c>
      <c r="N140" s="28" t="s">
        <v>2826</v>
      </c>
      <c r="O140" s="28" t="s">
        <v>3212</v>
      </c>
      <c r="P140" s="28" t="s">
        <v>2826</v>
      </c>
    </row>
    <row r="141" spans="1:16" x14ac:dyDescent="0.3">
      <c r="A141" s="28" t="s">
        <v>3217</v>
      </c>
      <c r="B141" s="26">
        <v>46093</v>
      </c>
      <c r="C141" s="26">
        <v>46098</v>
      </c>
      <c r="D141" s="48">
        <v>3319</v>
      </c>
      <c r="E141" s="48">
        <v>327</v>
      </c>
      <c r="F141" s="28">
        <v>2</v>
      </c>
      <c r="G141" s="28">
        <v>1</v>
      </c>
      <c r="H141" s="28">
        <v>81778</v>
      </c>
      <c r="I141" s="28" t="s">
        <v>17</v>
      </c>
      <c r="J141" s="28">
        <v>54568280</v>
      </c>
      <c r="K141" s="28" t="s">
        <v>1774</v>
      </c>
      <c r="L141" t="s">
        <v>2647</v>
      </c>
      <c r="M141" s="37">
        <v>149900</v>
      </c>
      <c r="N141" s="28" t="s">
        <v>2826</v>
      </c>
      <c r="O141" s="28" t="s">
        <v>3212</v>
      </c>
      <c r="P141" s="28" t="s">
        <v>2826</v>
      </c>
    </row>
    <row r="142" spans="1:16" x14ac:dyDescent="0.3">
      <c r="A142" s="28" t="s">
        <v>3217</v>
      </c>
      <c r="B142" s="26">
        <v>46093</v>
      </c>
      <c r="C142" s="26">
        <v>46098</v>
      </c>
      <c r="D142" s="48">
        <v>3319</v>
      </c>
      <c r="E142" s="48">
        <v>327</v>
      </c>
      <c r="F142" s="28">
        <v>2</v>
      </c>
      <c r="G142" s="28">
        <v>1</v>
      </c>
      <c r="H142" s="28">
        <v>81778</v>
      </c>
      <c r="I142" s="28" t="s">
        <v>17</v>
      </c>
      <c r="J142" s="28">
        <v>54568299</v>
      </c>
      <c r="K142" s="28" t="s">
        <v>1774</v>
      </c>
      <c r="L142" t="s">
        <v>2648</v>
      </c>
      <c r="M142" s="37">
        <v>149900</v>
      </c>
      <c r="N142" s="28" t="s">
        <v>2826</v>
      </c>
      <c r="O142" s="28" t="s">
        <v>3212</v>
      </c>
      <c r="P142" s="28" t="s">
        <v>2826</v>
      </c>
    </row>
    <row r="143" spans="1:16" x14ac:dyDescent="0.3">
      <c r="A143" s="28" t="s">
        <v>3217</v>
      </c>
      <c r="B143" s="26">
        <v>46093</v>
      </c>
      <c r="C143" s="26">
        <v>46098</v>
      </c>
      <c r="D143" s="48">
        <v>3319</v>
      </c>
      <c r="E143" s="48">
        <v>327</v>
      </c>
      <c r="F143" s="28">
        <v>2</v>
      </c>
      <c r="G143" s="28">
        <v>1</v>
      </c>
      <c r="H143" s="28">
        <v>81778</v>
      </c>
      <c r="I143" s="28" t="s">
        <v>17</v>
      </c>
      <c r="J143" s="28">
        <v>54568306</v>
      </c>
      <c r="K143" s="28" t="s">
        <v>1774</v>
      </c>
      <c r="L143" t="s">
        <v>2649</v>
      </c>
      <c r="M143" s="37">
        <v>149900</v>
      </c>
      <c r="N143" s="28" t="s">
        <v>2826</v>
      </c>
      <c r="O143" s="28" t="s">
        <v>3212</v>
      </c>
      <c r="P143" s="28" t="s">
        <v>2826</v>
      </c>
    </row>
    <row r="144" spans="1:16" x14ac:dyDescent="0.3">
      <c r="A144" s="28" t="s">
        <v>3217</v>
      </c>
      <c r="B144" s="26">
        <v>46093</v>
      </c>
      <c r="C144" s="26">
        <v>46098</v>
      </c>
      <c r="D144" s="48">
        <v>3319</v>
      </c>
      <c r="E144" s="48">
        <v>327</v>
      </c>
      <c r="F144" s="28">
        <v>2</v>
      </c>
      <c r="G144" s="28">
        <v>1</v>
      </c>
      <c r="H144" s="28">
        <v>81778</v>
      </c>
      <c r="I144" s="28" t="s">
        <v>17</v>
      </c>
      <c r="J144" s="28">
        <v>54568271</v>
      </c>
      <c r="K144" s="28" t="s">
        <v>1774</v>
      </c>
      <c r="L144" t="s">
        <v>2650</v>
      </c>
      <c r="M144" s="37">
        <v>149900</v>
      </c>
      <c r="N144" s="28" t="s">
        <v>2826</v>
      </c>
      <c r="O144" s="28" t="s">
        <v>3212</v>
      </c>
      <c r="P144" s="28" t="s">
        <v>2826</v>
      </c>
    </row>
    <row r="145" spans="1:16" x14ac:dyDescent="0.3">
      <c r="A145" s="28" t="s">
        <v>3217</v>
      </c>
      <c r="B145" s="26">
        <v>46093</v>
      </c>
      <c r="C145" s="26">
        <v>46098</v>
      </c>
      <c r="D145" s="48">
        <v>3319</v>
      </c>
      <c r="E145" s="48">
        <v>327</v>
      </c>
      <c r="F145" s="28">
        <v>2</v>
      </c>
      <c r="G145" s="28">
        <v>1</v>
      </c>
      <c r="H145" s="28">
        <v>81778</v>
      </c>
      <c r="I145" s="28" t="s">
        <v>17</v>
      </c>
      <c r="J145" s="28">
        <v>52703878</v>
      </c>
      <c r="K145" s="28" t="s">
        <v>2668</v>
      </c>
      <c r="L145" t="s">
        <v>2669</v>
      </c>
      <c r="M145" s="37">
        <v>149900</v>
      </c>
      <c r="N145" s="28" t="s">
        <v>2826</v>
      </c>
      <c r="O145" s="28" t="s">
        <v>3212</v>
      </c>
      <c r="P145" s="28" t="s">
        <v>2826</v>
      </c>
    </row>
    <row r="146" spans="1:16" x14ac:dyDescent="0.3">
      <c r="A146" s="28" t="s">
        <v>3217</v>
      </c>
      <c r="B146" s="26">
        <v>46093</v>
      </c>
      <c r="C146" s="26">
        <v>46098</v>
      </c>
      <c r="D146" s="48">
        <v>3319</v>
      </c>
      <c r="E146" s="48">
        <v>327</v>
      </c>
      <c r="F146" s="28">
        <v>2</v>
      </c>
      <c r="G146" s="28">
        <v>1</v>
      </c>
      <c r="H146" s="28">
        <v>81778</v>
      </c>
      <c r="I146" s="28" t="s">
        <v>17</v>
      </c>
      <c r="J146" s="28">
        <v>52703869</v>
      </c>
      <c r="K146" s="28" t="s">
        <v>2668</v>
      </c>
      <c r="L146" t="s">
        <v>2670</v>
      </c>
      <c r="M146" s="37">
        <v>149900</v>
      </c>
      <c r="N146" s="28" t="s">
        <v>2826</v>
      </c>
      <c r="O146" s="28" t="s">
        <v>3212</v>
      </c>
      <c r="P146" s="28" t="s">
        <v>2826</v>
      </c>
    </row>
    <row r="147" spans="1:16" x14ac:dyDescent="0.3">
      <c r="A147" s="28" t="s">
        <v>3217</v>
      </c>
      <c r="B147" s="26">
        <v>46093</v>
      </c>
      <c r="C147" s="26">
        <v>46098</v>
      </c>
      <c r="D147" s="48">
        <v>3319</v>
      </c>
      <c r="E147" s="48">
        <v>327</v>
      </c>
      <c r="F147" s="28">
        <v>2</v>
      </c>
      <c r="G147" s="28">
        <v>1</v>
      </c>
      <c r="H147" s="28">
        <v>81778</v>
      </c>
      <c r="I147" s="28" t="s">
        <v>17</v>
      </c>
      <c r="J147" s="28">
        <v>52703896</v>
      </c>
      <c r="K147" s="28" t="s">
        <v>2668</v>
      </c>
      <c r="L147" t="s">
        <v>2671</v>
      </c>
      <c r="M147" s="37">
        <v>149900</v>
      </c>
      <c r="N147" s="28" t="s">
        <v>2826</v>
      </c>
      <c r="O147" s="28" t="s">
        <v>3212</v>
      </c>
      <c r="P147" s="28" t="s">
        <v>2826</v>
      </c>
    </row>
    <row r="148" spans="1:16" x14ac:dyDescent="0.3">
      <c r="A148" s="28" t="s">
        <v>3217</v>
      </c>
      <c r="B148" s="26">
        <v>46093</v>
      </c>
      <c r="C148" s="26">
        <v>46098</v>
      </c>
      <c r="D148" s="48">
        <v>3319</v>
      </c>
      <c r="E148" s="48">
        <v>327</v>
      </c>
      <c r="F148" s="28">
        <v>2</v>
      </c>
      <c r="G148" s="28">
        <v>1</v>
      </c>
      <c r="H148" s="28">
        <v>81778</v>
      </c>
      <c r="I148" s="28" t="s">
        <v>17</v>
      </c>
      <c r="J148" s="28">
        <v>52703887</v>
      </c>
      <c r="K148" s="28" t="s">
        <v>2668</v>
      </c>
      <c r="L148" t="s">
        <v>2672</v>
      </c>
      <c r="M148" s="37">
        <v>149900</v>
      </c>
      <c r="N148" s="28" t="s">
        <v>2826</v>
      </c>
      <c r="O148" s="28" t="s">
        <v>3212</v>
      </c>
      <c r="P148" s="28" t="s">
        <v>2826</v>
      </c>
    </row>
    <row r="149" spans="1:16" x14ac:dyDescent="0.3">
      <c r="A149" s="28" t="s">
        <v>3217</v>
      </c>
      <c r="B149" s="26">
        <v>46093</v>
      </c>
      <c r="C149" s="26">
        <v>46098</v>
      </c>
      <c r="D149" s="48">
        <v>3319</v>
      </c>
      <c r="E149" s="48">
        <v>327</v>
      </c>
      <c r="F149" s="28">
        <v>2</v>
      </c>
      <c r="G149" s="28">
        <v>1</v>
      </c>
      <c r="H149" s="28">
        <v>81778</v>
      </c>
      <c r="I149" s="28" t="s">
        <v>17</v>
      </c>
      <c r="J149" s="28">
        <v>52703903</v>
      </c>
      <c r="K149" s="28" t="s">
        <v>2668</v>
      </c>
      <c r="L149" t="s">
        <v>2673</v>
      </c>
      <c r="M149" s="37">
        <v>149900</v>
      </c>
      <c r="N149" s="28" t="s">
        <v>2826</v>
      </c>
      <c r="O149" s="28" t="s">
        <v>3212</v>
      </c>
      <c r="P149" s="28" t="s">
        <v>2826</v>
      </c>
    </row>
    <row r="150" spans="1:16" x14ac:dyDescent="0.3">
      <c r="A150" s="28" t="s">
        <v>3217</v>
      </c>
      <c r="B150" s="26">
        <v>46093</v>
      </c>
      <c r="C150" s="26">
        <v>46098</v>
      </c>
      <c r="D150" s="48">
        <v>3319</v>
      </c>
      <c r="E150" s="48">
        <v>327</v>
      </c>
      <c r="F150" s="28">
        <v>2</v>
      </c>
      <c r="G150" s="28">
        <v>1</v>
      </c>
      <c r="H150" s="28">
        <v>81778</v>
      </c>
      <c r="I150" s="28" t="s">
        <v>17</v>
      </c>
      <c r="J150" s="28">
        <v>54568208</v>
      </c>
      <c r="K150" s="28" t="s">
        <v>1774</v>
      </c>
      <c r="L150" t="s">
        <v>2674</v>
      </c>
      <c r="M150" s="37">
        <v>149900</v>
      </c>
      <c r="N150" s="28" t="s">
        <v>2826</v>
      </c>
      <c r="O150" s="28" t="s">
        <v>3212</v>
      </c>
      <c r="P150" s="28" t="s">
        <v>2826</v>
      </c>
    </row>
    <row r="151" spans="1:16" x14ac:dyDescent="0.3">
      <c r="A151" s="28" t="s">
        <v>3217</v>
      </c>
      <c r="B151" s="26">
        <v>46093</v>
      </c>
      <c r="C151" s="26">
        <v>46098</v>
      </c>
      <c r="D151" s="48">
        <v>3319</v>
      </c>
      <c r="E151" s="48">
        <v>327</v>
      </c>
      <c r="F151" s="28">
        <v>2</v>
      </c>
      <c r="G151" s="28">
        <v>1</v>
      </c>
      <c r="H151" s="28">
        <v>81778</v>
      </c>
      <c r="I151" s="28" t="s">
        <v>17</v>
      </c>
      <c r="J151" s="28">
        <v>54568191</v>
      </c>
      <c r="K151" s="28" t="s">
        <v>1774</v>
      </c>
      <c r="L151" t="s">
        <v>2675</v>
      </c>
      <c r="M151" s="37">
        <v>149900</v>
      </c>
      <c r="N151" s="28" t="s">
        <v>2826</v>
      </c>
      <c r="O151" s="28" t="s">
        <v>3212</v>
      </c>
      <c r="P151" s="28" t="s">
        <v>2826</v>
      </c>
    </row>
    <row r="152" spans="1:16" x14ac:dyDescent="0.3">
      <c r="A152" s="28" t="s">
        <v>3217</v>
      </c>
      <c r="B152" s="26">
        <v>46093</v>
      </c>
      <c r="C152" s="26">
        <v>46098</v>
      </c>
      <c r="D152" s="48">
        <v>3319</v>
      </c>
      <c r="E152" s="48">
        <v>327</v>
      </c>
      <c r="F152" s="28">
        <v>2</v>
      </c>
      <c r="G152" s="28">
        <v>1</v>
      </c>
      <c r="H152" s="28">
        <v>81778</v>
      </c>
      <c r="I152" s="28" t="s">
        <v>17</v>
      </c>
      <c r="J152" s="28">
        <v>54568164</v>
      </c>
      <c r="K152" s="28" t="s">
        <v>1774</v>
      </c>
      <c r="L152" t="s">
        <v>2676</v>
      </c>
      <c r="M152" s="37">
        <v>149900</v>
      </c>
      <c r="N152" s="28" t="s">
        <v>2826</v>
      </c>
      <c r="O152" s="28" t="s">
        <v>3212</v>
      </c>
      <c r="P152" s="28" t="s">
        <v>2826</v>
      </c>
    </row>
    <row r="153" spans="1:16" x14ac:dyDescent="0.3">
      <c r="A153" s="28" t="s">
        <v>3217</v>
      </c>
      <c r="B153" s="26">
        <v>46093</v>
      </c>
      <c r="C153" s="26">
        <v>46098</v>
      </c>
      <c r="D153" s="48">
        <v>3319</v>
      </c>
      <c r="E153" s="48">
        <v>327</v>
      </c>
      <c r="F153" s="28">
        <v>2</v>
      </c>
      <c r="G153" s="28">
        <v>1</v>
      </c>
      <c r="H153" s="28">
        <v>81778</v>
      </c>
      <c r="I153" s="28" t="s">
        <v>17</v>
      </c>
      <c r="J153" s="28">
        <v>54568182</v>
      </c>
      <c r="K153" s="28" t="s">
        <v>1774</v>
      </c>
      <c r="L153" t="s">
        <v>2677</v>
      </c>
      <c r="M153" s="37">
        <v>149900</v>
      </c>
      <c r="N153" s="28" t="s">
        <v>2826</v>
      </c>
      <c r="O153" s="28" t="s">
        <v>3212</v>
      </c>
      <c r="P153" s="28" t="s">
        <v>2826</v>
      </c>
    </row>
    <row r="154" spans="1:16" x14ac:dyDescent="0.3">
      <c r="A154" s="28" t="s">
        <v>3217</v>
      </c>
      <c r="B154" s="26">
        <v>46093</v>
      </c>
      <c r="C154" s="26">
        <v>46098</v>
      </c>
      <c r="D154" s="48">
        <v>3319</v>
      </c>
      <c r="E154" s="48">
        <v>327</v>
      </c>
      <c r="F154" s="28">
        <v>2</v>
      </c>
      <c r="G154" s="28">
        <v>1</v>
      </c>
      <c r="H154" s="28">
        <v>81778</v>
      </c>
      <c r="I154" s="28" t="s">
        <v>17</v>
      </c>
      <c r="J154" s="28">
        <v>54568173</v>
      </c>
      <c r="K154" s="28" t="s">
        <v>1774</v>
      </c>
      <c r="L154" t="s">
        <v>2678</v>
      </c>
      <c r="M154" s="37">
        <v>149900</v>
      </c>
      <c r="N154" s="28" t="s">
        <v>2826</v>
      </c>
      <c r="O154" s="28" t="s">
        <v>3212</v>
      </c>
      <c r="P154" s="28" t="s">
        <v>2826</v>
      </c>
    </row>
    <row r="155" spans="1:16" x14ac:dyDescent="0.3">
      <c r="A155" s="28" t="s">
        <v>3217</v>
      </c>
      <c r="B155" s="26">
        <v>46093</v>
      </c>
      <c r="C155" s="26">
        <v>46098</v>
      </c>
      <c r="D155" s="48">
        <v>3319</v>
      </c>
      <c r="E155" s="48">
        <v>327</v>
      </c>
      <c r="F155" s="28">
        <v>2</v>
      </c>
      <c r="G155" s="28">
        <v>1</v>
      </c>
      <c r="H155" s="28">
        <v>80700</v>
      </c>
      <c r="I155" s="28" t="s">
        <v>17</v>
      </c>
      <c r="J155" s="28">
        <v>55523665</v>
      </c>
      <c r="K155" s="28" t="s">
        <v>2808</v>
      </c>
      <c r="L155" t="s">
        <v>2809</v>
      </c>
      <c r="M155" s="37">
        <v>129900</v>
      </c>
      <c r="N155" s="28" t="s">
        <v>2826</v>
      </c>
      <c r="O155" s="28" t="s">
        <v>3212</v>
      </c>
      <c r="P155" s="28" t="s">
        <v>2826</v>
      </c>
    </row>
    <row r="156" spans="1:16" x14ac:dyDescent="0.3">
      <c r="A156" s="28" t="s">
        <v>3217</v>
      </c>
      <c r="B156" s="26">
        <v>46093</v>
      </c>
      <c r="C156" s="26">
        <v>46098</v>
      </c>
      <c r="D156" s="48">
        <v>3319</v>
      </c>
      <c r="E156" s="48">
        <v>327</v>
      </c>
      <c r="F156" s="28">
        <v>2</v>
      </c>
      <c r="G156" s="28">
        <v>1</v>
      </c>
      <c r="H156" s="28">
        <v>80700</v>
      </c>
      <c r="I156" s="28" t="s">
        <v>17</v>
      </c>
      <c r="J156" s="28">
        <v>55523674</v>
      </c>
      <c r="K156" s="28" t="s">
        <v>2808</v>
      </c>
      <c r="L156" t="s">
        <v>2810</v>
      </c>
      <c r="M156" s="37">
        <v>129900</v>
      </c>
      <c r="N156" s="28" t="s">
        <v>2826</v>
      </c>
      <c r="O156" s="28" t="s">
        <v>3212</v>
      </c>
      <c r="P156" s="28" t="s">
        <v>2826</v>
      </c>
    </row>
    <row r="157" spans="1:16" x14ac:dyDescent="0.3">
      <c r="A157" s="28" t="s">
        <v>3217</v>
      </c>
      <c r="B157" s="26">
        <v>46093</v>
      </c>
      <c r="C157" s="26">
        <v>46098</v>
      </c>
      <c r="D157" s="48">
        <v>3319</v>
      </c>
      <c r="E157" s="48">
        <v>327</v>
      </c>
      <c r="F157" s="28">
        <v>2</v>
      </c>
      <c r="G157" s="28">
        <v>1</v>
      </c>
      <c r="H157" s="28">
        <v>80700</v>
      </c>
      <c r="I157" s="28" t="s">
        <v>17</v>
      </c>
      <c r="J157" s="28">
        <v>55523683</v>
      </c>
      <c r="K157" s="28" t="s">
        <v>2808</v>
      </c>
      <c r="L157" t="s">
        <v>2811</v>
      </c>
      <c r="M157" s="37">
        <v>129900</v>
      </c>
      <c r="N157" s="28" t="s">
        <v>2826</v>
      </c>
      <c r="O157" s="28" t="s">
        <v>3212</v>
      </c>
      <c r="P157" s="28" t="s">
        <v>2826</v>
      </c>
    </row>
    <row r="158" spans="1:16" x14ac:dyDescent="0.3">
      <c r="A158" s="28" t="s">
        <v>3217</v>
      </c>
      <c r="B158" s="26">
        <v>46093</v>
      </c>
      <c r="C158" s="26">
        <v>46098</v>
      </c>
      <c r="D158" s="48">
        <v>3319</v>
      </c>
      <c r="E158" s="48">
        <v>327</v>
      </c>
      <c r="F158" s="28">
        <v>2</v>
      </c>
      <c r="G158" s="28">
        <v>1</v>
      </c>
      <c r="H158" s="28">
        <v>80700</v>
      </c>
      <c r="I158" s="28" t="s">
        <v>17</v>
      </c>
      <c r="J158" s="28">
        <v>55523692</v>
      </c>
      <c r="K158" s="28" t="s">
        <v>2808</v>
      </c>
      <c r="L158" t="s">
        <v>2812</v>
      </c>
      <c r="M158" s="37">
        <v>129900</v>
      </c>
      <c r="N158" s="28" t="s">
        <v>2826</v>
      </c>
      <c r="O158" s="28" t="s">
        <v>3212</v>
      </c>
      <c r="P158" s="28" t="s">
        <v>2826</v>
      </c>
    </row>
    <row r="159" spans="1:16" x14ac:dyDescent="0.3">
      <c r="A159" s="28" t="s">
        <v>3217</v>
      </c>
      <c r="B159" s="26">
        <v>46093</v>
      </c>
      <c r="C159" s="26">
        <v>46098</v>
      </c>
      <c r="D159" s="48">
        <v>3319</v>
      </c>
      <c r="E159" s="48">
        <v>327</v>
      </c>
      <c r="F159" s="28">
        <v>2</v>
      </c>
      <c r="G159" s="28">
        <v>1</v>
      </c>
      <c r="H159" s="28">
        <v>80700</v>
      </c>
      <c r="I159" s="28" t="s">
        <v>17</v>
      </c>
      <c r="J159" s="28">
        <v>61168387</v>
      </c>
      <c r="K159" s="28" t="s">
        <v>2808</v>
      </c>
      <c r="L159" t="s">
        <v>2813</v>
      </c>
      <c r="M159" s="37">
        <v>129900</v>
      </c>
      <c r="N159" s="28" t="s">
        <v>2826</v>
      </c>
      <c r="O159" s="28" t="s">
        <v>3212</v>
      </c>
      <c r="P159" s="28" t="s">
        <v>2826</v>
      </c>
    </row>
    <row r="160" spans="1:16" x14ac:dyDescent="0.3">
      <c r="A160" s="28" t="s">
        <v>3217</v>
      </c>
      <c r="B160" s="26">
        <v>46093</v>
      </c>
      <c r="C160" s="26">
        <v>46098</v>
      </c>
      <c r="D160" s="48">
        <v>3319</v>
      </c>
      <c r="E160" s="48">
        <v>327</v>
      </c>
      <c r="F160" s="28">
        <v>2</v>
      </c>
      <c r="G160" s="28">
        <v>1</v>
      </c>
      <c r="H160" s="28">
        <v>81778</v>
      </c>
      <c r="I160" s="28" t="s">
        <v>17</v>
      </c>
      <c r="J160" s="28">
        <v>55524155</v>
      </c>
      <c r="K160" s="28" t="s">
        <v>2943</v>
      </c>
      <c r="L160" t="s">
        <v>2944</v>
      </c>
      <c r="M160" s="37">
        <v>149900</v>
      </c>
      <c r="N160" s="28" t="s">
        <v>2826</v>
      </c>
      <c r="O160" s="28" t="s">
        <v>3212</v>
      </c>
      <c r="P160" s="28" t="s">
        <v>2826</v>
      </c>
    </row>
    <row r="161" spans="1:16" x14ac:dyDescent="0.3">
      <c r="A161" s="28" t="s">
        <v>3217</v>
      </c>
      <c r="B161" s="26">
        <v>46093</v>
      </c>
      <c r="C161" s="26">
        <v>46098</v>
      </c>
      <c r="D161" s="48">
        <v>3319</v>
      </c>
      <c r="E161" s="48">
        <v>327</v>
      </c>
      <c r="F161" s="28">
        <v>2</v>
      </c>
      <c r="G161" s="28">
        <v>1</v>
      </c>
      <c r="H161" s="28">
        <v>81778</v>
      </c>
      <c r="I161" s="28" t="s">
        <v>17</v>
      </c>
      <c r="J161" s="28">
        <v>55524164</v>
      </c>
      <c r="K161" s="28" t="s">
        <v>2943</v>
      </c>
      <c r="L161" t="s">
        <v>2945</v>
      </c>
      <c r="M161" s="37">
        <v>149900</v>
      </c>
      <c r="N161" s="28" t="s">
        <v>2826</v>
      </c>
      <c r="O161" s="28" t="s">
        <v>3212</v>
      </c>
      <c r="P161" s="28" t="s">
        <v>2826</v>
      </c>
    </row>
    <row r="162" spans="1:16" x14ac:dyDescent="0.3">
      <c r="A162" s="28" t="s">
        <v>3217</v>
      </c>
      <c r="B162" s="26">
        <v>46093</v>
      </c>
      <c r="C162" s="26">
        <v>46098</v>
      </c>
      <c r="D162" s="48">
        <v>3319</v>
      </c>
      <c r="E162" s="48">
        <v>327</v>
      </c>
      <c r="F162" s="28">
        <v>2</v>
      </c>
      <c r="G162" s="28">
        <v>1</v>
      </c>
      <c r="H162" s="28">
        <v>81778</v>
      </c>
      <c r="I162" s="28" t="s">
        <v>17</v>
      </c>
      <c r="J162" s="28">
        <v>55524173</v>
      </c>
      <c r="K162" s="28" t="s">
        <v>2943</v>
      </c>
      <c r="L162" t="s">
        <v>2946</v>
      </c>
      <c r="M162" s="37">
        <v>149900</v>
      </c>
      <c r="N162" s="28" t="s">
        <v>2826</v>
      </c>
      <c r="O162" s="28" t="s">
        <v>3212</v>
      </c>
      <c r="P162" s="28" t="s">
        <v>2826</v>
      </c>
    </row>
    <row r="163" spans="1:16" x14ac:dyDescent="0.3">
      <c r="A163" s="28" t="s">
        <v>3217</v>
      </c>
      <c r="B163" s="26">
        <v>46093</v>
      </c>
      <c r="C163" s="26">
        <v>46098</v>
      </c>
      <c r="D163" s="48">
        <v>3319</v>
      </c>
      <c r="E163" s="48">
        <v>327</v>
      </c>
      <c r="F163" s="28">
        <v>2</v>
      </c>
      <c r="G163" s="28">
        <v>1</v>
      </c>
      <c r="H163" s="28">
        <v>81778</v>
      </c>
      <c r="I163" s="28" t="s">
        <v>17</v>
      </c>
      <c r="J163" s="28">
        <v>55524182</v>
      </c>
      <c r="K163" s="28" t="s">
        <v>2943</v>
      </c>
      <c r="L163" t="s">
        <v>2947</v>
      </c>
      <c r="M163" s="37">
        <v>149900</v>
      </c>
      <c r="N163" s="28" t="s">
        <v>2826</v>
      </c>
      <c r="O163" s="28" t="s">
        <v>3212</v>
      </c>
      <c r="P163" s="28" t="s">
        <v>2826</v>
      </c>
    </row>
    <row r="164" spans="1:16" x14ac:dyDescent="0.3">
      <c r="A164" s="28" t="s">
        <v>3217</v>
      </c>
      <c r="B164" s="26">
        <v>46093</v>
      </c>
      <c r="C164" s="26">
        <v>46098</v>
      </c>
      <c r="D164" s="48">
        <v>3319</v>
      </c>
      <c r="E164" s="48">
        <v>327</v>
      </c>
      <c r="F164" s="28">
        <v>2</v>
      </c>
      <c r="G164" s="28">
        <v>1</v>
      </c>
      <c r="H164" s="28">
        <v>81778</v>
      </c>
      <c r="I164" s="28" t="s">
        <v>17</v>
      </c>
      <c r="J164" s="28">
        <v>55524191</v>
      </c>
      <c r="K164" s="28" t="s">
        <v>2943</v>
      </c>
      <c r="L164" t="s">
        <v>2948</v>
      </c>
      <c r="M164" s="37">
        <v>149900</v>
      </c>
      <c r="N164" s="28" t="s">
        <v>2826</v>
      </c>
      <c r="O164" s="28" t="s">
        <v>3212</v>
      </c>
      <c r="P164" s="28" t="s">
        <v>2826</v>
      </c>
    </row>
    <row r="165" spans="1:16" x14ac:dyDescent="0.3">
      <c r="A165" s="28" t="s">
        <v>3217</v>
      </c>
      <c r="B165" s="26">
        <v>46093</v>
      </c>
      <c r="C165" s="26">
        <v>46098</v>
      </c>
      <c r="D165" s="48">
        <v>3319</v>
      </c>
      <c r="E165" s="48">
        <v>327</v>
      </c>
      <c r="F165" s="28">
        <v>2</v>
      </c>
      <c r="G165" s="28">
        <v>1</v>
      </c>
      <c r="H165" s="28">
        <v>81778</v>
      </c>
      <c r="I165" s="28" t="s">
        <v>17</v>
      </c>
      <c r="J165" s="28">
        <v>55524208</v>
      </c>
      <c r="K165" s="28" t="s">
        <v>2943</v>
      </c>
      <c r="L165" t="s">
        <v>2949</v>
      </c>
      <c r="M165" s="37">
        <v>149900</v>
      </c>
      <c r="N165" s="28" t="s">
        <v>2826</v>
      </c>
      <c r="O165" s="28" t="s">
        <v>3212</v>
      </c>
      <c r="P165" s="28" t="s">
        <v>2826</v>
      </c>
    </row>
    <row r="166" spans="1:16" x14ac:dyDescent="0.3">
      <c r="A166" s="28" t="s">
        <v>3217</v>
      </c>
      <c r="B166" s="26">
        <v>46093</v>
      </c>
      <c r="C166" s="26">
        <v>46098</v>
      </c>
      <c r="D166" s="48">
        <v>3319</v>
      </c>
      <c r="E166" s="48">
        <v>327</v>
      </c>
      <c r="F166" s="28">
        <v>2</v>
      </c>
      <c r="G166" s="28">
        <v>1</v>
      </c>
      <c r="H166" s="28">
        <v>81778</v>
      </c>
      <c r="I166" s="28" t="s">
        <v>17</v>
      </c>
      <c r="J166" s="28">
        <v>55524217</v>
      </c>
      <c r="K166" s="28" t="s">
        <v>2943</v>
      </c>
      <c r="L166" t="s">
        <v>2950</v>
      </c>
      <c r="M166" s="37">
        <v>149900</v>
      </c>
      <c r="N166" s="28" t="s">
        <v>2826</v>
      </c>
      <c r="O166" s="28" t="s">
        <v>3212</v>
      </c>
      <c r="P166" s="28" t="s">
        <v>2826</v>
      </c>
    </row>
    <row r="167" spans="1:16" x14ac:dyDescent="0.3">
      <c r="A167" s="28" t="s">
        <v>3217</v>
      </c>
      <c r="B167" s="26">
        <v>46093</v>
      </c>
      <c r="C167" s="26">
        <v>46098</v>
      </c>
      <c r="D167" s="48">
        <v>3319</v>
      </c>
      <c r="E167" s="48">
        <v>327</v>
      </c>
      <c r="F167" s="28">
        <v>2</v>
      </c>
      <c r="G167" s="28">
        <v>1</v>
      </c>
      <c r="H167" s="28">
        <v>81778</v>
      </c>
      <c r="I167" s="28" t="s">
        <v>17</v>
      </c>
      <c r="J167" s="28">
        <v>55524226</v>
      </c>
      <c r="K167" s="28" t="s">
        <v>2943</v>
      </c>
      <c r="L167" t="s">
        <v>2951</v>
      </c>
      <c r="M167" s="37">
        <v>149900</v>
      </c>
      <c r="N167" s="28" t="s">
        <v>2826</v>
      </c>
      <c r="O167" s="28" t="s">
        <v>3212</v>
      </c>
      <c r="P167" s="28" t="s">
        <v>2826</v>
      </c>
    </row>
    <row r="168" spans="1:16" x14ac:dyDescent="0.3">
      <c r="A168" s="28" t="s">
        <v>3217</v>
      </c>
      <c r="B168" s="26">
        <v>46093</v>
      </c>
      <c r="C168" s="26">
        <v>46098</v>
      </c>
      <c r="D168" s="48">
        <v>3319</v>
      </c>
      <c r="E168" s="48">
        <v>327</v>
      </c>
      <c r="F168" s="28">
        <v>2</v>
      </c>
      <c r="G168" s="28">
        <v>1</v>
      </c>
      <c r="H168" s="28">
        <v>81778</v>
      </c>
      <c r="I168" s="28" t="s">
        <v>17</v>
      </c>
      <c r="J168" s="28">
        <v>55524235</v>
      </c>
      <c r="K168" s="28" t="s">
        <v>2943</v>
      </c>
      <c r="L168" t="s">
        <v>2952</v>
      </c>
      <c r="M168" s="37">
        <v>149900</v>
      </c>
      <c r="N168" s="28" t="s">
        <v>2826</v>
      </c>
      <c r="O168" s="28" t="s">
        <v>3212</v>
      </c>
      <c r="P168" s="28" t="s">
        <v>2826</v>
      </c>
    </row>
    <row r="169" spans="1:16" x14ac:dyDescent="0.3">
      <c r="A169" s="28" t="s">
        <v>3217</v>
      </c>
      <c r="B169" s="26">
        <v>46093</v>
      </c>
      <c r="C169" s="26">
        <v>46098</v>
      </c>
      <c r="D169" s="48">
        <v>3319</v>
      </c>
      <c r="E169" s="48">
        <v>327</v>
      </c>
      <c r="F169" s="28">
        <v>2</v>
      </c>
      <c r="G169" s="28">
        <v>1</v>
      </c>
      <c r="H169" s="28">
        <v>81778</v>
      </c>
      <c r="I169" s="28" t="s">
        <v>17</v>
      </c>
      <c r="J169" s="28">
        <v>55524244</v>
      </c>
      <c r="K169" s="28" t="s">
        <v>2943</v>
      </c>
      <c r="L169" t="s">
        <v>2953</v>
      </c>
      <c r="M169" s="37">
        <v>149900</v>
      </c>
      <c r="N169" s="28" t="s">
        <v>2826</v>
      </c>
      <c r="O169" s="28" t="s">
        <v>3212</v>
      </c>
      <c r="P169" s="28" t="s">
        <v>2826</v>
      </c>
    </row>
  </sheetData>
  <autoFilter ref="A1:P169" xr:uid="{00000000-0001-0000-0900-000000000000}"/>
  <conditionalFormatting sqref="J1">
    <cfRule type="duplicateValues" dxfId="38" priority="55"/>
    <cfRule type="duplicateValues" dxfId="37" priority="56"/>
    <cfRule type="duplicateValues" dxfId="36" priority="57"/>
    <cfRule type="duplicateValues" dxfId="35" priority="58"/>
    <cfRule type="duplicateValues" dxfId="34" priority="59"/>
    <cfRule type="duplicateValues" dxfId="33" priority="60"/>
  </conditionalFormatting>
  <conditionalFormatting sqref="J1:J1048576">
    <cfRule type="duplicateValues" dxfId="32" priority="59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FE9-E6A4-4F13-8196-23E0C69830CF}">
  <sheetPr>
    <tabColor rgb="FFFF0000"/>
  </sheetPr>
  <dimension ref="A1:P202"/>
  <sheetViews>
    <sheetView zoomScale="87" zoomScaleNormal="87" workbookViewId="0">
      <selection activeCell="N2" sqref="N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3222</v>
      </c>
      <c r="B2" s="26">
        <v>46093</v>
      </c>
      <c r="C2" s="26">
        <v>46098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59171556</v>
      </c>
      <c r="K2" t="s">
        <v>2972</v>
      </c>
      <c r="L2" t="s">
        <v>2973</v>
      </c>
      <c r="M2" s="37">
        <v>199900</v>
      </c>
      <c r="N2" s="81" t="s">
        <v>2826</v>
      </c>
      <c r="O2" s="37" t="s">
        <v>3223</v>
      </c>
      <c r="P2" s="28" t="s">
        <v>2826</v>
      </c>
    </row>
    <row r="3" spans="1:16" x14ac:dyDescent="0.3">
      <c r="A3" s="25" t="s">
        <v>3222</v>
      </c>
      <c r="B3" s="26">
        <v>46093</v>
      </c>
      <c r="C3" s="26">
        <v>46098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59171565</v>
      </c>
      <c r="K3" t="s">
        <v>2972</v>
      </c>
      <c r="L3" t="s">
        <v>2974</v>
      </c>
      <c r="M3" s="37">
        <v>199900</v>
      </c>
      <c r="N3" s="81" t="s">
        <v>2826</v>
      </c>
      <c r="O3" s="37" t="s">
        <v>3223</v>
      </c>
      <c r="P3" s="28" t="s">
        <v>2826</v>
      </c>
    </row>
    <row r="4" spans="1:16" x14ac:dyDescent="0.3">
      <c r="A4" s="25" t="s">
        <v>3222</v>
      </c>
      <c r="B4" s="26">
        <v>46093</v>
      </c>
      <c r="C4" s="26">
        <v>46098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59171574</v>
      </c>
      <c r="K4" t="s">
        <v>2972</v>
      </c>
      <c r="L4" t="s">
        <v>2975</v>
      </c>
      <c r="M4" s="37">
        <v>199900</v>
      </c>
      <c r="N4" s="81" t="s">
        <v>2826</v>
      </c>
      <c r="O4" s="37" t="s">
        <v>3223</v>
      </c>
      <c r="P4" s="28" t="s">
        <v>2826</v>
      </c>
    </row>
    <row r="5" spans="1:16" x14ac:dyDescent="0.3">
      <c r="A5" s="25" t="s">
        <v>3222</v>
      </c>
      <c r="B5" s="26">
        <v>46093</v>
      </c>
      <c r="C5" s="26">
        <v>46098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59171583</v>
      </c>
      <c r="K5" t="s">
        <v>2972</v>
      </c>
      <c r="L5" t="s">
        <v>2976</v>
      </c>
      <c r="M5" s="37">
        <v>199900</v>
      </c>
      <c r="N5" s="81" t="s">
        <v>2826</v>
      </c>
      <c r="O5" s="37" t="s">
        <v>3223</v>
      </c>
      <c r="P5" s="28" t="s">
        <v>2826</v>
      </c>
    </row>
    <row r="6" spans="1:16" x14ac:dyDescent="0.3">
      <c r="A6" s="25" t="s">
        <v>3222</v>
      </c>
      <c r="B6" s="26">
        <v>46093</v>
      </c>
      <c r="C6" s="26">
        <v>46098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59171592</v>
      </c>
      <c r="K6" t="s">
        <v>2972</v>
      </c>
      <c r="L6" t="s">
        <v>2977</v>
      </c>
      <c r="M6" s="37">
        <v>199900</v>
      </c>
      <c r="N6" s="81" t="s">
        <v>2826</v>
      </c>
      <c r="O6" s="37" t="s">
        <v>3223</v>
      </c>
      <c r="P6" s="28" t="s">
        <v>2826</v>
      </c>
    </row>
    <row r="7" spans="1:16" x14ac:dyDescent="0.3">
      <c r="A7" s="25" t="s">
        <v>3222</v>
      </c>
      <c r="B7" s="26">
        <v>46093</v>
      </c>
      <c r="C7" s="26">
        <v>46098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59171609</v>
      </c>
      <c r="K7" t="s">
        <v>2972</v>
      </c>
      <c r="L7" t="s">
        <v>2978</v>
      </c>
      <c r="M7" s="37">
        <v>199900</v>
      </c>
      <c r="N7" s="81" t="s">
        <v>2826</v>
      </c>
      <c r="O7" s="37" t="s">
        <v>3223</v>
      </c>
      <c r="P7" s="28" t="s">
        <v>2826</v>
      </c>
    </row>
    <row r="8" spans="1:16" x14ac:dyDescent="0.3">
      <c r="A8" s="25" t="s">
        <v>3222</v>
      </c>
      <c r="B8" s="26">
        <v>46093</v>
      </c>
      <c r="C8" s="26">
        <v>46098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59171618</v>
      </c>
      <c r="K8" t="s">
        <v>2972</v>
      </c>
      <c r="L8" t="s">
        <v>2979</v>
      </c>
      <c r="M8" s="37">
        <v>199900</v>
      </c>
      <c r="N8" s="81" t="s">
        <v>2826</v>
      </c>
      <c r="O8" s="37" t="s">
        <v>3223</v>
      </c>
      <c r="P8" s="28" t="s">
        <v>2826</v>
      </c>
    </row>
    <row r="9" spans="1:16" x14ac:dyDescent="0.3">
      <c r="A9" s="25" t="s">
        <v>3222</v>
      </c>
      <c r="B9" s="26">
        <v>46093</v>
      </c>
      <c r="C9" s="26">
        <v>46098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59171627</v>
      </c>
      <c r="K9" t="s">
        <v>2972</v>
      </c>
      <c r="L9" t="s">
        <v>2980</v>
      </c>
      <c r="M9" s="37">
        <v>199900</v>
      </c>
      <c r="N9" s="81" t="s">
        <v>2826</v>
      </c>
      <c r="O9" s="37" t="s">
        <v>3223</v>
      </c>
      <c r="P9" s="28" t="s">
        <v>2826</v>
      </c>
    </row>
    <row r="10" spans="1:16" x14ac:dyDescent="0.3">
      <c r="A10" s="25" t="s">
        <v>3222</v>
      </c>
      <c r="B10" s="26">
        <v>46093</v>
      </c>
      <c r="C10" s="26">
        <v>46098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59171636</v>
      </c>
      <c r="K10" t="s">
        <v>2972</v>
      </c>
      <c r="L10" t="s">
        <v>2981</v>
      </c>
      <c r="M10" s="37">
        <v>199900</v>
      </c>
      <c r="N10" s="81" t="s">
        <v>2826</v>
      </c>
      <c r="O10" s="37" t="s">
        <v>3223</v>
      </c>
      <c r="P10" s="28" t="s">
        <v>2826</v>
      </c>
    </row>
    <row r="11" spans="1:16" x14ac:dyDescent="0.3">
      <c r="A11" s="25" t="s">
        <v>3222</v>
      </c>
      <c r="B11" s="26">
        <v>46093</v>
      </c>
      <c r="C11" s="26">
        <v>46098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59171645</v>
      </c>
      <c r="K11" t="s">
        <v>2972</v>
      </c>
      <c r="L11" t="s">
        <v>2982</v>
      </c>
      <c r="M11" s="37">
        <v>199900</v>
      </c>
      <c r="N11" s="81" t="s">
        <v>2826</v>
      </c>
      <c r="O11" s="37" t="s">
        <v>3223</v>
      </c>
      <c r="P11" s="28" t="s">
        <v>2826</v>
      </c>
    </row>
    <row r="12" spans="1:16" x14ac:dyDescent="0.3">
      <c r="A12" s="25" t="s">
        <v>3222</v>
      </c>
      <c r="B12" s="26">
        <v>46093</v>
      </c>
      <c r="C12" s="26">
        <v>46098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59171654</v>
      </c>
      <c r="K12" t="s">
        <v>2983</v>
      </c>
      <c r="L12" t="s">
        <v>2984</v>
      </c>
      <c r="M12" s="37">
        <v>199900</v>
      </c>
      <c r="N12" s="81" t="s">
        <v>2826</v>
      </c>
      <c r="O12" s="37" t="s">
        <v>3223</v>
      </c>
      <c r="P12" s="28" t="s">
        <v>2826</v>
      </c>
    </row>
    <row r="13" spans="1:16" x14ac:dyDescent="0.3">
      <c r="A13" s="25" t="s">
        <v>3222</v>
      </c>
      <c r="B13" s="26">
        <v>46093</v>
      </c>
      <c r="C13" s="26">
        <v>46098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59171663</v>
      </c>
      <c r="K13" t="s">
        <v>2983</v>
      </c>
      <c r="L13" t="s">
        <v>2985</v>
      </c>
      <c r="M13" s="37">
        <v>199900</v>
      </c>
      <c r="N13" s="81" t="s">
        <v>2826</v>
      </c>
      <c r="O13" s="37" t="s">
        <v>3223</v>
      </c>
      <c r="P13" s="28" t="s">
        <v>2826</v>
      </c>
    </row>
    <row r="14" spans="1:16" x14ac:dyDescent="0.3">
      <c r="A14" s="25" t="s">
        <v>3222</v>
      </c>
      <c r="B14" s="26">
        <v>46093</v>
      </c>
      <c r="C14" s="26">
        <v>46098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59171672</v>
      </c>
      <c r="K14" t="s">
        <v>2983</v>
      </c>
      <c r="L14" t="s">
        <v>2986</v>
      </c>
      <c r="M14" s="37">
        <v>199900</v>
      </c>
      <c r="N14" s="81" t="s">
        <v>2826</v>
      </c>
      <c r="O14" s="37" t="s">
        <v>3223</v>
      </c>
      <c r="P14" s="28" t="s">
        <v>2826</v>
      </c>
    </row>
    <row r="15" spans="1:16" x14ac:dyDescent="0.3">
      <c r="A15" s="25" t="s">
        <v>3222</v>
      </c>
      <c r="B15" s="26">
        <v>46093</v>
      </c>
      <c r="C15" s="26">
        <v>46098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59171681</v>
      </c>
      <c r="K15" t="s">
        <v>2983</v>
      </c>
      <c r="L15" t="s">
        <v>2987</v>
      </c>
      <c r="M15" s="37">
        <v>199900</v>
      </c>
      <c r="N15" s="81" t="s">
        <v>2826</v>
      </c>
      <c r="O15" s="37" t="s">
        <v>3223</v>
      </c>
      <c r="P15" s="28" t="s">
        <v>2826</v>
      </c>
    </row>
    <row r="16" spans="1:16" x14ac:dyDescent="0.3">
      <c r="A16" s="25" t="s">
        <v>3222</v>
      </c>
      <c r="B16" s="26">
        <v>46093</v>
      </c>
      <c r="C16" s="26">
        <v>46098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59171690</v>
      </c>
      <c r="K16" t="s">
        <v>2983</v>
      </c>
      <c r="L16" t="s">
        <v>2988</v>
      </c>
      <c r="M16" s="37">
        <v>199900</v>
      </c>
      <c r="N16" s="81" t="s">
        <v>2826</v>
      </c>
      <c r="O16" s="37" t="s">
        <v>3223</v>
      </c>
      <c r="P16" s="28" t="s">
        <v>2826</v>
      </c>
    </row>
    <row r="17" spans="1:16" x14ac:dyDescent="0.3">
      <c r="A17" s="25" t="s">
        <v>3222</v>
      </c>
      <c r="B17" s="26">
        <v>46093</v>
      </c>
      <c r="C17" s="26">
        <v>46098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59171707</v>
      </c>
      <c r="K17" t="s">
        <v>2983</v>
      </c>
      <c r="L17" t="s">
        <v>2989</v>
      </c>
      <c r="M17" s="37">
        <v>199900</v>
      </c>
      <c r="N17" s="81" t="s">
        <v>2826</v>
      </c>
      <c r="O17" s="37" t="s">
        <v>3223</v>
      </c>
      <c r="P17" s="28" t="s">
        <v>2826</v>
      </c>
    </row>
    <row r="18" spans="1:16" x14ac:dyDescent="0.3">
      <c r="A18" s="25" t="s">
        <v>3222</v>
      </c>
      <c r="B18" s="26">
        <v>46093</v>
      </c>
      <c r="C18" s="26">
        <v>46098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59171716</v>
      </c>
      <c r="K18" t="s">
        <v>2983</v>
      </c>
      <c r="L18" t="s">
        <v>2990</v>
      </c>
      <c r="M18" s="37">
        <v>199900</v>
      </c>
      <c r="N18" s="81" t="s">
        <v>2826</v>
      </c>
      <c r="O18" s="37" t="s">
        <v>3223</v>
      </c>
      <c r="P18" s="28" t="s">
        <v>2826</v>
      </c>
    </row>
    <row r="19" spans="1:16" x14ac:dyDescent="0.3">
      <c r="A19" s="25" t="s">
        <v>3222</v>
      </c>
      <c r="B19" s="26">
        <v>46093</v>
      </c>
      <c r="C19" s="26">
        <v>46098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59171725</v>
      </c>
      <c r="K19" t="s">
        <v>2983</v>
      </c>
      <c r="L19" t="s">
        <v>2991</v>
      </c>
      <c r="M19" s="37">
        <v>199900</v>
      </c>
      <c r="N19" s="81" t="s">
        <v>2826</v>
      </c>
      <c r="O19" s="37" t="s">
        <v>3223</v>
      </c>
      <c r="P19" s="28" t="s">
        <v>2826</v>
      </c>
    </row>
    <row r="20" spans="1:16" x14ac:dyDescent="0.3">
      <c r="A20" s="25" t="s">
        <v>3222</v>
      </c>
      <c r="B20" s="26">
        <v>46093</v>
      </c>
      <c r="C20" s="26">
        <v>46098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59171734</v>
      </c>
      <c r="K20" t="s">
        <v>2983</v>
      </c>
      <c r="L20" t="s">
        <v>2992</v>
      </c>
      <c r="M20" s="37">
        <v>199900</v>
      </c>
      <c r="N20" s="81" t="s">
        <v>2826</v>
      </c>
      <c r="O20" s="37" t="s">
        <v>3223</v>
      </c>
      <c r="P20" s="28" t="s">
        <v>2826</v>
      </c>
    </row>
    <row r="21" spans="1:16" x14ac:dyDescent="0.3">
      <c r="A21" s="25" t="s">
        <v>3222</v>
      </c>
      <c r="B21" s="26">
        <v>46093</v>
      </c>
      <c r="C21" s="26">
        <v>46098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59171743</v>
      </c>
      <c r="K21" t="s">
        <v>2983</v>
      </c>
      <c r="L21" t="s">
        <v>2993</v>
      </c>
      <c r="M21" s="37">
        <v>199900</v>
      </c>
      <c r="N21" s="81" t="s">
        <v>2826</v>
      </c>
      <c r="O21" s="37" t="s">
        <v>3223</v>
      </c>
      <c r="P21" s="28" t="s">
        <v>2826</v>
      </c>
    </row>
    <row r="22" spans="1:16" x14ac:dyDescent="0.3">
      <c r="A22" s="25" t="s">
        <v>3222</v>
      </c>
      <c r="B22" s="26">
        <v>46093</v>
      </c>
      <c r="C22" s="26">
        <v>46098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59172028</v>
      </c>
      <c r="K22" t="s">
        <v>2994</v>
      </c>
      <c r="L22" t="s">
        <v>2995</v>
      </c>
      <c r="M22" s="37">
        <v>229900</v>
      </c>
      <c r="N22" s="81" t="s">
        <v>2826</v>
      </c>
      <c r="O22" s="37" t="s">
        <v>3223</v>
      </c>
      <c r="P22" s="28" t="s">
        <v>2826</v>
      </c>
    </row>
    <row r="23" spans="1:16" x14ac:dyDescent="0.3">
      <c r="A23" s="25" t="s">
        <v>3222</v>
      </c>
      <c r="B23" s="26">
        <v>46093</v>
      </c>
      <c r="C23" s="26">
        <v>46098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59172037</v>
      </c>
      <c r="K23" t="s">
        <v>2994</v>
      </c>
      <c r="L23" t="s">
        <v>2996</v>
      </c>
      <c r="M23" s="37">
        <v>229900</v>
      </c>
      <c r="N23" s="81" t="s">
        <v>2826</v>
      </c>
      <c r="O23" s="37" t="s">
        <v>3223</v>
      </c>
      <c r="P23" s="28" t="s">
        <v>2826</v>
      </c>
    </row>
    <row r="24" spans="1:16" x14ac:dyDescent="0.3">
      <c r="A24" s="25" t="s">
        <v>3222</v>
      </c>
      <c r="B24" s="26">
        <v>46093</v>
      </c>
      <c r="C24" s="26">
        <v>46098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59172046</v>
      </c>
      <c r="K24" t="s">
        <v>2994</v>
      </c>
      <c r="L24" t="s">
        <v>2997</v>
      </c>
      <c r="M24" s="37">
        <v>229900</v>
      </c>
      <c r="N24" s="81" t="s">
        <v>2826</v>
      </c>
      <c r="O24" s="37" t="s">
        <v>3223</v>
      </c>
      <c r="P24" s="28" t="s">
        <v>2826</v>
      </c>
    </row>
    <row r="25" spans="1:16" x14ac:dyDescent="0.3">
      <c r="A25" s="25" t="s">
        <v>3222</v>
      </c>
      <c r="B25" s="26">
        <v>46093</v>
      </c>
      <c r="C25" s="26">
        <v>46098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59172055</v>
      </c>
      <c r="K25" t="s">
        <v>2994</v>
      </c>
      <c r="L25" t="s">
        <v>2998</v>
      </c>
      <c r="M25" s="37">
        <v>229900</v>
      </c>
      <c r="N25" s="81" t="s">
        <v>2826</v>
      </c>
      <c r="O25" s="37" t="s">
        <v>3223</v>
      </c>
      <c r="P25" s="28" t="s">
        <v>2826</v>
      </c>
    </row>
    <row r="26" spans="1:16" x14ac:dyDescent="0.3">
      <c r="A26" s="25" t="s">
        <v>3222</v>
      </c>
      <c r="B26" s="26">
        <v>46093</v>
      </c>
      <c r="C26" s="26">
        <v>46098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59172064</v>
      </c>
      <c r="K26" t="s">
        <v>2994</v>
      </c>
      <c r="L26" t="s">
        <v>2999</v>
      </c>
      <c r="M26" s="37">
        <v>229900</v>
      </c>
      <c r="N26" s="81" t="s">
        <v>2826</v>
      </c>
      <c r="O26" s="37" t="s">
        <v>3223</v>
      </c>
      <c r="P26" s="28" t="s">
        <v>2826</v>
      </c>
    </row>
    <row r="27" spans="1:16" x14ac:dyDescent="0.3">
      <c r="A27" s="25" t="s">
        <v>3222</v>
      </c>
      <c r="B27" s="26">
        <v>46093</v>
      </c>
      <c r="C27" s="26">
        <v>46098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59172073</v>
      </c>
      <c r="K27" t="s">
        <v>2994</v>
      </c>
      <c r="L27" t="s">
        <v>3000</v>
      </c>
      <c r="M27" s="37">
        <v>229900</v>
      </c>
      <c r="N27" s="81" t="s">
        <v>2826</v>
      </c>
      <c r="O27" s="37" t="s">
        <v>3223</v>
      </c>
      <c r="P27" s="28" t="s">
        <v>2826</v>
      </c>
    </row>
    <row r="28" spans="1:16" x14ac:dyDescent="0.3">
      <c r="A28" s="25" t="s">
        <v>3222</v>
      </c>
      <c r="B28" s="26">
        <v>46093</v>
      </c>
      <c r="C28" s="26">
        <v>46098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59172082</v>
      </c>
      <c r="K28" t="s">
        <v>2994</v>
      </c>
      <c r="L28" t="s">
        <v>3001</v>
      </c>
      <c r="M28" s="37">
        <v>229900</v>
      </c>
      <c r="N28" s="81" t="s">
        <v>2826</v>
      </c>
      <c r="O28" s="37" t="s">
        <v>3223</v>
      </c>
      <c r="P28" s="28" t="s">
        <v>2826</v>
      </c>
    </row>
    <row r="29" spans="1:16" x14ac:dyDescent="0.3">
      <c r="A29" s="25" t="s">
        <v>3222</v>
      </c>
      <c r="B29" s="26">
        <v>46093</v>
      </c>
      <c r="C29" s="26">
        <v>46098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59172091</v>
      </c>
      <c r="K29" t="s">
        <v>2994</v>
      </c>
      <c r="L29" t="s">
        <v>3002</v>
      </c>
      <c r="M29" s="37">
        <v>229900</v>
      </c>
      <c r="N29" s="81" t="s">
        <v>2826</v>
      </c>
      <c r="O29" s="37" t="s">
        <v>3223</v>
      </c>
      <c r="P29" s="28" t="s">
        <v>2826</v>
      </c>
    </row>
    <row r="30" spans="1:16" x14ac:dyDescent="0.3">
      <c r="A30" s="25" t="s">
        <v>3222</v>
      </c>
      <c r="B30" s="26">
        <v>46093</v>
      </c>
      <c r="C30" s="26">
        <v>46098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59172108</v>
      </c>
      <c r="K30" t="s">
        <v>2994</v>
      </c>
      <c r="L30" t="s">
        <v>3003</v>
      </c>
      <c r="M30" s="37">
        <v>229900</v>
      </c>
      <c r="N30" s="81" t="s">
        <v>2826</v>
      </c>
      <c r="O30" s="37" t="s">
        <v>3223</v>
      </c>
      <c r="P30" s="28" t="s">
        <v>2826</v>
      </c>
    </row>
    <row r="31" spans="1:16" x14ac:dyDescent="0.3">
      <c r="A31" s="25" t="s">
        <v>3222</v>
      </c>
      <c r="B31" s="26">
        <v>46093</v>
      </c>
      <c r="C31" s="26">
        <v>46098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59172117</v>
      </c>
      <c r="K31" t="s">
        <v>2994</v>
      </c>
      <c r="L31" t="s">
        <v>3004</v>
      </c>
      <c r="M31" s="37">
        <v>229900</v>
      </c>
      <c r="N31" s="81" t="s">
        <v>2826</v>
      </c>
      <c r="O31" s="37" t="s">
        <v>3223</v>
      </c>
      <c r="P31" s="28" t="s">
        <v>2826</v>
      </c>
    </row>
    <row r="32" spans="1:16" x14ac:dyDescent="0.3">
      <c r="A32" s="25" t="s">
        <v>3222</v>
      </c>
      <c r="B32" s="26">
        <v>46093</v>
      </c>
      <c r="C32" s="26">
        <v>46098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59172126</v>
      </c>
      <c r="K32" t="s">
        <v>3005</v>
      </c>
      <c r="L32" t="s">
        <v>3006</v>
      </c>
      <c r="M32" s="37">
        <v>229900</v>
      </c>
      <c r="N32" s="81" t="s">
        <v>2826</v>
      </c>
      <c r="O32" s="37" t="s">
        <v>3223</v>
      </c>
      <c r="P32" s="28" t="s">
        <v>2826</v>
      </c>
    </row>
    <row r="33" spans="1:16" x14ac:dyDescent="0.3">
      <c r="A33" s="25" t="s">
        <v>3222</v>
      </c>
      <c r="B33" s="26">
        <v>46093</v>
      </c>
      <c r="C33" s="26">
        <v>46098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59172135</v>
      </c>
      <c r="K33" t="s">
        <v>3005</v>
      </c>
      <c r="L33" t="s">
        <v>3007</v>
      </c>
      <c r="M33" s="37">
        <v>229900</v>
      </c>
      <c r="N33" s="81" t="s">
        <v>2826</v>
      </c>
      <c r="O33" s="37" t="s">
        <v>3223</v>
      </c>
      <c r="P33" s="28" t="s">
        <v>2826</v>
      </c>
    </row>
    <row r="34" spans="1:16" x14ac:dyDescent="0.3">
      <c r="A34" s="25" t="s">
        <v>3222</v>
      </c>
      <c r="B34" s="26">
        <v>46093</v>
      </c>
      <c r="C34" s="26">
        <v>46098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59172144</v>
      </c>
      <c r="K34" t="s">
        <v>3005</v>
      </c>
      <c r="L34" t="s">
        <v>3008</v>
      </c>
      <c r="M34" s="37">
        <v>229900</v>
      </c>
      <c r="N34" s="81" t="s">
        <v>2826</v>
      </c>
      <c r="O34" s="37" t="s">
        <v>3223</v>
      </c>
      <c r="P34" s="28" t="s">
        <v>2826</v>
      </c>
    </row>
    <row r="35" spans="1:16" x14ac:dyDescent="0.3">
      <c r="A35" s="25" t="s">
        <v>3222</v>
      </c>
      <c r="B35" s="26">
        <v>46093</v>
      </c>
      <c r="C35" s="26">
        <v>46098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59172153</v>
      </c>
      <c r="K35" t="s">
        <v>3005</v>
      </c>
      <c r="L35" t="s">
        <v>3009</v>
      </c>
      <c r="M35" s="37">
        <v>229900</v>
      </c>
      <c r="N35" s="81" t="s">
        <v>2826</v>
      </c>
      <c r="O35" s="37" t="s">
        <v>3223</v>
      </c>
      <c r="P35" s="28" t="s">
        <v>2826</v>
      </c>
    </row>
    <row r="36" spans="1:16" x14ac:dyDescent="0.3">
      <c r="A36" s="25" t="s">
        <v>3222</v>
      </c>
      <c r="B36" s="26">
        <v>46093</v>
      </c>
      <c r="C36" s="26">
        <v>46098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59172162</v>
      </c>
      <c r="K36" t="s">
        <v>3005</v>
      </c>
      <c r="L36" t="s">
        <v>3010</v>
      </c>
      <c r="M36" s="37">
        <v>229900</v>
      </c>
      <c r="N36" s="81" t="s">
        <v>2826</v>
      </c>
      <c r="O36" s="37" t="s">
        <v>3223</v>
      </c>
      <c r="P36" s="28" t="s">
        <v>2826</v>
      </c>
    </row>
    <row r="37" spans="1:16" x14ac:dyDescent="0.3">
      <c r="A37" s="25" t="s">
        <v>3222</v>
      </c>
      <c r="B37" s="26">
        <v>46093</v>
      </c>
      <c r="C37" s="26">
        <v>46098</v>
      </c>
      <c r="D37" s="82">
        <v>3319</v>
      </c>
      <c r="E37" s="82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59172171</v>
      </c>
      <c r="K37" t="s">
        <v>3005</v>
      </c>
      <c r="L37" t="s">
        <v>3011</v>
      </c>
      <c r="M37" s="37">
        <v>229900</v>
      </c>
      <c r="N37" s="81" t="s">
        <v>2826</v>
      </c>
      <c r="O37" s="37" t="s">
        <v>3223</v>
      </c>
      <c r="P37" s="28" t="s">
        <v>2826</v>
      </c>
    </row>
    <row r="38" spans="1:16" x14ac:dyDescent="0.3">
      <c r="A38" s="25" t="s">
        <v>3222</v>
      </c>
      <c r="B38" s="26">
        <v>46093</v>
      </c>
      <c r="C38" s="26">
        <v>46098</v>
      </c>
      <c r="D38" s="82">
        <v>3319</v>
      </c>
      <c r="E38" s="82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59172180</v>
      </c>
      <c r="K38" t="s">
        <v>3005</v>
      </c>
      <c r="L38" t="s">
        <v>3012</v>
      </c>
      <c r="M38" s="37">
        <v>229900</v>
      </c>
      <c r="N38" s="81" t="s">
        <v>2826</v>
      </c>
      <c r="O38" s="37" t="s">
        <v>3223</v>
      </c>
      <c r="P38" s="28" t="s">
        <v>2826</v>
      </c>
    </row>
    <row r="39" spans="1:16" x14ac:dyDescent="0.3">
      <c r="A39" s="25" t="s">
        <v>3222</v>
      </c>
      <c r="B39" s="26">
        <v>46093</v>
      </c>
      <c r="C39" s="26">
        <v>46098</v>
      </c>
      <c r="D39" s="82">
        <v>3319</v>
      </c>
      <c r="E39" s="82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59172199</v>
      </c>
      <c r="K39" t="s">
        <v>3005</v>
      </c>
      <c r="L39" t="s">
        <v>3013</v>
      </c>
      <c r="M39" s="37">
        <v>229900</v>
      </c>
      <c r="N39" s="81" t="s">
        <v>2826</v>
      </c>
      <c r="O39" s="37" t="s">
        <v>3223</v>
      </c>
      <c r="P39" s="28" t="s">
        <v>2826</v>
      </c>
    </row>
    <row r="40" spans="1:16" x14ac:dyDescent="0.3">
      <c r="A40" s="25" t="s">
        <v>3222</v>
      </c>
      <c r="B40" s="26">
        <v>46093</v>
      </c>
      <c r="C40" s="26">
        <v>46098</v>
      </c>
      <c r="D40" s="82">
        <v>3319</v>
      </c>
      <c r="E40" s="82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59172206</v>
      </c>
      <c r="K40" t="s">
        <v>3005</v>
      </c>
      <c r="L40" t="s">
        <v>3014</v>
      </c>
      <c r="M40" s="37">
        <v>229900</v>
      </c>
      <c r="N40" s="81" t="s">
        <v>2826</v>
      </c>
      <c r="O40" s="37" t="s">
        <v>3223</v>
      </c>
      <c r="P40" s="28" t="s">
        <v>2826</v>
      </c>
    </row>
    <row r="41" spans="1:16" x14ac:dyDescent="0.3">
      <c r="A41" s="25" t="s">
        <v>3222</v>
      </c>
      <c r="B41" s="26">
        <v>46093</v>
      </c>
      <c r="C41" s="26">
        <v>46098</v>
      </c>
      <c r="D41" s="82">
        <v>3319</v>
      </c>
      <c r="E41" s="82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59172215</v>
      </c>
      <c r="K41" t="s">
        <v>3005</v>
      </c>
      <c r="L41" t="s">
        <v>3015</v>
      </c>
      <c r="M41" s="37">
        <v>229900</v>
      </c>
      <c r="N41" s="81" t="s">
        <v>2826</v>
      </c>
      <c r="O41" s="37" t="s">
        <v>3223</v>
      </c>
      <c r="P41" s="28" t="s">
        <v>2826</v>
      </c>
    </row>
    <row r="42" spans="1:16" x14ac:dyDescent="0.3">
      <c r="A42" s="25" t="s">
        <v>3222</v>
      </c>
      <c r="B42" s="26">
        <v>46093</v>
      </c>
      <c r="C42" s="26">
        <v>46098</v>
      </c>
      <c r="D42" s="82">
        <v>3319</v>
      </c>
      <c r="E42" s="82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59172224</v>
      </c>
      <c r="K42" t="s">
        <v>3016</v>
      </c>
      <c r="L42" t="s">
        <v>3017</v>
      </c>
      <c r="M42" s="37">
        <v>199900</v>
      </c>
      <c r="N42" s="81" t="s">
        <v>2826</v>
      </c>
      <c r="O42" s="37" t="s">
        <v>3223</v>
      </c>
      <c r="P42" s="28" t="s">
        <v>2826</v>
      </c>
    </row>
    <row r="43" spans="1:16" x14ac:dyDescent="0.3">
      <c r="A43" s="25" t="s">
        <v>3222</v>
      </c>
      <c r="B43" s="26">
        <v>46093</v>
      </c>
      <c r="C43" s="26">
        <v>46098</v>
      </c>
      <c r="D43" s="82">
        <v>3319</v>
      </c>
      <c r="E43" s="82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59172233</v>
      </c>
      <c r="K43" t="s">
        <v>3016</v>
      </c>
      <c r="L43" t="s">
        <v>3018</v>
      </c>
      <c r="M43" s="37">
        <v>199900</v>
      </c>
      <c r="N43" s="81" t="s">
        <v>2826</v>
      </c>
      <c r="O43" s="37" t="s">
        <v>3223</v>
      </c>
      <c r="P43" s="28" t="s">
        <v>2826</v>
      </c>
    </row>
    <row r="44" spans="1:16" x14ac:dyDescent="0.3">
      <c r="A44" s="25" t="s">
        <v>3222</v>
      </c>
      <c r="B44" s="26">
        <v>46093</v>
      </c>
      <c r="C44" s="26">
        <v>46098</v>
      </c>
      <c r="D44" s="82">
        <v>3319</v>
      </c>
      <c r="E44" s="82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59172242</v>
      </c>
      <c r="K44" t="s">
        <v>3016</v>
      </c>
      <c r="L44" t="s">
        <v>3019</v>
      </c>
      <c r="M44" s="37">
        <v>199900</v>
      </c>
      <c r="N44" s="81" t="s">
        <v>2826</v>
      </c>
      <c r="O44" s="37" t="s">
        <v>3223</v>
      </c>
      <c r="P44" s="28" t="s">
        <v>2826</v>
      </c>
    </row>
    <row r="45" spans="1:16" x14ac:dyDescent="0.3">
      <c r="A45" s="25" t="s">
        <v>3222</v>
      </c>
      <c r="B45" s="26">
        <v>46093</v>
      </c>
      <c r="C45" s="26">
        <v>46098</v>
      </c>
      <c r="D45" s="82">
        <v>3319</v>
      </c>
      <c r="E45" s="82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59172251</v>
      </c>
      <c r="K45" t="s">
        <v>3016</v>
      </c>
      <c r="L45" t="s">
        <v>3020</v>
      </c>
      <c r="M45" s="37">
        <v>199900</v>
      </c>
      <c r="N45" s="81" t="s">
        <v>2826</v>
      </c>
      <c r="O45" s="37" t="s">
        <v>3223</v>
      </c>
      <c r="P45" s="28" t="s">
        <v>2826</v>
      </c>
    </row>
    <row r="46" spans="1:16" x14ac:dyDescent="0.3">
      <c r="A46" s="25" t="s">
        <v>3222</v>
      </c>
      <c r="B46" s="26">
        <v>46093</v>
      </c>
      <c r="C46" s="26">
        <v>46098</v>
      </c>
      <c r="D46" s="82">
        <v>3319</v>
      </c>
      <c r="E46" s="82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59172260</v>
      </c>
      <c r="K46" t="s">
        <v>3016</v>
      </c>
      <c r="L46" t="s">
        <v>3021</v>
      </c>
      <c r="M46" s="37">
        <v>199900</v>
      </c>
      <c r="N46" s="81" t="s">
        <v>2826</v>
      </c>
      <c r="O46" s="37" t="s">
        <v>3223</v>
      </c>
      <c r="P46" s="28" t="s">
        <v>2826</v>
      </c>
    </row>
    <row r="47" spans="1:16" x14ac:dyDescent="0.3">
      <c r="A47" s="25" t="s">
        <v>3222</v>
      </c>
      <c r="B47" s="26">
        <v>46093</v>
      </c>
      <c r="C47" s="26">
        <v>46098</v>
      </c>
      <c r="D47" s="82">
        <v>3319</v>
      </c>
      <c r="E47" s="82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59172279</v>
      </c>
      <c r="K47" t="s">
        <v>3016</v>
      </c>
      <c r="L47" t="s">
        <v>3022</v>
      </c>
      <c r="M47" s="37">
        <v>199900</v>
      </c>
      <c r="N47" s="81" t="s">
        <v>2826</v>
      </c>
      <c r="O47" s="37" t="s">
        <v>3223</v>
      </c>
      <c r="P47" s="28" t="s">
        <v>2826</v>
      </c>
    </row>
    <row r="48" spans="1:16" x14ac:dyDescent="0.3">
      <c r="A48" s="25" t="s">
        <v>3222</v>
      </c>
      <c r="B48" s="26">
        <v>46093</v>
      </c>
      <c r="C48" s="26">
        <v>46098</v>
      </c>
      <c r="D48" s="82">
        <v>3319</v>
      </c>
      <c r="E48" s="82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59172288</v>
      </c>
      <c r="K48" t="s">
        <v>3016</v>
      </c>
      <c r="L48" t="s">
        <v>3023</v>
      </c>
      <c r="M48" s="37">
        <v>199900</v>
      </c>
      <c r="N48" s="81" t="s">
        <v>2826</v>
      </c>
      <c r="O48" s="37" t="s">
        <v>3223</v>
      </c>
      <c r="P48" s="28" t="s">
        <v>2826</v>
      </c>
    </row>
    <row r="49" spans="1:16" x14ac:dyDescent="0.3">
      <c r="A49" s="25" t="s">
        <v>3222</v>
      </c>
      <c r="B49" s="26">
        <v>46093</v>
      </c>
      <c r="C49" s="26">
        <v>46098</v>
      </c>
      <c r="D49" s="82">
        <v>3319</v>
      </c>
      <c r="E49" s="82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59172297</v>
      </c>
      <c r="K49" t="s">
        <v>3016</v>
      </c>
      <c r="L49" t="s">
        <v>3024</v>
      </c>
      <c r="M49" s="37">
        <v>199900</v>
      </c>
      <c r="N49" s="81" t="s">
        <v>2826</v>
      </c>
      <c r="O49" s="37" t="s">
        <v>3223</v>
      </c>
      <c r="P49" s="28" t="s">
        <v>2826</v>
      </c>
    </row>
    <row r="50" spans="1:16" x14ac:dyDescent="0.3">
      <c r="A50" s="25" t="s">
        <v>3222</v>
      </c>
      <c r="B50" s="26">
        <v>46093</v>
      </c>
      <c r="C50" s="26">
        <v>46098</v>
      </c>
      <c r="D50" s="82">
        <v>3319</v>
      </c>
      <c r="E50" s="82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59172304</v>
      </c>
      <c r="K50" t="s">
        <v>3016</v>
      </c>
      <c r="L50" t="s">
        <v>3025</v>
      </c>
      <c r="M50" s="37">
        <v>199900</v>
      </c>
      <c r="N50" s="81" t="s">
        <v>2826</v>
      </c>
      <c r="O50" s="37" t="s">
        <v>3223</v>
      </c>
      <c r="P50" s="28" t="s">
        <v>2826</v>
      </c>
    </row>
    <row r="51" spans="1:16" x14ac:dyDescent="0.3">
      <c r="A51" s="25" t="s">
        <v>3222</v>
      </c>
      <c r="B51" s="26">
        <v>46093</v>
      </c>
      <c r="C51" s="26">
        <v>46098</v>
      </c>
      <c r="D51" s="82">
        <v>3319</v>
      </c>
      <c r="E51" s="82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59172313</v>
      </c>
      <c r="K51" t="s">
        <v>3016</v>
      </c>
      <c r="L51" t="s">
        <v>3026</v>
      </c>
      <c r="M51" s="37">
        <v>199900</v>
      </c>
      <c r="N51" s="81" t="s">
        <v>2826</v>
      </c>
      <c r="O51" s="37" t="s">
        <v>3223</v>
      </c>
      <c r="P51" s="28" t="s">
        <v>2826</v>
      </c>
    </row>
    <row r="52" spans="1:16" x14ac:dyDescent="0.3">
      <c r="A52" s="25" t="s">
        <v>3222</v>
      </c>
      <c r="B52" s="26">
        <v>46093</v>
      </c>
      <c r="C52" s="26">
        <v>46098</v>
      </c>
      <c r="D52" s="82">
        <v>3319</v>
      </c>
      <c r="E52" s="82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59172322</v>
      </c>
      <c r="K52" t="s">
        <v>3027</v>
      </c>
      <c r="L52" t="s">
        <v>3028</v>
      </c>
      <c r="M52" s="37">
        <v>199900</v>
      </c>
      <c r="N52" s="81" t="s">
        <v>2826</v>
      </c>
      <c r="O52" s="37" t="s">
        <v>3223</v>
      </c>
      <c r="P52" s="28" t="s">
        <v>2826</v>
      </c>
    </row>
    <row r="53" spans="1:16" x14ac:dyDescent="0.3">
      <c r="A53" s="25" t="s">
        <v>3222</v>
      </c>
      <c r="B53" s="26">
        <v>46093</v>
      </c>
      <c r="C53" s="26">
        <v>46098</v>
      </c>
      <c r="D53" s="82">
        <v>3319</v>
      </c>
      <c r="E53" s="82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59172331</v>
      </c>
      <c r="K53" t="s">
        <v>3027</v>
      </c>
      <c r="L53" t="s">
        <v>3029</v>
      </c>
      <c r="M53" s="37">
        <v>199900</v>
      </c>
      <c r="N53" s="81" t="s">
        <v>2826</v>
      </c>
      <c r="O53" s="37" t="s">
        <v>3223</v>
      </c>
      <c r="P53" s="28" t="s">
        <v>2826</v>
      </c>
    </row>
    <row r="54" spans="1:16" x14ac:dyDescent="0.3">
      <c r="A54" s="25" t="s">
        <v>3222</v>
      </c>
      <c r="B54" s="26">
        <v>46093</v>
      </c>
      <c r="C54" s="26">
        <v>46098</v>
      </c>
      <c r="D54" s="82">
        <v>3319</v>
      </c>
      <c r="E54" s="82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59172340</v>
      </c>
      <c r="K54" t="s">
        <v>3027</v>
      </c>
      <c r="L54" t="s">
        <v>3030</v>
      </c>
      <c r="M54" s="37">
        <v>199900</v>
      </c>
      <c r="N54" s="81" t="s">
        <v>2826</v>
      </c>
      <c r="O54" s="37" t="s">
        <v>3223</v>
      </c>
      <c r="P54" s="28" t="s">
        <v>2826</v>
      </c>
    </row>
    <row r="55" spans="1:16" x14ac:dyDescent="0.3">
      <c r="A55" s="25" t="s">
        <v>3222</v>
      </c>
      <c r="B55" s="26">
        <v>46093</v>
      </c>
      <c r="C55" s="26">
        <v>46098</v>
      </c>
      <c r="D55" s="82">
        <v>3319</v>
      </c>
      <c r="E55" s="82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59172359</v>
      </c>
      <c r="K55" t="s">
        <v>3027</v>
      </c>
      <c r="L55" t="s">
        <v>3031</v>
      </c>
      <c r="M55" s="37">
        <v>199900</v>
      </c>
      <c r="N55" s="81" t="s">
        <v>2826</v>
      </c>
      <c r="O55" s="37" t="s">
        <v>3223</v>
      </c>
      <c r="P55" s="28" t="s">
        <v>2826</v>
      </c>
    </row>
    <row r="56" spans="1:16" x14ac:dyDescent="0.3">
      <c r="A56" s="25" t="s">
        <v>3222</v>
      </c>
      <c r="B56" s="26">
        <v>46093</v>
      </c>
      <c r="C56" s="26">
        <v>46098</v>
      </c>
      <c r="D56" s="82">
        <v>3319</v>
      </c>
      <c r="E56" s="82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59172368</v>
      </c>
      <c r="K56" t="s">
        <v>3027</v>
      </c>
      <c r="L56" t="s">
        <v>3032</v>
      </c>
      <c r="M56" s="37">
        <v>199900</v>
      </c>
      <c r="N56" s="81" t="s">
        <v>2826</v>
      </c>
      <c r="O56" s="37" t="s">
        <v>3223</v>
      </c>
      <c r="P56" s="28" t="s">
        <v>2826</v>
      </c>
    </row>
    <row r="57" spans="1:16" x14ac:dyDescent="0.3">
      <c r="A57" s="25" t="s">
        <v>3222</v>
      </c>
      <c r="B57" s="26">
        <v>46093</v>
      </c>
      <c r="C57" s="26">
        <v>46098</v>
      </c>
      <c r="D57" s="82">
        <v>3319</v>
      </c>
      <c r="E57" s="82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59172377</v>
      </c>
      <c r="K57" t="s">
        <v>3027</v>
      </c>
      <c r="L57" t="s">
        <v>3033</v>
      </c>
      <c r="M57" s="37">
        <v>199900</v>
      </c>
      <c r="N57" s="81" t="s">
        <v>2826</v>
      </c>
      <c r="O57" s="37" t="s">
        <v>3223</v>
      </c>
      <c r="P57" s="28" t="s">
        <v>2826</v>
      </c>
    </row>
    <row r="58" spans="1:16" x14ac:dyDescent="0.3">
      <c r="A58" s="25" t="s">
        <v>3222</v>
      </c>
      <c r="B58" s="26">
        <v>46093</v>
      </c>
      <c r="C58" s="26">
        <v>46098</v>
      </c>
      <c r="D58" s="82">
        <v>3319</v>
      </c>
      <c r="E58" s="82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59172386</v>
      </c>
      <c r="K58" t="s">
        <v>3027</v>
      </c>
      <c r="L58" t="s">
        <v>3034</v>
      </c>
      <c r="M58" s="37">
        <v>199900</v>
      </c>
      <c r="N58" s="81" t="s">
        <v>2826</v>
      </c>
      <c r="O58" s="37" t="s">
        <v>3223</v>
      </c>
      <c r="P58" s="28" t="s">
        <v>2826</v>
      </c>
    </row>
    <row r="59" spans="1:16" x14ac:dyDescent="0.3">
      <c r="A59" s="25" t="s">
        <v>3222</v>
      </c>
      <c r="B59" s="26">
        <v>46093</v>
      </c>
      <c r="C59" s="26">
        <v>46098</v>
      </c>
      <c r="D59" s="82">
        <v>3319</v>
      </c>
      <c r="E59" s="82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59172395</v>
      </c>
      <c r="K59" t="s">
        <v>3027</v>
      </c>
      <c r="L59" t="s">
        <v>3035</v>
      </c>
      <c r="M59" s="37">
        <v>199900</v>
      </c>
      <c r="N59" s="81" t="s">
        <v>2826</v>
      </c>
      <c r="O59" s="37" t="s">
        <v>3223</v>
      </c>
      <c r="P59" s="28" t="s">
        <v>2826</v>
      </c>
    </row>
    <row r="60" spans="1:16" x14ac:dyDescent="0.3">
      <c r="A60" s="25" t="s">
        <v>3222</v>
      </c>
      <c r="B60" s="26">
        <v>46093</v>
      </c>
      <c r="C60" s="26">
        <v>46098</v>
      </c>
      <c r="D60" s="82">
        <v>3319</v>
      </c>
      <c r="E60" s="82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59172402</v>
      </c>
      <c r="K60" t="s">
        <v>3027</v>
      </c>
      <c r="L60" t="s">
        <v>3036</v>
      </c>
      <c r="M60" s="37">
        <v>199900</v>
      </c>
      <c r="N60" s="81" t="s">
        <v>2826</v>
      </c>
      <c r="O60" s="37" t="s">
        <v>3223</v>
      </c>
      <c r="P60" s="28" t="s">
        <v>2826</v>
      </c>
    </row>
    <row r="61" spans="1:16" x14ac:dyDescent="0.3">
      <c r="A61" s="25" t="s">
        <v>3222</v>
      </c>
      <c r="B61" s="26">
        <v>46093</v>
      </c>
      <c r="C61" s="26">
        <v>46098</v>
      </c>
      <c r="D61" s="82">
        <v>3319</v>
      </c>
      <c r="E61" s="82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59172411</v>
      </c>
      <c r="K61" t="s">
        <v>3027</v>
      </c>
      <c r="L61" t="s">
        <v>3037</v>
      </c>
      <c r="M61" s="37">
        <v>199900</v>
      </c>
      <c r="N61" s="81" t="s">
        <v>2826</v>
      </c>
      <c r="O61" s="37" t="s">
        <v>3223</v>
      </c>
      <c r="P61" s="28" t="s">
        <v>2826</v>
      </c>
    </row>
    <row r="62" spans="1:16" x14ac:dyDescent="0.3">
      <c r="A62" s="25" t="s">
        <v>3222</v>
      </c>
      <c r="B62" s="26">
        <v>46093</v>
      </c>
      <c r="C62" s="26">
        <v>46098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59170342</v>
      </c>
      <c r="K62" t="s">
        <v>3038</v>
      </c>
      <c r="L62" t="s">
        <v>3039</v>
      </c>
      <c r="M62" s="37">
        <v>199900</v>
      </c>
      <c r="N62" s="81" t="s">
        <v>2826</v>
      </c>
      <c r="O62" s="37" t="s">
        <v>3223</v>
      </c>
      <c r="P62" s="28" t="s">
        <v>2826</v>
      </c>
    </row>
    <row r="63" spans="1:16" x14ac:dyDescent="0.3">
      <c r="A63" s="25" t="s">
        <v>3222</v>
      </c>
      <c r="B63" s="26">
        <v>46093</v>
      </c>
      <c r="C63" s="26">
        <v>46098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59170351</v>
      </c>
      <c r="K63" t="s">
        <v>3038</v>
      </c>
      <c r="L63" t="s">
        <v>3040</v>
      </c>
      <c r="M63" s="37">
        <v>199900</v>
      </c>
      <c r="N63" s="81" t="s">
        <v>2826</v>
      </c>
      <c r="O63" s="37" t="s">
        <v>3223</v>
      </c>
      <c r="P63" s="28" t="s">
        <v>2826</v>
      </c>
    </row>
    <row r="64" spans="1:16" x14ac:dyDescent="0.3">
      <c r="A64" s="25" t="s">
        <v>3222</v>
      </c>
      <c r="B64" s="26">
        <v>46093</v>
      </c>
      <c r="C64" s="26">
        <v>46098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59170360</v>
      </c>
      <c r="K64" t="s">
        <v>3038</v>
      </c>
      <c r="L64" t="s">
        <v>3041</v>
      </c>
      <c r="M64" s="37">
        <v>199900</v>
      </c>
      <c r="N64" s="81" t="s">
        <v>2826</v>
      </c>
      <c r="O64" s="37" t="s">
        <v>3223</v>
      </c>
      <c r="P64" s="28" t="s">
        <v>2826</v>
      </c>
    </row>
    <row r="65" spans="1:16" x14ac:dyDescent="0.3">
      <c r="A65" s="25" t="s">
        <v>3222</v>
      </c>
      <c r="B65" s="26">
        <v>46093</v>
      </c>
      <c r="C65" s="26">
        <v>46098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59170379</v>
      </c>
      <c r="K65" t="s">
        <v>3038</v>
      </c>
      <c r="L65" t="s">
        <v>3042</v>
      </c>
      <c r="M65" s="37">
        <v>199900</v>
      </c>
      <c r="N65" s="81" t="s">
        <v>2826</v>
      </c>
      <c r="O65" s="37" t="s">
        <v>3223</v>
      </c>
      <c r="P65" s="28" t="s">
        <v>2826</v>
      </c>
    </row>
    <row r="66" spans="1:16" x14ac:dyDescent="0.3">
      <c r="A66" s="25" t="s">
        <v>3222</v>
      </c>
      <c r="B66" s="26">
        <v>46093</v>
      </c>
      <c r="C66" s="26">
        <v>46098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59170388</v>
      </c>
      <c r="K66" t="s">
        <v>3038</v>
      </c>
      <c r="L66" t="s">
        <v>3043</v>
      </c>
      <c r="M66" s="37">
        <v>199900</v>
      </c>
      <c r="N66" s="81" t="s">
        <v>2826</v>
      </c>
      <c r="O66" s="37" t="s">
        <v>3223</v>
      </c>
      <c r="P66" s="28" t="s">
        <v>2826</v>
      </c>
    </row>
    <row r="67" spans="1:16" x14ac:dyDescent="0.3">
      <c r="A67" s="25" t="s">
        <v>3222</v>
      </c>
      <c r="B67" s="26">
        <v>46093</v>
      </c>
      <c r="C67" s="26">
        <v>46098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59170397</v>
      </c>
      <c r="K67" t="s">
        <v>3038</v>
      </c>
      <c r="L67" t="s">
        <v>3044</v>
      </c>
      <c r="M67" s="37">
        <v>199900</v>
      </c>
      <c r="N67" s="81" t="s">
        <v>2826</v>
      </c>
      <c r="O67" s="37" t="s">
        <v>3223</v>
      </c>
      <c r="P67" s="28" t="s">
        <v>2826</v>
      </c>
    </row>
    <row r="68" spans="1:16" x14ac:dyDescent="0.3">
      <c r="A68" s="25" t="s">
        <v>3222</v>
      </c>
      <c r="B68" s="26">
        <v>46093</v>
      </c>
      <c r="C68" s="26">
        <v>46098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59170753</v>
      </c>
      <c r="K68" t="s">
        <v>3045</v>
      </c>
      <c r="L68" t="s">
        <v>3046</v>
      </c>
      <c r="M68" s="37">
        <v>199900</v>
      </c>
      <c r="N68" s="81" t="s">
        <v>2826</v>
      </c>
      <c r="O68" s="37" t="s">
        <v>3223</v>
      </c>
      <c r="P68" s="28" t="s">
        <v>2826</v>
      </c>
    </row>
    <row r="69" spans="1:16" x14ac:dyDescent="0.3">
      <c r="A69" s="25" t="s">
        <v>3222</v>
      </c>
      <c r="B69" s="26">
        <v>46093</v>
      </c>
      <c r="C69" s="26">
        <v>46098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59170762</v>
      </c>
      <c r="K69" t="s">
        <v>3045</v>
      </c>
      <c r="L69" t="s">
        <v>3047</v>
      </c>
      <c r="M69" s="37">
        <v>199900</v>
      </c>
      <c r="N69" s="81" t="s">
        <v>2826</v>
      </c>
      <c r="O69" s="37" t="s">
        <v>3223</v>
      </c>
      <c r="P69" s="28" t="s">
        <v>2826</v>
      </c>
    </row>
    <row r="70" spans="1:16" x14ac:dyDescent="0.3">
      <c r="A70" s="25" t="s">
        <v>3222</v>
      </c>
      <c r="B70" s="26">
        <v>46093</v>
      </c>
      <c r="C70" s="26">
        <v>46098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59170771</v>
      </c>
      <c r="K70" t="s">
        <v>3045</v>
      </c>
      <c r="L70" t="s">
        <v>3048</v>
      </c>
      <c r="M70" s="37">
        <v>199900</v>
      </c>
      <c r="N70" s="81" t="s">
        <v>2826</v>
      </c>
      <c r="O70" s="37" t="s">
        <v>3223</v>
      </c>
      <c r="P70" s="28" t="s">
        <v>2826</v>
      </c>
    </row>
    <row r="71" spans="1:16" x14ac:dyDescent="0.3">
      <c r="A71" s="25" t="s">
        <v>3222</v>
      </c>
      <c r="B71" s="26">
        <v>46093</v>
      </c>
      <c r="C71" s="26">
        <v>46098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59170780</v>
      </c>
      <c r="K71" t="s">
        <v>3045</v>
      </c>
      <c r="L71" t="s">
        <v>3049</v>
      </c>
      <c r="M71" s="37">
        <v>199900</v>
      </c>
      <c r="N71" s="81" t="s">
        <v>2826</v>
      </c>
      <c r="O71" s="37" t="s">
        <v>3223</v>
      </c>
      <c r="P71" s="28" t="s">
        <v>2826</v>
      </c>
    </row>
    <row r="72" spans="1:16" x14ac:dyDescent="0.3">
      <c r="A72" s="25" t="s">
        <v>3222</v>
      </c>
      <c r="B72" s="26">
        <v>46093</v>
      </c>
      <c r="C72" s="26">
        <v>46098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59170799</v>
      </c>
      <c r="K72" t="s">
        <v>3045</v>
      </c>
      <c r="L72" t="s">
        <v>3050</v>
      </c>
      <c r="M72" s="37">
        <v>199900</v>
      </c>
      <c r="N72" s="81" t="s">
        <v>2826</v>
      </c>
      <c r="O72" s="37" t="s">
        <v>3223</v>
      </c>
      <c r="P72" s="28" t="s">
        <v>2826</v>
      </c>
    </row>
    <row r="73" spans="1:16" x14ac:dyDescent="0.3">
      <c r="A73" s="25" t="s">
        <v>3222</v>
      </c>
      <c r="B73" s="26">
        <v>46093</v>
      </c>
      <c r="C73" s="26">
        <v>46098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59170806</v>
      </c>
      <c r="K73" t="s">
        <v>3045</v>
      </c>
      <c r="L73" t="s">
        <v>3051</v>
      </c>
      <c r="M73" s="37">
        <v>199900</v>
      </c>
      <c r="N73" s="81" t="s">
        <v>2826</v>
      </c>
      <c r="O73" s="37" t="s">
        <v>3223</v>
      </c>
      <c r="P73" s="28" t="s">
        <v>2826</v>
      </c>
    </row>
    <row r="74" spans="1:16" x14ac:dyDescent="0.3">
      <c r="A74" s="25" t="s">
        <v>3222</v>
      </c>
      <c r="B74" s="26">
        <v>46093</v>
      </c>
      <c r="C74" s="26">
        <v>46098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59170815</v>
      </c>
      <c r="K74" t="s">
        <v>3045</v>
      </c>
      <c r="L74" t="s">
        <v>3052</v>
      </c>
      <c r="M74" s="37">
        <v>199900</v>
      </c>
      <c r="N74" s="81" t="s">
        <v>2826</v>
      </c>
      <c r="O74" s="37" t="s">
        <v>3223</v>
      </c>
      <c r="P74" s="28" t="s">
        <v>2826</v>
      </c>
    </row>
    <row r="75" spans="1:16" x14ac:dyDescent="0.3">
      <c r="A75" s="25" t="s">
        <v>3222</v>
      </c>
      <c r="B75" s="26">
        <v>46093</v>
      </c>
      <c r="C75" s="26">
        <v>46098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59170824</v>
      </c>
      <c r="K75" t="s">
        <v>3045</v>
      </c>
      <c r="L75" t="s">
        <v>3053</v>
      </c>
      <c r="M75" s="37">
        <v>199900</v>
      </c>
      <c r="N75" s="81" t="s">
        <v>2826</v>
      </c>
      <c r="O75" s="37" t="s">
        <v>3223</v>
      </c>
      <c r="P75" s="28" t="s">
        <v>2826</v>
      </c>
    </row>
    <row r="76" spans="1:16" x14ac:dyDescent="0.3">
      <c r="A76" s="25" t="s">
        <v>3222</v>
      </c>
      <c r="B76" s="26">
        <v>46093</v>
      </c>
      <c r="C76" s="26">
        <v>46098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59170833</v>
      </c>
      <c r="K76" t="s">
        <v>3045</v>
      </c>
      <c r="L76" t="s">
        <v>3054</v>
      </c>
      <c r="M76" s="37">
        <v>199900</v>
      </c>
      <c r="N76" s="81" t="s">
        <v>2826</v>
      </c>
      <c r="O76" s="37" t="s">
        <v>3223</v>
      </c>
      <c r="P76" s="28" t="s">
        <v>2826</v>
      </c>
    </row>
    <row r="77" spans="1:16" x14ac:dyDescent="0.3">
      <c r="A77" s="25" t="s">
        <v>3222</v>
      </c>
      <c r="B77" s="26">
        <v>46093</v>
      </c>
      <c r="C77" s="26">
        <v>46098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59170842</v>
      </c>
      <c r="K77" t="s">
        <v>3045</v>
      </c>
      <c r="L77" t="s">
        <v>3055</v>
      </c>
      <c r="M77" s="37">
        <v>199900</v>
      </c>
      <c r="N77" s="81" t="s">
        <v>2826</v>
      </c>
      <c r="O77" s="37" t="s">
        <v>3223</v>
      </c>
      <c r="P77" s="28" t="s">
        <v>2826</v>
      </c>
    </row>
    <row r="78" spans="1:16" x14ac:dyDescent="0.3">
      <c r="A78" s="25" t="s">
        <v>3222</v>
      </c>
      <c r="B78" s="26">
        <v>46093</v>
      </c>
      <c r="C78" s="26">
        <v>46098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59170851</v>
      </c>
      <c r="K78" t="s">
        <v>3056</v>
      </c>
      <c r="L78" t="s">
        <v>3057</v>
      </c>
      <c r="M78" s="37">
        <v>199900</v>
      </c>
      <c r="N78" s="81" t="s">
        <v>2826</v>
      </c>
      <c r="O78" s="37" t="s">
        <v>3223</v>
      </c>
      <c r="P78" s="28" t="s">
        <v>2826</v>
      </c>
    </row>
    <row r="79" spans="1:16" x14ac:dyDescent="0.3">
      <c r="A79" s="25" t="s">
        <v>3222</v>
      </c>
      <c r="B79" s="26">
        <v>46093</v>
      </c>
      <c r="C79" s="26">
        <v>46098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59170860</v>
      </c>
      <c r="K79" t="s">
        <v>3056</v>
      </c>
      <c r="L79" t="s">
        <v>3058</v>
      </c>
      <c r="M79" s="37">
        <v>199900</v>
      </c>
      <c r="N79" s="81" t="s">
        <v>2826</v>
      </c>
      <c r="O79" s="37" t="s">
        <v>3223</v>
      </c>
      <c r="P79" s="28" t="s">
        <v>2826</v>
      </c>
    </row>
    <row r="80" spans="1:16" x14ac:dyDescent="0.3">
      <c r="A80" s="25" t="s">
        <v>3222</v>
      </c>
      <c r="B80" s="26">
        <v>46093</v>
      </c>
      <c r="C80" s="26">
        <v>46098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59170879</v>
      </c>
      <c r="K80" t="s">
        <v>3056</v>
      </c>
      <c r="L80" t="s">
        <v>3059</v>
      </c>
      <c r="M80" s="37">
        <v>199900</v>
      </c>
      <c r="N80" s="81" t="s">
        <v>2826</v>
      </c>
      <c r="O80" s="37" t="s">
        <v>3223</v>
      </c>
      <c r="P80" s="28" t="s">
        <v>2826</v>
      </c>
    </row>
    <row r="81" spans="1:16" x14ac:dyDescent="0.3">
      <c r="A81" s="25" t="s">
        <v>3222</v>
      </c>
      <c r="B81" s="26">
        <v>46093</v>
      </c>
      <c r="C81" s="26">
        <v>46098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59170888</v>
      </c>
      <c r="K81" t="s">
        <v>3056</v>
      </c>
      <c r="L81" t="s">
        <v>3060</v>
      </c>
      <c r="M81" s="37">
        <v>199900</v>
      </c>
      <c r="N81" s="81" t="s">
        <v>2826</v>
      </c>
      <c r="O81" s="37" t="s">
        <v>3223</v>
      </c>
      <c r="P81" s="28" t="s">
        <v>2826</v>
      </c>
    </row>
    <row r="82" spans="1:16" x14ac:dyDescent="0.3">
      <c r="A82" s="25" t="s">
        <v>3222</v>
      </c>
      <c r="B82" s="26">
        <v>46093</v>
      </c>
      <c r="C82" s="26">
        <v>46098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59170897</v>
      </c>
      <c r="K82" t="s">
        <v>3056</v>
      </c>
      <c r="L82" t="s">
        <v>3061</v>
      </c>
      <c r="M82" s="37">
        <v>199900</v>
      </c>
      <c r="N82" s="81" t="s">
        <v>2826</v>
      </c>
      <c r="O82" s="37" t="s">
        <v>3223</v>
      </c>
      <c r="P82" s="28" t="s">
        <v>2826</v>
      </c>
    </row>
    <row r="83" spans="1:16" x14ac:dyDescent="0.3">
      <c r="A83" s="25" t="s">
        <v>3222</v>
      </c>
      <c r="B83" s="26">
        <v>46093</v>
      </c>
      <c r="C83" s="26">
        <v>46098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59170904</v>
      </c>
      <c r="K83" t="s">
        <v>3056</v>
      </c>
      <c r="L83" t="s">
        <v>3062</v>
      </c>
      <c r="M83" s="37">
        <v>199900</v>
      </c>
      <c r="N83" s="81" t="s">
        <v>2826</v>
      </c>
      <c r="O83" s="37" t="s">
        <v>3223</v>
      </c>
      <c r="P83" s="28" t="s">
        <v>2826</v>
      </c>
    </row>
    <row r="84" spans="1:16" x14ac:dyDescent="0.3">
      <c r="A84" s="25" t="s">
        <v>3222</v>
      </c>
      <c r="B84" s="26">
        <v>46093</v>
      </c>
      <c r="C84" s="26">
        <v>46098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59170913</v>
      </c>
      <c r="K84" t="s">
        <v>3056</v>
      </c>
      <c r="L84" t="s">
        <v>3063</v>
      </c>
      <c r="M84" s="37">
        <v>199900</v>
      </c>
      <c r="N84" s="81" t="s">
        <v>2826</v>
      </c>
      <c r="O84" s="37" t="s">
        <v>3223</v>
      </c>
      <c r="P84" s="28" t="s">
        <v>2826</v>
      </c>
    </row>
    <row r="85" spans="1:16" x14ac:dyDescent="0.3">
      <c r="A85" s="25" t="s">
        <v>3222</v>
      </c>
      <c r="B85" s="26">
        <v>46093</v>
      </c>
      <c r="C85" s="26">
        <v>46098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59170922</v>
      </c>
      <c r="K85" t="s">
        <v>3056</v>
      </c>
      <c r="L85" t="s">
        <v>3064</v>
      </c>
      <c r="M85" s="37">
        <v>199900</v>
      </c>
      <c r="N85" s="81" t="s">
        <v>2826</v>
      </c>
      <c r="O85" s="37" t="s">
        <v>3223</v>
      </c>
      <c r="P85" s="28" t="s">
        <v>2826</v>
      </c>
    </row>
    <row r="86" spans="1:16" x14ac:dyDescent="0.3">
      <c r="A86" s="25" t="s">
        <v>3222</v>
      </c>
      <c r="B86" s="26">
        <v>46093</v>
      </c>
      <c r="C86" s="26">
        <v>46098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59170931</v>
      </c>
      <c r="K86" t="s">
        <v>3056</v>
      </c>
      <c r="L86" t="s">
        <v>3065</v>
      </c>
      <c r="M86" s="37">
        <v>199900</v>
      </c>
      <c r="N86" s="81" t="s">
        <v>2826</v>
      </c>
      <c r="O86" s="37" t="s">
        <v>3223</v>
      </c>
      <c r="P86" s="28" t="s">
        <v>2826</v>
      </c>
    </row>
    <row r="87" spans="1:16" x14ac:dyDescent="0.3">
      <c r="A87" s="25" t="s">
        <v>3222</v>
      </c>
      <c r="B87" s="26">
        <v>46093</v>
      </c>
      <c r="C87" s="26">
        <v>46098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59170940</v>
      </c>
      <c r="K87" t="s">
        <v>3056</v>
      </c>
      <c r="L87" t="s">
        <v>3066</v>
      </c>
      <c r="M87" s="37">
        <v>199900</v>
      </c>
      <c r="N87" s="81" t="s">
        <v>2826</v>
      </c>
      <c r="O87" s="37" t="s">
        <v>3223</v>
      </c>
      <c r="P87" s="28" t="s">
        <v>2826</v>
      </c>
    </row>
    <row r="88" spans="1:16" x14ac:dyDescent="0.3">
      <c r="A88" s="25" t="s">
        <v>3222</v>
      </c>
      <c r="B88" s="26">
        <v>46093</v>
      </c>
      <c r="C88" s="26">
        <v>46098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59170959</v>
      </c>
      <c r="K88" t="s">
        <v>3056</v>
      </c>
      <c r="L88" t="s">
        <v>3067</v>
      </c>
      <c r="M88" s="37">
        <v>199900</v>
      </c>
      <c r="N88" s="81" t="s">
        <v>2826</v>
      </c>
      <c r="O88" s="37" t="s">
        <v>3223</v>
      </c>
      <c r="P88" s="28" t="s">
        <v>2826</v>
      </c>
    </row>
    <row r="89" spans="1:16" x14ac:dyDescent="0.3">
      <c r="A89" s="25" t="s">
        <v>3222</v>
      </c>
      <c r="B89" s="26">
        <v>46093</v>
      </c>
      <c r="C89" s="26">
        <v>46098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59170968</v>
      </c>
      <c r="K89" t="s">
        <v>3056</v>
      </c>
      <c r="L89" t="s">
        <v>3068</v>
      </c>
      <c r="M89" s="37">
        <v>199900</v>
      </c>
      <c r="N89" s="81" t="s">
        <v>2826</v>
      </c>
      <c r="O89" s="37" t="s">
        <v>3223</v>
      </c>
      <c r="P89" s="28" t="s">
        <v>2826</v>
      </c>
    </row>
    <row r="90" spans="1:16" x14ac:dyDescent="0.3">
      <c r="A90" s="25" t="s">
        <v>3222</v>
      </c>
      <c r="B90" s="26">
        <v>46093</v>
      </c>
      <c r="C90" s="26">
        <v>46098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59170977</v>
      </c>
      <c r="K90" t="s">
        <v>3056</v>
      </c>
      <c r="L90" t="s">
        <v>3069</v>
      </c>
      <c r="M90" s="37">
        <v>199900</v>
      </c>
      <c r="N90" s="81" t="s">
        <v>2826</v>
      </c>
      <c r="O90" s="37" t="s">
        <v>3223</v>
      </c>
      <c r="P90" s="28" t="s">
        <v>2826</v>
      </c>
    </row>
    <row r="91" spans="1:16" x14ac:dyDescent="0.3">
      <c r="A91" s="25" t="s">
        <v>3222</v>
      </c>
      <c r="B91" s="26">
        <v>46093</v>
      </c>
      <c r="C91" s="26">
        <v>46098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59170986</v>
      </c>
      <c r="K91" t="s">
        <v>3056</v>
      </c>
      <c r="L91" t="s">
        <v>3070</v>
      </c>
      <c r="M91" s="37">
        <v>199900</v>
      </c>
      <c r="N91" s="81" t="s">
        <v>2826</v>
      </c>
      <c r="O91" s="37" t="s">
        <v>3223</v>
      </c>
      <c r="P91" s="28" t="s">
        <v>2826</v>
      </c>
    </row>
    <row r="92" spans="1:16" x14ac:dyDescent="0.3">
      <c r="A92" s="25" t="s">
        <v>3222</v>
      </c>
      <c r="B92" s="26">
        <v>46093</v>
      </c>
      <c r="C92" s="26">
        <v>46098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59170995</v>
      </c>
      <c r="K92" t="s">
        <v>3056</v>
      </c>
      <c r="L92" t="s">
        <v>3071</v>
      </c>
      <c r="M92" s="37">
        <v>199900</v>
      </c>
      <c r="N92" s="81" t="s">
        <v>2826</v>
      </c>
      <c r="O92" s="37" t="s">
        <v>3223</v>
      </c>
      <c r="P92" s="28" t="s">
        <v>2826</v>
      </c>
    </row>
    <row r="93" spans="1:16" x14ac:dyDescent="0.3">
      <c r="A93" s="25" t="s">
        <v>3222</v>
      </c>
      <c r="B93" s="26">
        <v>46093</v>
      </c>
      <c r="C93" s="26">
        <v>46098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59171207</v>
      </c>
      <c r="K93" t="s">
        <v>3072</v>
      </c>
      <c r="L93" t="s">
        <v>3073</v>
      </c>
      <c r="M93" s="37">
        <v>199900</v>
      </c>
      <c r="N93" s="81" t="s">
        <v>2826</v>
      </c>
      <c r="O93" s="37" t="s">
        <v>3223</v>
      </c>
      <c r="P93" s="28" t="s">
        <v>2826</v>
      </c>
    </row>
    <row r="94" spans="1:16" x14ac:dyDescent="0.3">
      <c r="A94" s="25" t="s">
        <v>3222</v>
      </c>
      <c r="B94" s="26">
        <v>46093</v>
      </c>
      <c r="C94" s="26">
        <v>46098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59171216</v>
      </c>
      <c r="K94" t="s">
        <v>3072</v>
      </c>
      <c r="L94" t="s">
        <v>3074</v>
      </c>
      <c r="M94" s="37">
        <v>199900</v>
      </c>
      <c r="N94" s="81" t="s">
        <v>2826</v>
      </c>
      <c r="O94" s="37" t="s">
        <v>3223</v>
      </c>
      <c r="P94" s="28" t="s">
        <v>2826</v>
      </c>
    </row>
    <row r="95" spans="1:16" x14ac:dyDescent="0.3">
      <c r="A95" s="25" t="s">
        <v>3222</v>
      </c>
      <c r="B95" s="26">
        <v>46093</v>
      </c>
      <c r="C95" s="26">
        <v>46098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59171225</v>
      </c>
      <c r="K95" t="s">
        <v>3072</v>
      </c>
      <c r="L95" t="s">
        <v>3075</v>
      </c>
      <c r="M95" s="37">
        <v>199900</v>
      </c>
      <c r="N95" s="81" t="s">
        <v>2826</v>
      </c>
      <c r="O95" s="37" t="s">
        <v>3223</v>
      </c>
      <c r="P95" s="28" t="s">
        <v>2826</v>
      </c>
    </row>
    <row r="96" spans="1:16" x14ac:dyDescent="0.3">
      <c r="A96" s="25" t="s">
        <v>3222</v>
      </c>
      <c r="B96" s="26">
        <v>46093</v>
      </c>
      <c r="C96" s="26">
        <v>46098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59171234</v>
      </c>
      <c r="K96" t="s">
        <v>3072</v>
      </c>
      <c r="L96" t="s">
        <v>3076</v>
      </c>
      <c r="M96" s="37">
        <v>199900</v>
      </c>
      <c r="N96" s="81" t="s">
        <v>2826</v>
      </c>
      <c r="O96" s="37" t="s">
        <v>3223</v>
      </c>
      <c r="P96" s="28" t="s">
        <v>2826</v>
      </c>
    </row>
    <row r="97" spans="1:16" x14ac:dyDescent="0.3">
      <c r="A97" s="25" t="s">
        <v>3222</v>
      </c>
      <c r="B97" s="26">
        <v>46093</v>
      </c>
      <c r="C97" s="26">
        <v>46098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59171243</v>
      </c>
      <c r="K97" t="s">
        <v>3072</v>
      </c>
      <c r="L97" t="s">
        <v>3077</v>
      </c>
      <c r="M97" s="37">
        <v>199900</v>
      </c>
      <c r="N97" s="81" t="s">
        <v>2826</v>
      </c>
      <c r="O97" s="37" t="s">
        <v>3223</v>
      </c>
      <c r="P97" s="28" t="s">
        <v>2826</v>
      </c>
    </row>
    <row r="98" spans="1:16" x14ac:dyDescent="0.3">
      <c r="A98" s="25" t="s">
        <v>3222</v>
      </c>
      <c r="B98" s="26">
        <v>46093</v>
      </c>
      <c r="C98" s="26">
        <v>46098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59171252</v>
      </c>
      <c r="K98" t="s">
        <v>3072</v>
      </c>
      <c r="L98" t="s">
        <v>3078</v>
      </c>
      <c r="M98" s="37">
        <v>199900</v>
      </c>
      <c r="N98" s="81" t="s">
        <v>2826</v>
      </c>
      <c r="O98" s="37" t="s">
        <v>3223</v>
      </c>
      <c r="P98" s="28" t="s">
        <v>2826</v>
      </c>
    </row>
    <row r="99" spans="1:16" x14ac:dyDescent="0.3">
      <c r="A99" s="25" t="s">
        <v>3222</v>
      </c>
      <c r="B99" s="26">
        <v>46093</v>
      </c>
      <c r="C99" s="26">
        <v>46098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59171261</v>
      </c>
      <c r="K99" t="s">
        <v>3072</v>
      </c>
      <c r="L99" t="s">
        <v>3079</v>
      </c>
      <c r="M99" s="37">
        <v>199900</v>
      </c>
      <c r="N99" s="81" t="s">
        <v>2826</v>
      </c>
      <c r="O99" s="37" t="s">
        <v>3223</v>
      </c>
      <c r="P99" s="28" t="s">
        <v>2826</v>
      </c>
    </row>
    <row r="100" spans="1:16" x14ac:dyDescent="0.3">
      <c r="A100" s="25" t="s">
        <v>3222</v>
      </c>
      <c r="B100" s="26">
        <v>46093</v>
      </c>
      <c r="C100" s="26">
        <v>46098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59171270</v>
      </c>
      <c r="K100" t="s">
        <v>3072</v>
      </c>
      <c r="L100" t="s">
        <v>3080</v>
      </c>
      <c r="M100" s="37">
        <v>199900</v>
      </c>
      <c r="N100" s="81" t="s">
        <v>2826</v>
      </c>
      <c r="O100" s="37" t="s">
        <v>3223</v>
      </c>
      <c r="P100" s="28" t="s">
        <v>2826</v>
      </c>
    </row>
    <row r="101" spans="1:16" x14ac:dyDescent="0.3">
      <c r="A101" s="25" t="s">
        <v>3222</v>
      </c>
      <c r="B101" s="26">
        <v>46093</v>
      </c>
      <c r="C101" s="26">
        <v>46098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59171289</v>
      </c>
      <c r="K101" t="s">
        <v>3072</v>
      </c>
      <c r="L101" t="s">
        <v>3081</v>
      </c>
      <c r="M101" s="37">
        <v>199900</v>
      </c>
      <c r="N101" s="81" t="s">
        <v>2826</v>
      </c>
      <c r="O101" s="37" t="s">
        <v>3223</v>
      </c>
      <c r="P101" s="28" t="s">
        <v>2826</v>
      </c>
    </row>
    <row r="102" spans="1:16" x14ac:dyDescent="0.3">
      <c r="A102" s="25" t="s">
        <v>3222</v>
      </c>
      <c r="B102" s="26">
        <v>46093</v>
      </c>
      <c r="C102" s="26">
        <v>46098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59171298</v>
      </c>
      <c r="K102" t="s">
        <v>3072</v>
      </c>
      <c r="L102" t="s">
        <v>3082</v>
      </c>
      <c r="M102" s="37">
        <v>199900</v>
      </c>
      <c r="N102" s="81" t="s">
        <v>2826</v>
      </c>
      <c r="O102" s="37" t="s">
        <v>3223</v>
      </c>
      <c r="P102" s="28" t="s">
        <v>2826</v>
      </c>
    </row>
    <row r="103" spans="1:16" x14ac:dyDescent="0.3">
      <c r="A103" s="25" t="s">
        <v>3222</v>
      </c>
      <c r="B103" s="26">
        <v>46093</v>
      </c>
      <c r="C103" s="26">
        <v>46098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59171305</v>
      </c>
      <c r="K103" t="s">
        <v>3083</v>
      </c>
      <c r="L103" t="s">
        <v>3084</v>
      </c>
      <c r="M103" s="37">
        <v>199900</v>
      </c>
      <c r="N103" s="81" t="s">
        <v>2826</v>
      </c>
      <c r="O103" s="37" t="s">
        <v>3223</v>
      </c>
      <c r="P103" s="28" t="s">
        <v>2826</v>
      </c>
    </row>
    <row r="104" spans="1:16" x14ac:dyDescent="0.3">
      <c r="A104" s="25" t="s">
        <v>3222</v>
      </c>
      <c r="B104" s="26">
        <v>46093</v>
      </c>
      <c r="C104" s="26">
        <v>46098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59171314</v>
      </c>
      <c r="K104" t="s">
        <v>3083</v>
      </c>
      <c r="L104" t="s">
        <v>3085</v>
      </c>
      <c r="M104" s="37">
        <v>199900</v>
      </c>
      <c r="N104" s="81" t="s">
        <v>2826</v>
      </c>
      <c r="O104" s="37" t="s">
        <v>3223</v>
      </c>
      <c r="P104" s="28" t="s">
        <v>2826</v>
      </c>
    </row>
    <row r="105" spans="1:16" x14ac:dyDescent="0.3">
      <c r="A105" s="25" t="s">
        <v>3222</v>
      </c>
      <c r="B105" s="26">
        <v>46093</v>
      </c>
      <c r="C105" s="26">
        <v>46098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59171323</v>
      </c>
      <c r="K105" t="s">
        <v>3083</v>
      </c>
      <c r="L105" t="s">
        <v>3086</v>
      </c>
      <c r="M105" s="37">
        <v>199900</v>
      </c>
      <c r="N105" s="81" t="s">
        <v>2826</v>
      </c>
      <c r="O105" s="37" t="s">
        <v>3223</v>
      </c>
      <c r="P105" s="28" t="s">
        <v>2826</v>
      </c>
    </row>
    <row r="106" spans="1:16" x14ac:dyDescent="0.3">
      <c r="A106" s="25" t="s">
        <v>3222</v>
      </c>
      <c r="B106" s="26">
        <v>46093</v>
      </c>
      <c r="C106" s="26">
        <v>46098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59171332</v>
      </c>
      <c r="K106" t="s">
        <v>3083</v>
      </c>
      <c r="L106" t="s">
        <v>3087</v>
      </c>
      <c r="M106" s="37">
        <v>199900</v>
      </c>
      <c r="N106" s="81" t="s">
        <v>2826</v>
      </c>
      <c r="O106" s="37" t="s">
        <v>3223</v>
      </c>
      <c r="P106" s="28" t="s">
        <v>2826</v>
      </c>
    </row>
    <row r="107" spans="1:16" x14ac:dyDescent="0.3">
      <c r="A107" s="25" t="s">
        <v>3222</v>
      </c>
      <c r="B107" s="26">
        <v>46093</v>
      </c>
      <c r="C107" s="26">
        <v>46098</v>
      </c>
      <c r="D107" s="82">
        <v>3319</v>
      </c>
      <c r="E107" s="82">
        <v>327</v>
      </c>
      <c r="F107" s="25">
        <v>2</v>
      </c>
      <c r="G107" s="28">
        <v>1</v>
      </c>
      <c r="H107" s="28">
        <v>81778</v>
      </c>
      <c r="I107" s="28" t="s">
        <v>17</v>
      </c>
      <c r="J107" s="28">
        <v>59171341</v>
      </c>
      <c r="K107" t="s">
        <v>3083</v>
      </c>
      <c r="L107" t="s">
        <v>3088</v>
      </c>
      <c r="M107" s="37">
        <v>199900</v>
      </c>
      <c r="N107" s="81" t="s">
        <v>2826</v>
      </c>
      <c r="O107" s="37" t="s">
        <v>3223</v>
      </c>
      <c r="P107" s="28" t="s">
        <v>2826</v>
      </c>
    </row>
    <row r="108" spans="1:16" x14ac:dyDescent="0.3">
      <c r="A108" s="25" t="s">
        <v>3222</v>
      </c>
      <c r="B108" s="26">
        <v>46093</v>
      </c>
      <c r="C108" s="26">
        <v>46098</v>
      </c>
      <c r="D108" s="82">
        <v>3319</v>
      </c>
      <c r="E108" s="82">
        <v>327</v>
      </c>
      <c r="F108" s="25">
        <v>2</v>
      </c>
      <c r="G108" s="28">
        <v>1</v>
      </c>
      <c r="H108" s="28">
        <v>81778</v>
      </c>
      <c r="I108" s="28" t="s">
        <v>17</v>
      </c>
      <c r="J108" s="28">
        <v>59171350</v>
      </c>
      <c r="K108" t="s">
        <v>3083</v>
      </c>
      <c r="L108" t="s">
        <v>3089</v>
      </c>
      <c r="M108" s="37">
        <v>199900</v>
      </c>
      <c r="N108" s="81" t="s">
        <v>2826</v>
      </c>
      <c r="O108" s="37" t="s">
        <v>3223</v>
      </c>
      <c r="P108" s="28" t="s">
        <v>2826</v>
      </c>
    </row>
    <row r="109" spans="1:16" x14ac:dyDescent="0.3">
      <c r="A109" s="25" t="s">
        <v>3222</v>
      </c>
      <c r="B109" s="26">
        <v>46093</v>
      </c>
      <c r="C109" s="26">
        <v>46098</v>
      </c>
      <c r="D109" s="82">
        <v>3319</v>
      </c>
      <c r="E109" s="82">
        <v>327</v>
      </c>
      <c r="F109" s="25">
        <v>2</v>
      </c>
      <c r="G109" s="28">
        <v>1</v>
      </c>
      <c r="H109" s="28">
        <v>81778</v>
      </c>
      <c r="I109" s="28" t="s">
        <v>17</v>
      </c>
      <c r="J109" s="28">
        <v>59171369</v>
      </c>
      <c r="K109" t="s">
        <v>3083</v>
      </c>
      <c r="L109" t="s">
        <v>3090</v>
      </c>
      <c r="M109" s="37">
        <v>199900</v>
      </c>
      <c r="N109" s="81" t="s">
        <v>2826</v>
      </c>
      <c r="O109" s="37" t="s">
        <v>3223</v>
      </c>
      <c r="P109" s="28" t="s">
        <v>2826</v>
      </c>
    </row>
    <row r="110" spans="1:16" x14ac:dyDescent="0.3">
      <c r="A110" s="25" t="s">
        <v>3222</v>
      </c>
      <c r="B110" s="26">
        <v>46093</v>
      </c>
      <c r="C110" s="26">
        <v>46098</v>
      </c>
      <c r="D110" s="82">
        <v>3319</v>
      </c>
      <c r="E110" s="82">
        <v>327</v>
      </c>
      <c r="F110" s="25">
        <v>2</v>
      </c>
      <c r="G110" s="28">
        <v>1</v>
      </c>
      <c r="H110" s="28">
        <v>81778</v>
      </c>
      <c r="I110" s="28" t="s">
        <v>17</v>
      </c>
      <c r="J110" s="28">
        <v>59171378</v>
      </c>
      <c r="K110" t="s">
        <v>3083</v>
      </c>
      <c r="L110" t="s">
        <v>3091</v>
      </c>
      <c r="M110" s="37">
        <v>199900</v>
      </c>
      <c r="N110" s="81" t="s">
        <v>2826</v>
      </c>
      <c r="O110" s="37" t="s">
        <v>3223</v>
      </c>
      <c r="P110" s="28" t="s">
        <v>2826</v>
      </c>
    </row>
    <row r="111" spans="1:16" x14ac:dyDescent="0.3">
      <c r="A111" s="25" t="s">
        <v>3222</v>
      </c>
      <c r="B111" s="26">
        <v>46093</v>
      </c>
      <c r="C111" s="26">
        <v>46098</v>
      </c>
      <c r="D111" s="82">
        <v>3319</v>
      </c>
      <c r="E111" s="82">
        <v>327</v>
      </c>
      <c r="F111" s="25">
        <v>2</v>
      </c>
      <c r="G111" s="28">
        <v>1</v>
      </c>
      <c r="H111" s="28">
        <v>81778</v>
      </c>
      <c r="I111" s="28" t="s">
        <v>17</v>
      </c>
      <c r="J111" s="28">
        <v>59171387</v>
      </c>
      <c r="K111" t="s">
        <v>3083</v>
      </c>
      <c r="L111" t="s">
        <v>3092</v>
      </c>
      <c r="M111" s="37">
        <v>199900</v>
      </c>
      <c r="N111" s="81" t="s">
        <v>2826</v>
      </c>
      <c r="O111" s="37" t="s">
        <v>3223</v>
      </c>
      <c r="P111" s="28" t="s">
        <v>2826</v>
      </c>
    </row>
    <row r="112" spans="1:16" x14ac:dyDescent="0.3">
      <c r="A112" s="25" t="s">
        <v>3222</v>
      </c>
      <c r="B112" s="26">
        <v>46093</v>
      </c>
      <c r="C112" s="26">
        <v>46098</v>
      </c>
      <c r="D112" s="82">
        <v>3319</v>
      </c>
      <c r="E112" s="82">
        <v>327</v>
      </c>
      <c r="F112" s="25">
        <v>2</v>
      </c>
      <c r="G112" s="28">
        <v>1</v>
      </c>
      <c r="H112" s="28">
        <v>81778</v>
      </c>
      <c r="I112" s="28" t="s">
        <v>17</v>
      </c>
      <c r="J112" s="28">
        <v>59171396</v>
      </c>
      <c r="K112" t="s">
        <v>3083</v>
      </c>
      <c r="L112" t="s">
        <v>3093</v>
      </c>
      <c r="M112" s="37">
        <v>199900</v>
      </c>
      <c r="N112" s="81" t="s">
        <v>2826</v>
      </c>
      <c r="O112" s="37" t="s">
        <v>3223</v>
      </c>
      <c r="P112" s="28" t="s">
        <v>2826</v>
      </c>
    </row>
    <row r="113" spans="1:16" x14ac:dyDescent="0.3">
      <c r="A113" s="25" t="s">
        <v>3222</v>
      </c>
      <c r="B113" s="26">
        <v>46093</v>
      </c>
      <c r="C113" s="26">
        <v>46098</v>
      </c>
      <c r="D113" s="82">
        <v>3319</v>
      </c>
      <c r="E113" s="82">
        <v>327</v>
      </c>
      <c r="F113" s="25">
        <v>2</v>
      </c>
      <c r="G113" s="28">
        <v>1</v>
      </c>
      <c r="H113" s="28">
        <v>81778</v>
      </c>
      <c r="I113" s="28" t="s">
        <v>17</v>
      </c>
      <c r="J113" s="28">
        <v>61199362</v>
      </c>
      <c r="K113" t="s">
        <v>3094</v>
      </c>
      <c r="L113" t="s">
        <v>3095</v>
      </c>
      <c r="M113" s="37">
        <v>199900</v>
      </c>
      <c r="N113" s="81" t="s">
        <v>2826</v>
      </c>
      <c r="O113" s="37" t="s">
        <v>3223</v>
      </c>
      <c r="P113" s="28" t="s">
        <v>2826</v>
      </c>
    </row>
    <row r="114" spans="1:16" x14ac:dyDescent="0.3">
      <c r="A114" s="25" t="s">
        <v>3222</v>
      </c>
      <c r="B114" s="26">
        <v>46093</v>
      </c>
      <c r="C114" s="26">
        <v>46098</v>
      </c>
      <c r="D114" s="82">
        <v>3319</v>
      </c>
      <c r="E114" s="82">
        <v>327</v>
      </c>
      <c r="F114" s="25">
        <v>2</v>
      </c>
      <c r="G114" s="28">
        <v>1</v>
      </c>
      <c r="H114" s="28">
        <v>81778</v>
      </c>
      <c r="I114" s="28" t="s">
        <v>17</v>
      </c>
      <c r="J114" s="28">
        <v>61199371</v>
      </c>
      <c r="K114" t="s">
        <v>3094</v>
      </c>
      <c r="L114" t="s">
        <v>3096</v>
      </c>
      <c r="M114" s="37">
        <v>199900</v>
      </c>
      <c r="N114" s="81" t="s">
        <v>2826</v>
      </c>
      <c r="O114" s="37" t="s">
        <v>3223</v>
      </c>
      <c r="P114" s="28" t="s">
        <v>2826</v>
      </c>
    </row>
    <row r="115" spans="1:16" x14ac:dyDescent="0.3">
      <c r="A115" s="25" t="s">
        <v>3222</v>
      </c>
      <c r="B115" s="26">
        <v>46093</v>
      </c>
      <c r="C115" s="26">
        <v>46098</v>
      </c>
      <c r="D115" s="82">
        <v>3319</v>
      </c>
      <c r="E115" s="82">
        <v>327</v>
      </c>
      <c r="F115" s="25">
        <v>2</v>
      </c>
      <c r="G115" s="28">
        <v>1</v>
      </c>
      <c r="H115" s="28">
        <v>81778</v>
      </c>
      <c r="I115" s="28" t="s">
        <v>17</v>
      </c>
      <c r="J115" s="28">
        <v>61199380</v>
      </c>
      <c r="K115" t="s">
        <v>3094</v>
      </c>
      <c r="L115" t="s">
        <v>3097</v>
      </c>
      <c r="M115" s="37">
        <v>199900</v>
      </c>
      <c r="N115" s="81" t="s">
        <v>2826</v>
      </c>
      <c r="O115" s="37" t="s">
        <v>3223</v>
      </c>
      <c r="P115" s="28" t="s">
        <v>2826</v>
      </c>
    </row>
    <row r="116" spans="1:16" x14ac:dyDescent="0.3">
      <c r="A116" s="25" t="s">
        <v>3222</v>
      </c>
      <c r="B116" s="26">
        <v>46093</v>
      </c>
      <c r="C116" s="26">
        <v>46098</v>
      </c>
      <c r="D116" s="82">
        <v>3319</v>
      </c>
      <c r="E116" s="82">
        <v>327</v>
      </c>
      <c r="F116" s="25">
        <v>2</v>
      </c>
      <c r="G116" s="28">
        <v>1</v>
      </c>
      <c r="H116" s="28">
        <v>81778</v>
      </c>
      <c r="I116" s="28" t="s">
        <v>17</v>
      </c>
      <c r="J116" s="28">
        <v>61199399</v>
      </c>
      <c r="K116" t="s">
        <v>3094</v>
      </c>
      <c r="L116" t="s">
        <v>3098</v>
      </c>
      <c r="M116" s="37">
        <v>199900</v>
      </c>
      <c r="N116" s="81" t="s">
        <v>2826</v>
      </c>
      <c r="O116" s="37" t="s">
        <v>3223</v>
      </c>
      <c r="P116" s="28" t="s">
        <v>2826</v>
      </c>
    </row>
    <row r="117" spans="1:16" x14ac:dyDescent="0.3">
      <c r="A117" s="25" t="s">
        <v>3222</v>
      </c>
      <c r="B117" s="26">
        <v>46093</v>
      </c>
      <c r="C117" s="26">
        <v>46098</v>
      </c>
      <c r="D117" s="82">
        <v>3319</v>
      </c>
      <c r="E117" s="82">
        <v>327</v>
      </c>
      <c r="F117" s="25">
        <v>2</v>
      </c>
      <c r="G117" s="28">
        <v>1</v>
      </c>
      <c r="H117" s="28">
        <v>81778</v>
      </c>
      <c r="I117" s="28" t="s">
        <v>17</v>
      </c>
      <c r="J117" s="28">
        <v>61199406</v>
      </c>
      <c r="K117" t="s">
        <v>3094</v>
      </c>
      <c r="L117" t="s">
        <v>3099</v>
      </c>
      <c r="M117" s="37">
        <v>199900</v>
      </c>
      <c r="N117" s="81" t="s">
        <v>2826</v>
      </c>
      <c r="O117" s="37" t="s">
        <v>3223</v>
      </c>
      <c r="P117" s="28" t="s">
        <v>2826</v>
      </c>
    </row>
    <row r="118" spans="1:16" x14ac:dyDescent="0.3">
      <c r="A118" s="25" t="s">
        <v>3222</v>
      </c>
      <c r="B118" s="26">
        <v>46093</v>
      </c>
      <c r="C118" s="26">
        <v>46098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59170404</v>
      </c>
      <c r="K118" t="s">
        <v>3100</v>
      </c>
      <c r="L118" t="s">
        <v>3101</v>
      </c>
      <c r="M118" s="37">
        <v>249900</v>
      </c>
      <c r="N118" s="81" t="s">
        <v>2826</v>
      </c>
      <c r="O118" s="37" t="s">
        <v>3223</v>
      </c>
      <c r="P118" s="28" t="s">
        <v>2826</v>
      </c>
    </row>
    <row r="119" spans="1:16" x14ac:dyDescent="0.3">
      <c r="A119" s="25" t="s">
        <v>3222</v>
      </c>
      <c r="B119" s="26">
        <v>46093</v>
      </c>
      <c r="C119" s="26">
        <v>46098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59170413</v>
      </c>
      <c r="K119" t="s">
        <v>3100</v>
      </c>
      <c r="L119" t="s">
        <v>3102</v>
      </c>
      <c r="M119" s="37">
        <v>249900</v>
      </c>
      <c r="N119" s="81" t="s">
        <v>2826</v>
      </c>
      <c r="O119" s="37" t="s">
        <v>3223</v>
      </c>
      <c r="P119" s="28" t="s">
        <v>2826</v>
      </c>
    </row>
    <row r="120" spans="1:16" x14ac:dyDescent="0.3">
      <c r="A120" s="25" t="s">
        <v>3222</v>
      </c>
      <c r="B120" s="26">
        <v>46093</v>
      </c>
      <c r="C120" s="26">
        <v>46098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59170422</v>
      </c>
      <c r="K120" t="s">
        <v>3100</v>
      </c>
      <c r="L120" t="s">
        <v>3103</v>
      </c>
      <c r="M120" s="37">
        <v>249900</v>
      </c>
      <c r="N120" s="81" t="s">
        <v>2826</v>
      </c>
      <c r="O120" s="37" t="s">
        <v>3223</v>
      </c>
      <c r="P120" s="28" t="s">
        <v>2826</v>
      </c>
    </row>
    <row r="121" spans="1:16" x14ac:dyDescent="0.3">
      <c r="A121" s="25" t="s">
        <v>3222</v>
      </c>
      <c r="B121" s="26">
        <v>46093</v>
      </c>
      <c r="C121" s="26">
        <v>46098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59170431</v>
      </c>
      <c r="K121" t="s">
        <v>3100</v>
      </c>
      <c r="L121" t="s">
        <v>3104</v>
      </c>
      <c r="M121" s="37">
        <v>249900</v>
      </c>
      <c r="N121" s="81" t="s">
        <v>2826</v>
      </c>
      <c r="O121" s="37" t="s">
        <v>3223</v>
      </c>
      <c r="P121" s="28" t="s">
        <v>2826</v>
      </c>
    </row>
    <row r="122" spans="1:16" x14ac:dyDescent="0.3">
      <c r="A122" s="25" t="s">
        <v>3222</v>
      </c>
      <c r="B122" s="26">
        <v>46093</v>
      </c>
      <c r="C122" s="26">
        <v>46098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59170440</v>
      </c>
      <c r="K122" t="s">
        <v>3100</v>
      </c>
      <c r="L122" t="s">
        <v>3105</v>
      </c>
      <c r="M122" s="37">
        <v>249900</v>
      </c>
      <c r="N122" s="81" t="s">
        <v>2826</v>
      </c>
      <c r="O122" s="37" t="s">
        <v>3223</v>
      </c>
      <c r="P122" s="28" t="s">
        <v>2826</v>
      </c>
    </row>
    <row r="123" spans="1:16" x14ac:dyDescent="0.3">
      <c r="A123" s="25" t="s">
        <v>3222</v>
      </c>
      <c r="B123" s="26">
        <v>46093</v>
      </c>
      <c r="C123" s="26">
        <v>46098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59170459</v>
      </c>
      <c r="K123" t="s">
        <v>3106</v>
      </c>
      <c r="L123" t="s">
        <v>3107</v>
      </c>
      <c r="M123" s="37">
        <v>249900</v>
      </c>
      <c r="N123" s="81" t="s">
        <v>2826</v>
      </c>
      <c r="O123" s="37" t="s">
        <v>3223</v>
      </c>
      <c r="P123" s="28" t="s">
        <v>2826</v>
      </c>
    </row>
    <row r="124" spans="1:16" x14ac:dyDescent="0.3">
      <c r="A124" s="25" t="s">
        <v>3222</v>
      </c>
      <c r="B124" s="26">
        <v>46093</v>
      </c>
      <c r="C124" s="26">
        <v>46098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59170468</v>
      </c>
      <c r="K124" t="s">
        <v>3106</v>
      </c>
      <c r="L124" t="s">
        <v>3108</v>
      </c>
      <c r="M124" s="37">
        <v>249900</v>
      </c>
      <c r="N124" s="81" t="s">
        <v>2826</v>
      </c>
      <c r="O124" s="37" t="s">
        <v>3223</v>
      </c>
      <c r="P124" s="28" t="s">
        <v>2826</v>
      </c>
    </row>
    <row r="125" spans="1:16" x14ac:dyDescent="0.3">
      <c r="A125" s="25" t="s">
        <v>3222</v>
      </c>
      <c r="B125" s="26">
        <v>46093</v>
      </c>
      <c r="C125" s="26">
        <v>46098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59170477</v>
      </c>
      <c r="K125" t="s">
        <v>3106</v>
      </c>
      <c r="L125" t="s">
        <v>3109</v>
      </c>
      <c r="M125" s="37">
        <v>249900</v>
      </c>
      <c r="N125" s="81" t="s">
        <v>2826</v>
      </c>
      <c r="O125" s="37" t="s">
        <v>3223</v>
      </c>
      <c r="P125" s="28" t="s">
        <v>2826</v>
      </c>
    </row>
    <row r="126" spans="1:16" x14ac:dyDescent="0.3">
      <c r="A126" s="25" t="s">
        <v>3222</v>
      </c>
      <c r="B126" s="26">
        <v>46093</v>
      </c>
      <c r="C126" s="26">
        <v>46098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59170486</v>
      </c>
      <c r="K126" t="s">
        <v>3106</v>
      </c>
      <c r="L126" t="s">
        <v>3110</v>
      </c>
      <c r="M126" s="37">
        <v>249900</v>
      </c>
      <c r="N126" s="81" t="s">
        <v>2826</v>
      </c>
      <c r="O126" s="37" t="s">
        <v>3223</v>
      </c>
      <c r="P126" s="28" t="s">
        <v>2826</v>
      </c>
    </row>
    <row r="127" spans="1:16" x14ac:dyDescent="0.3">
      <c r="A127" s="25" t="s">
        <v>3222</v>
      </c>
      <c r="B127" s="26">
        <v>46093</v>
      </c>
      <c r="C127" s="26">
        <v>46098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59170495</v>
      </c>
      <c r="K127" t="s">
        <v>3106</v>
      </c>
      <c r="L127" t="s">
        <v>3111</v>
      </c>
      <c r="M127" s="37">
        <v>249900</v>
      </c>
      <c r="N127" s="81" t="s">
        <v>2826</v>
      </c>
      <c r="O127" s="37" t="s">
        <v>3223</v>
      </c>
      <c r="P127" s="28" t="s">
        <v>2826</v>
      </c>
    </row>
    <row r="128" spans="1:16" x14ac:dyDescent="0.3">
      <c r="A128" s="25" t="s">
        <v>3222</v>
      </c>
      <c r="B128" s="26">
        <v>46093</v>
      </c>
      <c r="C128" s="26">
        <v>46098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59170502</v>
      </c>
      <c r="K128" t="s">
        <v>3112</v>
      </c>
      <c r="L128" t="s">
        <v>3113</v>
      </c>
      <c r="M128" s="37">
        <v>249900</v>
      </c>
      <c r="N128" s="81" t="s">
        <v>2826</v>
      </c>
      <c r="O128" s="37" t="s">
        <v>3223</v>
      </c>
      <c r="P128" s="28" t="s">
        <v>2826</v>
      </c>
    </row>
    <row r="129" spans="1:16" x14ac:dyDescent="0.3">
      <c r="A129" s="25" t="s">
        <v>3222</v>
      </c>
      <c r="B129" s="26">
        <v>46093</v>
      </c>
      <c r="C129" s="26">
        <v>46098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59170511</v>
      </c>
      <c r="K129" t="s">
        <v>3112</v>
      </c>
      <c r="L129" t="s">
        <v>3114</v>
      </c>
      <c r="M129" s="37">
        <v>249900</v>
      </c>
      <c r="N129" s="81" t="s">
        <v>2826</v>
      </c>
      <c r="O129" s="37" t="s">
        <v>3223</v>
      </c>
      <c r="P129" s="28" t="s">
        <v>2826</v>
      </c>
    </row>
    <row r="130" spans="1:16" x14ac:dyDescent="0.3">
      <c r="A130" s="25" t="s">
        <v>3222</v>
      </c>
      <c r="B130" s="26">
        <v>46093</v>
      </c>
      <c r="C130" s="26">
        <v>46098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59170520</v>
      </c>
      <c r="K130" t="s">
        <v>3112</v>
      </c>
      <c r="L130" t="s">
        <v>3115</v>
      </c>
      <c r="M130" s="37">
        <v>249900</v>
      </c>
      <c r="N130" s="81" t="s">
        <v>2826</v>
      </c>
      <c r="O130" s="37" t="s">
        <v>3223</v>
      </c>
      <c r="P130" s="28" t="s">
        <v>2826</v>
      </c>
    </row>
    <row r="131" spans="1:16" x14ac:dyDescent="0.3">
      <c r="A131" s="25" t="s">
        <v>3222</v>
      </c>
      <c r="B131" s="26">
        <v>46093</v>
      </c>
      <c r="C131" s="26">
        <v>46098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59170539</v>
      </c>
      <c r="K131" t="s">
        <v>3112</v>
      </c>
      <c r="L131" t="s">
        <v>3116</v>
      </c>
      <c r="M131" s="37">
        <v>249900</v>
      </c>
      <c r="N131" s="81" t="s">
        <v>2826</v>
      </c>
      <c r="O131" s="37" t="s">
        <v>3223</v>
      </c>
      <c r="P131" s="28" t="s">
        <v>2826</v>
      </c>
    </row>
    <row r="132" spans="1:16" x14ac:dyDescent="0.3">
      <c r="A132" s="25" t="s">
        <v>3222</v>
      </c>
      <c r="B132" s="26">
        <v>46093</v>
      </c>
      <c r="C132" s="26">
        <v>46098</v>
      </c>
      <c r="D132" s="82">
        <v>3319</v>
      </c>
      <c r="E132" s="82">
        <v>327</v>
      </c>
      <c r="F132" s="25">
        <v>2</v>
      </c>
      <c r="G132" s="28">
        <v>2</v>
      </c>
      <c r="H132" s="28">
        <v>81778</v>
      </c>
      <c r="I132" s="28" t="s">
        <v>17</v>
      </c>
      <c r="J132" s="28">
        <v>59170548</v>
      </c>
      <c r="K132" t="s">
        <v>3112</v>
      </c>
      <c r="L132" t="s">
        <v>3117</v>
      </c>
      <c r="M132" s="37">
        <v>249900</v>
      </c>
      <c r="N132" s="81" t="s">
        <v>2826</v>
      </c>
      <c r="O132" s="37" t="s">
        <v>3223</v>
      </c>
      <c r="P132" s="28" t="s">
        <v>2826</v>
      </c>
    </row>
    <row r="133" spans="1:16" x14ac:dyDescent="0.3">
      <c r="A133" s="25" t="s">
        <v>3222</v>
      </c>
      <c r="B133" s="26">
        <v>46093</v>
      </c>
      <c r="C133" s="26">
        <v>46098</v>
      </c>
      <c r="D133" s="82">
        <v>3319</v>
      </c>
      <c r="E133" s="82">
        <v>327</v>
      </c>
      <c r="F133" s="25">
        <v>2</v>
      </c>
      <c r="G133" s="28">
        <v>2</v>
      </c>
      <c r="H133" s="28">
        <v>81778</v>
      </c>
      <c r="I133" s="28" t="s">
        <v>17</v>
      </c>
      <c r="J133" s="28">
        <v>59170557</v>
      </c>
      <c r="K133" t="s">
        <v>3118</v>
      </c>
      <c r="L133" t="s">
        <v>3119</v>
      </c>
      <c r="M133" s="37">
        <v>199900</v>
      </c>
      <c r="N133" s="81" t="s">
        <v>2826</v>
      </c>
      <c r="O133" s="37" t="s">
        <v>3223</v>
      </c>
      <c r="P133" s="28" t="s">
        <v>2826</v>
      </c>
    </row>
    <row r="134" spans="1:16" x14ac:dyDescent="0.3">
      <c r="A134" s="25" t="s">
        <v>3222</v>
      </c>
      <c r="B134" s="26">
        <v>46093</v>
      </c>
      <c r="C134" s="26">
        <v>46098</v>
      </c>
      <c r="D134" s="82">
        <v>3319</v>
      </c>
      <c r="E134" s="82">
        <v>327</v>
      </c>
      <c r="F134" s="25">
        <v>2</v>
      </c>
      <c r="G134" s="28">
        <v>2</v>
      </c>
      <c r="H134" s="28">
        <v>81778</v>
      </c>
      <c r="I134" s="28" t="s">
        <v>17</v>
      </c>
      <c r="J134" s="28">
        <v>59170566</v>
      </c>
      <c r="K134" t="s">
        <v>3118</v>
      </c>
      <c r="L134" t="s">
        <v>3120</v>
      </c>
      <c r="M134" s="37">
        <v>199900</v>
      </c>
      <c r="N134" s="81" t="s">
        <v>2826</v>
      </c>
      <c r="O134" s="37" t="s">
        <v>3223</v>
      </c>
      <c r="P134" s="28" t="s">
        <v>2826</v>
      </c>
    </row>
    <row r="135" spans="1:16" x14ac:dyDescent="0.3">
      <c r="A135" s="25" t="s">
        <v>3222</v>
      </c>
      <c r="B135" s="26">
        <v>46093</v>
      </c>
      <c r="C135" s="26">
        <v>46098</v>
      </c>
      <c r="D135" s="82">
        <v>3319</v>
      </c>
      <c r="E135" s="82">
        <v>327</v>
      </c>
      <c r="F135" s="25">
        <v>2</v>
      </c>
      <c r="G135" s="28">
        <v>2</v>
      </c>
      <c r="H135" s="28">
        <v>81778</v>
      </c>
      <c r="I135" s="28" t="s">
        <v>17</v>
      </c>
      <c r="J135" s="28">
        <v>59170575</v>
      </c>
      <c r="K135" t="s">
        <v>3118</v>
      </c>
      <c r="L135" t="s">
        <v>3121</v>
      </c>
      <c r="M135" s="37">
        <v>199900</v>
      </c>
      <c r="N135" s="81" t="s">
        <v>2826</v>
      </c>
      <c r="O135" s="37" t="s">
        <v>3223</v>
      </c>
      <c r="P135" s="28" t="s">
        <v>2826</v>
      </c>
    </row>
    <row r="136" spans="1:16" x14ac:dyDescent="0.3">
      <c r="A136" s="25" t="s">
        <v>3222</v>
      </c>
      <c r="B136" s="26">
        <v>46093</v>
      </c>
      <c r="C136" s="26">
        <v>46098</v>
      </c>
      <c r="D136" s="82">
        <v>3319</v>
      </c>
      <c r="E136" s="82">
        <v>327</v>
      </c>
      <c r="F136" s="25">
        <v>2</v>
      </c>
      <c r="G136" s="28">
        <v>2</v>
      </c>
      <c r="H136" s="28">
        <v>81778</v>
      </c>
      <c r="I136" s="28" t="s">
        <v>17</v>
      </c>
      <c r="J136" s="28">
        <v>59170584</v>
      </c>
      <c r="K136" t="s">
        <v>3118</v>
      </c>
      <c r="L136" t="s">
        <v>3122</v>
      </c>
      <c r="M136" s="37">
        <v>199900</v>
      </c>
      <c r="N136" s="81" t="s">
        <v>2826</v>
      </c>
      <c r="O136" s="37" t="s">
        <v>3223</v>
      </c>
      <c r="P136" s="28" t="s">
        <v>2826</v>
      </c>
    </row>
    <row r="137" spans="1:16" x14ac:dyDescent="0.3">
      <c r="A137" s="25" t="s">
        <v>3222</v>
      </c>
      <c r="B137" s="26">
        <v>46093</v>
      </c>
      <c r="C137" s="26">
        <v>46098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59170593</v>
      </c>
      <c r="K137" t="s">
        <v>3118</v>
      </c>
      <c r="L137" t="s">
        <v>3123</v>
      </c>
      <c r="M137" s="37">
        <v>199900</v>
      </c>
      <c r="N137" s="81" t="s">
        <v>2826</v>
      </c>
      <c r="O137" s="37" t="s">
        <v>3223</v>
      </c>
      <c r="P137" s="28" t="s">
        <v>2826</v>
      </c>
    </row>
    <row r="138" spans="1:16" x14ac:dyDescent="0.3">
      <c r="A138" s="25" t="s">
        <v>3222</v>
      </c>
      <c r="B138" s="26">
        <v>46093</v>
      </c>
      <c r="C138" s="26">
        <v>46098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59170600</v>
      </c>
      <c r="K138" t="s">
        <v>3124</v>
      </c>
      <c r="L138" t="s">
        <v>3125</v>
      </c>
      <c r="M138" s="37">
        <v>199900</v>
      </c>
      <c r="N138" s="81" t="s">
        <v>2826</v>
      </c>
      <c r="O138" s="37" t="s">
        <v>3223</v>
      </c>
      <c r="P138" s="28" t="s">
        <v>2826</v>
      </c>
    </row>
    <row r="139" spans="1:16" x14ac:dyDescent="0.3">
      <c r="A139" s="25" t="s">
        <v>3222</v>
      </c>
      <c r="B139" s="26">
        <v>46093</v>
      </c>
      <c r="C139" s="26">
        <v>46098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59170619</v>
      </c>
      <c r="K139" t="s">
        <v>3124</v>
      </c>
      <c r="L139" t="s">
        <v>3126</v>
      </c>
      <c r="M139" s="37">
        <v>199900</v>
      </c>
      <c r="N139" s="81" t="s">
        <v>2826</v>
      </c>
      <c r="O139" s="37" t="s">
        <v>3223</v>
      </c>
      <c r="P139" s="28" t="s">
        <v>2826</v>
      </c>
    </row>
    <row r="140" spans="1:16" x14ac:dyDescent="0.3">
      <c r="A140" s="25" t="s">
        <v>3222</v>
      </c>
      <c r="B140" s="26">
        <v>46093</v>
      </c>
      <c r="C140" s="26">
        <v>46098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59170628</v>
      </c>
      <c r="K140" t="s">
        <v>3124</v>
      </c>
      <c r="L140" t="s">
        <v>3127</v>
      </c>
      <c r="M140" s="37">
        <v>199900</v>
      </c>
      <c r="N140" s="81" t="s">
        <v>2826</v>
      </c>
      <c r="O140" s="37" t="s">
        <v>3223</v>
      </c>
      <c r="P140" s="28" t="s">
        <v>2826</v>
      </c>
    </row>
    <row r="141" spans="1:16" x14ac:dyDescent="0.3">
      <c r="A141" s="25" t="s">
        <v>3222</v>
      </c>
      <c r="B141" s="26">
        <v>46093</v>
      </c>
      <c r="C141" s="26">
        <v>46098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59170637</v>
      </c>
      <c r="K141" t="s">
        <v>3124</v>
      </c>
      <c r="L141" t="s">
        <v>3128</v>
      </c>
      <c r="M141" s="37">
        <v>199900</v>
      </c>
      <c r="N141" s="81" t="s">
        <v>2826</v>
      </c>
      <c r="O141" s="37" t="s">
        <v>3223</v>
      </c>
      <c r="P141" s="28" t="s">
        <v>2826</v>
      </c>
    </row>
    <row r="142" spans="1:16" x14ac:dyDescent="0.3">
      <c r="A142" s="25" t="s">
        <v>3222</v>
      </c>
      <c r="B142" s="26">
        <v>46093</v>
      </c>
      <c r="C142" s="26">
        <v>46098</v>
      </c>
      <c r="D142" s="82">
        <v>3319</v>
      </c>
      <c r="E142" s="82">
        <v>327</v>
      </c>
      <c r="F142" s="25">
        <v>2</v>
      </c>
      <c r="G142" s="28">
        <v>2</v>
      </c>
      <c r="H142" s="28">
        <v>81778</v>
      </c>
      <c r="I142" s="28" t="s">
        <v>17</v>
      </c>
      <c r="J142" s="28">
        <v>59170646</v>
      </c>
      <c r="K142" t="s">
        <v>3124</v>
      </c>
      <c r="L142" t="s">
        <v>3129</v>
      </c>
      <c r="M142" s="37">
        <v>199900</v>
      </c>
      <c r="N142" s="81" t="s">
        <v>2826</v>
      </c>
      <c r="O142" s="37" t="s">
        <v>3223</v>
      </c>
      <c r="P142" s="28" t="s">
        <v>2826</v>
      </c>
    </row>
    <row r="143" spans="1:16" x14ac:dyDescent="0.3">
      <c r="A143" s="25" t="s">
        <v>3222</v>
      </c>
      <c r="B143" s="26">
        <v>46093</v>
      </c>
      <c r="C143" s="26">
        <v>46098</v>
      </c>
      <c r="D143" s="82">
        <v>3319</v>
      </c>
      <c r="E143" s="82">
        <v>327</v>
      </c>
      <c r="F143" s="25">
        <v>2</v>
      </c>
      <c r="G143" s="28">
        <v>2</v>
      </c>
      <c r="H143" s="28">
        <v>81778</v>
      </c>
      <c r="I143" s="28" t="s">
        <v>17</v>
      </c>
      <c r="J143" s="28">
        <v>59170655</v>
      </c>
      <c r="K143" t="s">
        <v>3124</v>
      </c>
      <c r="L143" t="s">
        <v>3130</v>
      </c>
      <c r="M143" s="37">
        <v>199900</v>
      </c>
      <c r="N143" s="81" t="s">
        <v>2826</v>
      </c>
      <c r="O143" s="37" t="s">
        <v>3223</v>
      </c>
      <c r="P143" s="28" t="s">
        <v>2826</v>
      </c>
    </row>
    <row r="144" spans="1:16" x14ac:dyDescent="0.3">
      <c r="A144" s="25" t="s">
        <v>3222</v>
      </c>
      <c r="B144" s="26">
        <v>46093</v>
      </c>
      <c r="C144" s="26">
        <v>46098</v>
      </c>
      <c r="D144" s="82">
        <v>3319</v>
      </c>
      <c r="E144" s="82">
        <v>327</v>
      </c>
      <c r="F144" s="25">
        <v>2</v>
      </c>
      <c r="G144" s="28">
        <v>2</v>
      </c>
      <c r="H144" s="28">
        <v>81778</v>
      </c>
      <c r="I144" s="28" t="s">
        <v>17</v>
      </c>
      <c r="J144" s="28">
        <v>59170664</v>
      </c>
      <c r="K144" t="s">
        <v>3124</v>
      </c>
      <c r="L144" t="s">
        <v>3131</v>
      </c>
      <c r="M144" s="37">
        <v>199900</v>
      </c>
      <c r="N144" s="81" t="s">
        <v>2826</v>
      </c>
      <c r="O144" s="37" t="s">
        <v>3223</v>
      </c>
      <c r="P144" s="28" t="s">
        <v>2826</v>
      </c>
    </row>
    <row r="145" spans="1:16" x14ac:dyDescent="0.3">
      <c r="A145" s="25" t="s">
        <v>3222</v>
      </c>
      <c r="B145" s="26">
        <v>46093</v>
      </c>
      <c r="C145" s="26">
        <v>46098</v>
      </c>
      <c r="D145" s="82">
        <v>3319</v>
      </c>
      <c r="E145" s="82">
        <v>327</v>
      </c>
      <c r="F145" s="25">
        <v>2</v>
      </c>
      <c r="G145" s="28">
        <v>2</v>
      </c>
      <c r="H145" s="28">
        <v>81778</v>
      </c>
      <c r="I145" s="28" t="s">
        <v>17</v>
      </c>
      <c r="J145" s="28">
        <v>59170673</v>
      </c>
      <c r="K145" t="s">
        <v>3124</v>
      </c>
      <c r="L145" t="s">
        <v>3132</v>
      </c>
      <c r="M145" s="37">
        <v>199900</v>
      </c>
      <c r="N145" s="81" t="s">
        <v>2826</v>
      </c>
      <c r="O145" s="37" t="s">
        <v>3223</v>
      </c>
      <c r="P145" s="28" t="s">
        <v>2826</v>
      </c>
    </row>
    <row r="146" spans="1:16" x14ac:dyDescent="0.3">
      <c r="A146" s="25" t="s">
        <v>3222</v>
      </c>
      <c r="B146" s="26">
        <v>46093</v>
      </c>
      <c r="C146" s="26">
        <v>46098</v>
      </c>
      <c r="D146" s="82">
        <v>3319</v>
      </c>
      <c r="E146" s="82">
        <v>327</v>
      </c>
      <c r="F146" s="25">
        <v>2</v>
      </c>
      <c r="G146" s="28">
        <v>2</v>
      </c>
      <c r="H146" s="28">
        <v>81778</v>
      </c>
      <c r="I146" s="28" t="s">
        <v>17</v>
      </c>
      <c r="J146" s="28">
        <v>59170682</v>
      </c>
      <c r="K146" t="s">
        <v>3124</v>
      </c>
      <c r="L146" t="s">
        <v>3133</v>
      </c>
      <c r="M146" s="37">
        <v>199900</v>
      </c>
      <c r="N146" s="81" t="s">
        <v>2826</v>
      </c>
      <c r="O146" s="37" t="s">
        <v>3223</v>
      </c>
      <c r="P146" s="28" t="s">
        <v>2826</v>
      </c>
    </row>
    <row r="147" spans="1:16" x14ac:dyDescent="0.3">
      <c r="A147" s="25" t="s">
        <v>3222</v>
      </c>
      <c r="B147" s="26">
        <v>46093</v>
      </c>
      <c r="C147" s="26">
        <v>46098</v>
      </c>
      <c r="D147" s="82">
        <v>3319</v>
      </c>
      <c r="E147" s="82">
        <v>327</v>
      </c>
      <c r="F147" s="25">
        <v>2</v>
      </c>
      <c r="G147" s="28">
        <v>2</v>
      </c>
      <c r="H147" s="28">
        <v>81778</v>
      </c>
      <c r="I147" s="28" t="s">
        <v>17</v>
      </c>
      <c r="J147" s="28">
        <v>59170691</v>
      </c>
      <c r="K147" t="s">
        <v>3124</v>
      </c>
      <c r="L147" t="s">
        <v>3134</v>
      </c>
      <c r="M147" s="37">
        <v>199900</v>
      </c>
      <c r="N147" s="81" t="s">
        <v>2826</v>
      </c>
      <c r="O147" s="37" t="s">
        <v>3223</v>
      </c>
      <c r="P147" s="28" t="s">
        <v>2826</v>
      </c>
    </row>
    <row r="148" spans="1:16" x14ac:dyDescent="0.3">
      <c r="A148" s="25" t="s">
        <v>3222</v>
      </c>
      <c r="B148" s="26">
        <v>46093</v>
      </c>
      <c r="C148" s="26">
        <v>46098</v>
      </c>
      <c r="D148" s="82">
        <v>3319</v>
      </c>
      <c r="E148" s="82">
        <v>327</v>
      </c>
      <c r="F148" s="25">
        <v>2</v>
      </c>
      <c r="G148" s="28">
        <v>2</v>
      </c>
      <c r="H148" s="28">
        <v>81778</v>
      </c>
      <c r="I148" s="28" t="s">
        <v>17</v>
      </c>
      <c r="J148" s="28">
        <v>59170708</v>
      </c>
      <c r="K148" t="s">
        <v>3135</v>
      </c>
      <c r="L148" t="s">
        <v>3136</v>
      </c>
      <c r="M148" s="37">
        <v>199900</v>
      </c>
      <c r="N148" s="81" t="s">
        <v>2826</v>
      </c>
      <c r="O148" s="37" t="s">
        <v>3223</v>
      </c>
      <c r="P148" s="28" t="s">
        <v>2826</v>
      </c>
    </row>
    <row r="149" spans="1:16" x14ac:dyDescent="0.3">
      <c r="A149" s="25" t="s">
        <v>3222</v>
      </c>
      <c r="B149" s="26">
        <v>46093</v>
      </c>
      <c r="C149" s="26">
        <v>46098</v>
      </c>
      <c r="D149" s="82">
        <v>3319</v>
      </c>
      <c r="E149" s="82">
        <v>327</v>
      </c>
      <c r="F149" s="25">
        <v>2</v>
      </c>
      <c r="G149" s="28">
        <v>2</v>
      </c>
      <c r="H149" s="28">
        <v>81778</v>
      </c>
      <c r="I149" s="28" t="s">
        <v>17</v>
      </c>
      <c r="J149" s="28">
        <v>59170717</v>
      </c>
      <c r="K149" t="s">
        <v>3135</v>
      </c>
      <c r="L149" t="s">
        <v>3137</v>
      </c>
      <c r="M149" s="37">
        <v>199900</v>
      </c>
      <c r="N149" s="81" t="s">
        <v>2826</v>
      </c>
      <c r="O149" s="37" t="s">
        <v>3223</v>
      </c>
      <c r="P149" s="28" t="s">
        <v>2826</v>
      </c>
    </row>
    <row r="150" spans="1:16" x14ac:dyDescent="0.3">
      <c r="A150" s="25" t="s">
        <v>3222</v>
      </c>
      <c r="B150" s="26">
        <v>46093</v>
      </c>
      <c r="C150" s="26">
        <v>46098</v>
      </c>
      <c r="D150" s="82">
        <v>3319</v>
      </c>
      <c r="E150" s="82">
        <v>327</v>
      </c>
      <c r="F150" s="25">
        <v>2</v>
      </c>
      <c r="G150" s="28">
        <v>2</v>
      </c>
      <c r="H150" s="28">
        <v>81778</v>
      </c>
      <c r="I150" s="28" t="s">
        <v>17</v>
      </c>
      <c r="J150" s="28">
        <v>59170726</v>
      </c>
      <c r="K150" t="s">
        <v>3135</v>
      </c>
      <c r="L150" t="s">
        <v>3138</v>
      </c>
      <c r="M150" s="37">
        <v>199900</v>
      </c>
      <c r="N150" s="81" t="s">
        <v>2826</v>
      </c>
      <c r="O150" s="37" t="s">
        <v>3223</v>
      </c>
      <c r="P150" s="28" t="s">
        <v>2826</v>
      </c>
    </row>
    <row r="151" spans="1:16" x14ac:dyDescent="0.3">
      <c r="A151" s="25" t="s">
        <v>3222</v>
      </c>
      <c r="B151" s="26">
        <v>46093</v>
      </c>
      <c r="C151" s="26">
        <v>46098</v>
      </c>
      <c r="D151" s="82">
        <v>3319</v>
      </c>
      <c r="E151" s="82">
        <v>327</v>
      </c>
      <c r="F151" s="25">
        <v>2</v>
      </c>
      <c r="G151" s="28">
        <v>2</v>
      </c>
      <c r="H151" s="28">
        <v>81778</v>
      </c>
      <c r="I151" s="28" t="s">
        <v>17</v>
      </c>
      <c r="J151" s="28">
        <v>59170735</v>
      </c>
      <c r="K151" t="s">
        <v>3135</v>
      </c>
      <c r="L151" t="s">
        <v>3139</v>
      </c>
      <c r="M151" s="37">
        <v>199900</v>
      </c>
      <c r="N151" s="81" t="s">
        <v>2826</v>
      </c>
      <c r="O151" s="37" t="s">
        <v>3223</v>
      </c>
      <c r="P151" s="28" t="s">
        <v>2826</v>
      </c>
    </row>
    <row r="152" spans="1:16" x14ac:dyDescent="0.3">
      <c r="A152" s="25" t="s">
        <v>3222</v>
      </c>
      <c r="B152" s="26">
        <v>46093</v>
      </c>
      <c r="C152" s="26">
        <v>46098</v>
      </c>
      <c r="D152" s="82">
        <v>3319</v>
      </c>
      <c r="E152" s="82">
        <v>327</v>
      </c>
      <c r="F152" s="25">
        <v>2</v>
      </c>
      <c r="G152" s="28">
        <v>2</v>
      </c>
      <c r="H152" s="28">
        <v>81778</v>
      </c>
      <c r="I152" s="28" t="s">
        <v>17</v>
      </c>
      <c r="J152" s="28">
        <v>59170744</v>
      </c>
      <c r="K152" t="s">
        <v>3135</v>
      </c>
      <c r="L152" t="s">
        <v>3140</v>
      </c>
      <c r="M152" s="37">
        <v>199900</v>
      </c>
      <c r="N152" s="81" t="s">
        <v>2826</v>
      </c>
      <c r="O152" s="37" t="s">
        <v>3223</v>
      </c>
      <c r="P152" s="28" t="s">
        <v>2826</v>
      </c>
    </row>
    <row r="153" spans="1:16" x14ac:dyDescent="0.3">
      <c r="A153" s="25" t="s">
        <v>3222</v>
      </c>
      <c r="B153" s="26">
        <v>46093</v>
      </c>
      <c r="C153" s="26">
        <v>46098</v>
      </c>
      <c r="D153" s="82">
        <v>3319</v>
      </c>
      <c r="E153" s="82">
        <v>327</v>
      </c>
      <c r="F153" s="25">
        <v>2</v>
      </c>
      <c r="G153" s="28">
        <v>2</v>
      </c>
      <c r="H153" s="28">
        <v>81778</v>
      </c>
      <c r="I153" s="28" t="s">
        <v>17</v>
      </c>
      <c r="J153" s="28">
        <v>59171001</v>
      </c>
      <c r="K153" t="s">
        <v>3141</v>
      </c>
      <c r="L153" t="s">
        <v>3142</v>
      </c>
      <c r="M153" s="37">
        <v>199900</v>
      </c>
      <c r="N153" s="81" t="s">
        <v>2826</v>
      </c>
      <c r="O153" s="37" t="s">
        <v>3223</v>
      </c>
      <c r="P153" s="28" t="s">
        <v>2826</v>
      </c>
    </row>
    <row r="154" spans="1:16" x14ac:dyDescent="0.3">
      <c r="A154" s="25" t="s">
        <v>3222</v>
      </c>
      <c r="B154" s="26">
        <v>46093</v>
      </c>
      <c r="C154" s="26">
        <v>46098</v>
      </c>
      <c r="D154" s="82">
        <v>3319</v>
      </c>
      <c r="E154" s="82">
        <v>327</v>
      </c>
      <c r="F154" s="25">
        <v>2</v>
      </c>
      <c r="G154" s="28">
        <v>2</v>
      </c>
      <c r="H154" s="28">
        <v>81778</v>
      </c>
      <c r="I154" s="28" t="s">
        <v>17</v>
      </c>
      <c r="J154" s="28">
        <v>59171010</v>
      </c>
      <c r="K154" t="s">
        <v>3141</v>
      </c>
      <c r="L154" t="s">
        <v>3143</v>
      </c>
      <c r="M154" s="37">
        <v>199900</v>
      </c>
      <c r="N154" s="81" t="s">
        <v>2826</v>
      </c>
      <c r="O154" s="37" t="s">
        <v>3223</v>
      </c>
      <c r="P154" s="28" t="s">
        <v>2826</v>
      </c>
    </row>
    <row r="155" spans="1:16" x14ac:dyDescent="0.3">
      <c r="A155" s="25" t="s">
        <v>3222</v>
      </c>
      <c r="B155" s="26">
        <v>46093</v>
      </c>
      <c r="C155" s="26">
        <v>46098</v>
      </c>
      <c r="D155" s="82">
        <v>3319</v>
      </c>
      <c r="E155" s="82">
        <v>327</v>
      </c>
      <c r="F155" s="25">
        <v>2</v>
      </c>
      <c r="G155" s="28">
        <v>2</v>
      </c>
      <c r="H155" s="28">
        <v>81778</v>
      </c>
      <c r="I155" s="28" t="s">
        <v>17</v>
      </c>
      <c r="J155" s="28">
        <v>59171029</v>
      </c>
      <c r="K155" t="s">
        <v>3141</v>
      </c>
      <c r="L155" t="s">
        <v>3144</v>
      </c>
      <c r="M155" s="37">
        <v>199900</v>
      </c>
      <c r="N155" s="81" t="s">
        <v>2826</v>
      </c>
      <c r="O155" s="37" t="s">
        <v>3223</v>
      </c>
      <c r="P155" s="28" t="s">
        <v>2826</v>
      </c>
    </row>
    <row r="156" spans="1:16" x14ac:dyDescent="0.3">
      <c r="A156" s="25" t="s">
        <v>3222</v>
      </c>
      <c r="B156" s="26">
        <v>46093</v>
      </c>
      <c r="C156" s="26">
        <v>46098</v>
      </c>
      <c r="D156" s="82">
        <v>3319</v>
      </c>
      <c r="E156" s="82">
        <v>327</v>
      </c>
      <c r="F156" s="25">
        <v>2</v>
      </c>
      <c r="G156" s="28">
        <v>2</v>
      </c>
      <c r="H156" s="28">
        <v>81778</v>
      </c>
      <c r="I156" s="28" t="s">
        <v>17</v>
      </c>
      <c r="J156" s="28">
        <v>59171038</v>
      </c>
      <c r="K156" t="s">
        <v>3141</v>
      </c>
      <c r="L156" t="s">
        <v>3145</v>
      </c>
      <c r="M156" s="37">
        <v>199900</v>
      </c>
      <c r="N156" s="81" t="s">
        <v>2826</v>
      </c>
      <c r="O156" s="37" t="s">
        <v>3223</v>
      </c>
      <c r="P156" s="28" t="s">
        <v>2826</v>
      </c>
    </row>
    <row r="157" spans="1:16" x14ac:dyDescent="0.3">
      <c r="A157" s="25" t="s">
        <v>3222</v>
      </c>
      <c r="B157" s="26">
        <v>46093</v>
      </c>
      <c r="C157" s="26">
        <v>46098</v>
      </c>
      <c r="D157" s="82">
        <v>3319</v>
      </c>
      <c r="E157" s="82">
        <v>327</v>
      </c>
      <c r="F157" s="25">
        <v>2</v>
      </c>
      <c r="G157" s="28">
        <v>2</v>
      </c>
      <c r="H157" s="28">
        <v>81778</v>
      </c>
      <c r="I157" s="28" t="s">
        <v>17</v>
      </c>
      <c r="J157" s="28">
        <v>59171047</v>
      </c>
      <c r="K157" t="s">
        <v>3141</v>
      </c>
      <c r="L157" t="s">
        <v>3146</v>
      </c>
      <c r="M157" s="37">
        <v>199900</v>
      </c>
      <c r="N157" s="81" t="s">
        <v>2826</v>
      </c>
      <c r="O157" s="37" t="s">
        <v>3223</v>
      </c>
      <c r="P157" s="28" t="s">
        <v>2826</v>
      </c>
    </row>
    <row r="158" spans="1:16" x14ac:dyDescent="0.3">
      <c r="A158" s="25" t="s">
        <v>3222</v>
      </c>
      <c r="B158" s="26">
        <v>46093</v>
      </c>
      <c r="C158" s="26">
        <v>46098</v>
      </c>
      <c r="D158" s="82">
        <v>3319</v>
      </c>
      <c r="E158" s="82">
        <v>327</v>
      </c>
      <c r="F158" s="25">
        <v>2</v>
      </c>
      <c r="G158" s="28">
        <v>2</v>
      </c>
      <c r="H158" s="28">
        <v>81778</v>
      </c>
      <c r="I158" s="28" t="s">
        <v>17</v>
      </c>
      <c r="J158" s="28">
        <v>59171056</v>
      </c>
      <c r="K158" t="s">
        <v>3141</v>
      </c>
      <c r="L158" t="s">
        <v>3147</v>
      </c>
      <c r="M158" s="37">
        <v>199900</v>
      </c>
      <c r="N158" s="81" t="s">
        <v>2826</v>
      </c>
      <c r="O158" s="37" t="s">
        <v>3223</v>
      </c>
      <c r="P158" s="28" t="s">
        <v>2826</v>
      </c>
    </row>
    <row r="159" spans="1:16" x14ac:dyDescent="0.3">
      <c r="A159" s="25" t="s">
        <v>3222</v>
      </c>
      <c r="B159" s="26">
        <v>46093</v>
      </c>
      <c r="C159" s="26">
        <v>46098</v>
      </c>
      <c r="D159" s="82">
        <v>3319</v>
      </c>
      <c r="E159" s="82">
        <v>327</v>
      </c>
      <c r="F159" s="25">
        <v>2</v>
      </c>
      <c r="G159" s="28">
        <v>2</v>
      </c>
      <c r="H159" s="28">
        <v>81778</v>
      </c>
      <c r="I159" s="28" t="s">
        <v>17</v>
      </c>
      <c r="J159" s="28">
        <v>59171065</v>
      </c>
      <c r="K159" t="s">
        <v>3141</v>
      </c>
      <c r="L159" t="s">
        <v>3148</v>
      </c>
      <c r="M159" s="37">
        <v>199900</v>
      </c>
      <c r="N159" s="81" t="s">
        <v>2826</v>
      </c>
      <c r="O159" s="37" t="s">
        <v>3223</v>
      </c>
      <c r="P159" s="28" t="s">
        <v>2826</v>
      </c>
    </row>
    <row r="160" spans="1:16" x14ac:dyDescent="0.3">
      <c r="A160" s="25" t="s">
        <v>3222</v>
      </c>
      <c r="B160" s="26">
        <v>46093</v>
      </c>
      <c r="C160" s="26">
        <v>46098</v>
      </c>
      <c r="D160" s="82">
        <v>3319</v>
      </c>
      <c r="E160" s="82">
        <v>327</v>
      </c>
      <c r="F160" s="25">
        <v>2</v>
      </c>
      <c r="G160" s="28">
        <v>2</v>
      </c>
      <c r="H160" s="28">
        <v>81778</v>
      </c>
      <c r="I160" s="28" t="s">
        <v>17</v>
      </c>
      <c r="J160" s="28">
        <v>59171074</v>
      </c>
      <c r="K160" t="s">
        <v>3141</v>
      </c>
      <c r="L160" t="s">
        <v>3149</v>
      </c>
      <c r="M160" s="37">
        <v>199900</v>
      </c>
      <c r="N160" s="81" t="s">
        <v>2826</v>
      </c>
      <c r="O160" s="37" t="s">
        <v>3223</v>
      </c>
      <c r="P160" s="28" t="s">
        <v>2826</v>
      </c>
    </row>
    <row r="161" spans="1:16" x14ac:dyDescent="0.3">
      <c r="A161" s="25" t="s">
        <v>3222</v>
      </c>
      <c r="B161" s="26">
        <v>46093</v>
      </c>
      <c r="C161" s="26">
        <v>46098</v>
      </c>
      <c r="D161" s="82">
        <v>3319</v>
      </c>
      <c r="E161" s="82">
        <v>327</v>
      </c>
      <c r="F161" s="25">
        <v>2</v>
      </c>
      <c r="G161" s="28">
        <v>2</v>
      </c>
      <c r="H161" s="28">
        <v>81778</v>
      </c>
      <c r="I161" s="28" t="s">
        <v>17</v>
      </c>
      <c r="J161" s="28">
        <v>59171083</v>
      </c>
      <c r="K161" t="s">
        <v>3141</v>
      </c>
      <c r="L161" t="s">
        <v>3150</v>
      </c>
      <c r="M161" s="37">
        <v>199900</v>
      </c>
      <c r="N161" s="81" t="s">
        <v>2826</v>
      </c>
      <c r="O161" s="37" t="s">
        <v>3223</v>
      </c>
      <c r="P161" s="28" t="s">
        <v>2826</v>
      </c>
    </row>
    <row r="162" spans="1:16" x14ac:dyDescent="0.3">
      <c r="A162" s="25" t="s">
        <v>3222</v>
      </c>
      <c r="B162" s="26">
        <v>46093</v>
      </c>
      <c r="C162" s="26">
        <v>46098</v>
      </c>
      <c r="D162" s="82">
        <v>3319</v>
      </c>
      <c r="E162" s="82">
        <v>327</v>
      </c>
      <c r="F162" s="25">
        <v>2</v>
      </c>
      <c r="G162" s="28">
        <v>2</v>
      </c>
      <c r="H162" s="28">
        <v>81778</v>
      </c>
      <c r="I162" s="28" t="s">
        <v>17</v>
      </c>
      <c r="J162" s="28">
        <v>59171092</v>
      </c>
      <c r="K162" t="s">
        <v>3141</v>
      </c>
      <c r="L162" t="s">
        <v>3151</v>
      </c>
      <c r="M162" s="37">
        <v>199900</v>
      </c>
      <c r="N162" s="81" t="s">
        <v>2826</v>
      </c>
      <c r="O162" s="37" t="s">
        <v>3223</v>
      </c>
      <c r="P162" s="28" t="s">
        <v>2826</v>
      </c>
    </row>
    <row r="163" spans="1:16" x14ac:dyDescent="0.3">
      <c r="A163" s="25" t="s">
        <v>3222</v>
      </c>
      <c r="B163" s="26">
        <v>46093</v>
      </c>
      <c r="C163" s="26">
        <v>46098</v>
      </c>
      <c r="D163" s="82">
        <v>3319</v>
      </c>
      <c r="E163" s="82">
        <v>327</v>
      </c>
      <c r="F163" s="25">
        <v>2</v>
      </c>
      <c r="G163" s="28">
        <v>2</v>
      </c>
      <c r="H163" s="28">
        <v>81778</v>
      </c>
      <c r="I163" s="28" t="s">
        <v>17</v>
      </c>
      <c r="J163" s="28">
        <v>59171109</v>
      </c>
      <c r="K163" t="s">
        <v>3152</v>
      </c>
      <c r="L163" t="s">
        <v>3153</v>
      </c>
      <c r="M163" s="37">
        <v>199900</v>
      </c>
      <c r="N163" s="81" t="s">
        <v>2826</v>
      </c>
      <c r="O163" s="37" t="s">
        <v>3223</v>
      </c>
      <c r="P163" s="28" t="s">
        <v>2826</v>
      </c>
    </row>
    <row r="164" spans="1:16" x14ac:dyDescent="0.3">
      <c r="A164" s="25" t="s">
        <v>3222</v>
      </c>
      <c r="B164" s="26">
        <v>46093</v>
      </c>
      <c r="C164" s="26">
        <v>46098</v>
      </c>
      <c r="D164" s="82">
        <v>3319</v>
      </c>
      <c r="E164" s="82">
        <v>327</v>
      </c>
      <c r="F164" s="25">
        <v>2</v>
      </c>
      <c r="G164" s="28">
        <v>2</v>
      </c>
      <c r="H164" s="28">
        <v>81778</v>
      </c>
      <c r="I164" s="28" t="s">
        <v>17</v>
      </c>
      <c r="J164" s="28">
        <v>59171118</v>
      </c>
      <c r="K164" t="s">
        <v>3152</v>
      </c>
      <c r="L164" t="s">
        <v>3154</v>
      </c>
      <c r="M164" s="37">
        <v>199900</v>
      </c>
      <c r="N164" s="81" t="s">
        <v>2826</v>
      </c>
      <c r="O164" s="37" t="s">
        <v>3223</v>
      </c>
      <c r="P164" s="28" t="s">
        <v>2826</v>
      </c>
    </row>
    <row r="165" spans="1:16" x14ac:dyDescent="0.3">
      <c r="A165" s="25" t="s">
        <v>3222</v>
      </c>
      <c r="B165" s="26">
        <v>46093</v>
      </c>
      <c r="C165" s="26">
        <v>46098</v>
      </c>
      <c r="D165" s="82">
        <v>3319</v>
      </c>
      <c r="E165" s="82">
        <v>327</v>
      </c>
      <c r="F165" s="25">
        <v>2</v>
      </c>
      <c r="G165" s="28">
        <v>2</v>
      </c>
      <c r="H165" s="28">
        <v>81778</v>
      </c>
      <c r="I165" s="28" t="s">
        <v>17</v>
      </c>
      <c r="J165" s="28">
        <v>59171127</v>
      </c>
      <c r="K165" t="s">
        <v>3152</v>
      </c>
      <c r="L165" t="s">
        <v>3155</v>
      </c>
      <c r="M165" s="37">
        <v>199900</v>
      </c>
      <c r="N165" s="81" t="s">
        <v>2826</v>
      </c>
      <c r="O165" s="37" t="s">
        <v>3223</v>
      </c>
      <c r="P165" s="28" t="s">
        <v>2826</v>
      </c>
    </row>
    <row r="166" spans="1:16" x14ac:dyDescent="0.3">
      <c r="A166" s="25" t="s">
        <v>3222</v>
      </c>
      <c r="B166" s="26">
        <v>46093</v>
      </c>
      <c r="C166" s="26">
        <v>46098</v>
      </c>
      <c r="D166" s="82">
        <v>3319</v>
      </c>
      <c r="E166" s="82">
        <v>327</v>
      </c>
      <c r="F166" s="25">
        <v>2</v>
      </c>
      <c r="G166" s="28">
        <v>2</v>
      </c>
      <c r="H166" s="28">
        <v>81778</v>
      </c>
      <c r="I166" s="28" t="s">
        <v>17</v>
      </c>
      <c r="J166" s="28">
        <v>59171136</v>
      </c>
      <c r="K166" t="s">
        <v>3152</v>
      </c>
      <c r="L166" t="s">
        <v>3156</v>
      </c>
      <c r="M166" s="37">
        <v>199900</v>
      </c>
      <c r="N166" s="81" t="s">
        <v>2826</v>
      </c>
      <c r="O166" s="37" t="s">
        <v>3223</v>
      </c>
      <c r="P166" s="28" t="s">
        <v>2826</v>
      </c>
    </row>
    <row r="167" spans="1:16" x14ac:dyDescent="0.3">
      <c r="A167" s="25" t="s">
        <v>3222</v>
      </c>
      <c r="B167" s="26">
        <v>46093</v>
      </c>
      <c r="C167" s="26">
        <v>46098</v>
      </c>
      <c r="D167" s="82">
        <v>3319</v>
      </c>
      <c r="E167" s="82">
        <v>327</v>
      </c>
      <c r="F167" s="25">
        <v>2</v>
      </c>
      <c r="G167" s="28">
        <v>2</v>
      </c>
      <c r="H167" s="28">
        <v>81778</v>
      </c>
      <c r="I167" s="28" t="s">
        <v>17</v>
      </c>
      <c r="J167" s="28">
        <v>59171145</v>
      </c>
      <c r="K167" t="s">
        <v>3152</v>
      </c>
      <c r="L167" t="s">
        <v>3157</v>
      </c>
      <c r="M167" s="37">
        <v>199900</v>
      </c>
      <c r="N167" s="81" t="s">
        <v>2826</v>
      </c>
      <c r="O167" s="37" t="s">
        <v>3223</v>
      </c>
      <c r="P167" s="28" t="s">
        <v>2826</v>
      </c>
    </row>
    <row r="168" spans="1:16" x14ac:dyDescent="0.3">
      <c r="A168" s="25" t="s">
        <v>3222</v>
      </c>
      <c r="B168" s="26">
        <v>46093</v>
      </c>
      <c r="C168" s="26">
        <v>46098</v>
      </c>
      <c r="D168" s="82">
        <v>3319</v>
      </c>
      <c r="E168" s="82">
        <v>327</v>
      </c>
      <c r="F168" s="25">
        <v>2</v>
      </c>
      <c r="G168" s="28">
        <v>2</v>
      </c>
      <c r="H168" s="28">
        <v>81778</v>
      </c>
      <c r="I168" s="28" t="s">
        <v>17</v>
      </c>
      <c r="J168" s="28">
        <v>59171154</v>
      </c>
      <c r="K168" t="s">
        <v>3158</v>
      </c>
      <c r="L168" t="s">
        <v>3159</v>
      </c>
      <c r="M168" s="37">
        <v>249900</v>
      </c>
      <c r="N168" s="81" t="s">
        <v>2826</v>
      </c>
      <c r="O168" s="37" t="s">
        <v>3223</v>
      </c>
      <c r="P168" s="28" t="s">
        <v>2826</v>
      </c>
    </row>
    <row r="169" spans="1:16" x14ac:dyDescent="0.3">
      <c r="A169" s="25" t="s">
        <v>3222</v>
      </c>
      <c r="B169" s="26">
        <v>46093</v>
      </c>
      <c r="C169" s="26">
        <v>46098</v>
      </c>
      <c r="D169" s="82">
        <v>3319</v>
      </c>
      <c r="E169" s="82">
        <v>327</v>
      </c>
      <c r="F169" s="25">
        <v>2</v>
      </c>
      <c r="G169" s="28">
        <v>2</v>
      </c>
      <c r="H169" s="28">
        <v>81778</v>
      </c>
      <c r="I169" s="28" t="s">
        <v>17</v>
      </c>
      <c r="J169" s="28">
        <v>59171163</v>
      </c>
      <c r="K169" t="s">
        <v>3158</v>
      </c>
      <c r="L169" t="s">
        <v>3160</v>
      </c>
      <c r="M169" s="37">
        <v>249900</v>
      </c>
      <c r="N169" s="81" t="s">
        <v>2826</v>
      </c>
      <c r="O169" s="37" t="s">
        <v>3223</v>
      </c>
      <c r="P169" s="28" t="s">
        <v>2826</v>
      </c>
    </row>
    <row r="170" spans="1:16" x14ac:dyDescent="0.3">
      <c r="A170" s="25" t="s">
        <v>3222</v>
      </c>
      <c r="B170" s="26">
        <v>46093</v>
      </c>
      <c r="C170" s="26">
        <v>46098</v>
      </c>
      <c r="D170" s="82">
        <v>3319</v>
      </c>
      <c r="E170" s="82">
        <v>327</v>
      </c>
      <c r="F170" s="25">
        <v>2</v>
      </c>
      <c r="G170" s="28">
        <v>2</v>
      </c>
      <c r="H170" s="28">
        <v>81778</v>
      </c>
      <c r="I170" s="28" t="s">
        <v>17</v>
      </c>
      <c r="J170" s="28">
        <v>59171172</v>
      </c>
      <c r="K170" t="s">
        <v>3158</v>
      </c>
      <c r="L170" t="s">
        <v>3161</v>
      </c>
      <c r="M170" s="37">
        <v>249900</v>
      </c>
      <c r="N170" s="81" t="s">
        <v>2826</v>
      </c>
      <c r="O170" s="37" t="s">
        <v>3223</v>
      </c>
      <c r="P170" s="28" t="s">
        <v>2826</v>
      </c>
    </row>
    <row r="171" spans="1:16" x14ac:dyDescent="0.3">
      <c r="A171" s="25" t="s">
        <v>3222</v>
      </c>
      <c r="B171" s="26">
        <v>46093</v>
      </c>
      <c r="C171" s="26">
        <v>46098</v>
      </c>
      <c r="D171" s="82">
        <v>3319</v>
      </c>
      <c r="E171" s="82">
        <v>327</v>
      </c>
      <c r="F171" s="25">
        <v>2</v>
      </c>
      <c r="G171" s="28">
        <v>2</v>
      </c>
      <c r="H171" s="28">
        <v>81778</v>
      </c>
      <c r="I171" s="28" t="s">
        <v>17</v>
      </c>
      <c r="J171" s="28">
        <v>59171181</v>
      </c>
      <c r="K171" t="s">
        <v>3158</v>
      </c>
      <c r="L171" t="s">
        <v>3162</v>
      </c>
      <c r="M171" s="37">
        <v>249900</v>
      </c>
      <c r="N171" s="81" t="s">
        <v>2826</v>
      </c>
      <c r="O171" s="37" t="s">
        <v>3223</v>
      </c>
      <c r="P171" s="28" t="s">
        <v>2826</v>
      </c>
    </row>
    <row r="172" spans="1:16" x14ac:dyDescent="0.3">
      <c r="A172" s="25" t="s">
        <v>3222</v>
      </c>
      <c r="B172" s="26">
        <v>46093</v>
      </c>
      <c r="C172" s="26">
        <v>46098</v>
      </c>
      <c r="D172" s="82">
        <v>3319</v>
      </c>
      <c r="E172" s="82">
        <v>327</v>
      </c>
      <c r="F172" s="25">
        <v>2</v>
      </c>
      <c r="G172" s="28">
        <v>2</v>
      </c>
      <c r="H172" s="28">
        <v>81778</v>
      </c>
      <c r="I172" s="28" t="s">
        <v>17</v>
      </c>
      <c r="J172" s="28">
        <v>59171190</v>
      </c>
      <c r="K172" t="s">
        <v>3158</v>
      </c>
      <c r="L172" t="s">
        <v>3163</v>
      </c>
      <c r="M172" s="37">
        <v>249900</v>
      </c>
      <c r="N172" s="81" t="s">
        <v>2826</v>
      </c>
      <c r="O172" s="37" t="s">
        <v>3223</v>
      </c>
      <c r="P172" s="28" t="s">
        <v>2826</v>
      </c>
    </row>
    <row r="173" spans="1:16" x14ac:dyDescent="0.3">
      <c r="A173" s="25" t="s">
        <v>3222</v>
      </c>
      <c r="B173" s="26">
        <v>46093</v>
      </c>
      <c r="C173" s="26">
        <v>46098</v>
      </c>
      <c r="D173" s="82">
        <v>3319</v>
      </c>
      <c r="E173" s="82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52703565</v>
      </c>
      <c r="K173" s="43" t="s">
        <v>2605</v>
      </c>
      <c r="L173" t="s">
        <v>2614</v>
      </c>
      <c r="M173" s="39">
        <v>199900</v>
      </c>
      <c r="N173" s="81" t="s">
        <v>2826</v>
      </c>
      <c r="O173" s="37" t="s">
        <v>3223</v>
      </c>
      <c r="P173" s="28" t="s">
        <v>2826</v>
      </c>
    </row>
    <row r="174" spans="1:16" x14ac:dyDescent="0.3">
      <c r="A174" s="25" t="s">
        <v>3222</v>
      </c>
      <c r="B174" s="26">
        <v>46093</v>
      </c>
      <c r="C174" s="26">
        <v>46098</v>
      </c>
      <c r="D174" s="82">
        <v>3319</v>
      </c>
      <c r="E174" s="82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52703574</v>
      </c>
      <c r="K174" s="43" t="s">
        <v>2605</v>
      </c>
      <c r="L174" t="s">
        <v>2608</v>
      </c>
      <c r="M174" s="39">
        <v>199900</v>
      </c>
      <c r="N174" s="81" t="s">
        <v>2826</v>
      </c>
      <c r="O174" s="37" t="s">
        <v>3223</v>
      </c>
      <c r="P174" s="28" t="s">
        <v>2826</v>
      </c>
    </row>
    <row r="175" spans="1:16" x14ac:dyDescent="0.3">
      <c r="A175" s="25" t="s">
        <v>3222</v>
      </c>
      <c r="B175" s="26">
        <v>46093</v>
      </c>
      <c r="C175" s="26">
        <v>46098</v>
      </c>
      <c r="D175" s="82">
        <v>3319</v>
      </c>
      <c r="E175" s="82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52703583</v>
      </c>
      <c r="K175" s="43" t="s">
        <v>2605</v>
      </c>
      <c r="L175" t="s">
        <v>2613</v>
      </c>
      <c r="M175" s="39">
        <v>199900</v>
      </c>
      <c r="N175" s="81" t="s">
        <v>2826</v>
      </c>
      <c r="O175" s="37" t="s">
        <v>3223</v>
      </c>
      <c r="P175" s="28" t="s">
        <v>2826</v>
      </c>
    </row>
    <row r="176" spans="1:16" x14ac:dyDescent="0.3">
      <c r="A176" s="25" t="s">
        <v>3222</v>
      </c>
      <c r="B176" s="26">
        <v>46093</v>
      </c>
      <c r="C176" s="26">
        <v>46098</v>
      </c>
      <c r="D176" s="82">
        <v>3319</v>
      </c>
      <c r="E176" s="82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52703592</v>
      </c>
      <c r="K176" s="43" t="s">
        <v>2605</v>
      </c>
      <c r="L176" t="s">
        <v>2612</v>
      </c>
      <c r="M176" s="39">
        <v>199900</v>
      </c>
      <c r="N176" s="81" t="s">
        <v>2826</v>
      </c>
      <c r="O176" s="37" t="s">
        <v>3223</v>
      </c>
      <c r="P176" s="28" t="s">
        <v>2826</v>
      </c>
    </row>
    <row r="177" spans="1:16" x14ac:dyDescent="0.3">
      <c r="A177" s="25" t="s">
        <v>3222</v>
      </c>
      <c r="B177" s="26">
        <v>46093</v>
      </c>
      <c r="C177" s="26">
        <v>46098</v>
      </c>
      <c r="D177" s="82">
        <v>3319</v>
      </c>
      <c r="E177" s="82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52703609</v>
      </c>
      <c r="K177" s="43" t="s">
        <v>2605</v>
      </c>
      <c r="L177" t="s">
        <v>2610</v>
      </c>
      <c r="M177" s="39">
        <v>199900</v>
      </c>
      <c r="N177" s="81" t="s">
        <v>2826</v>
      </c>
      <c r="O177" s="37" t="s">
        <v>3223</v>
      </c>
      <c r="P177" s="28" t="s">
        <v>2826</v>
      </c>
    </row>
    <row r="178" spans="1:16" x14ac:dyDescent="0.3">
      <c r="A178" s="25" t="s">
        <v>3222</v>
      </c>
      <c r="B178" s="26">
        <v>46093</v>
      </c>
      <c r="C178" s="26">
        <v>46098</v>
      </c>
      <c r="D178" s="82">
        <v>3319</v>
      </c>
      <c r="E178" s="82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59171841</v>
      </c>
      <c r="K178" t="s">
        <v>2605</v>
      </c>
      <c r="L178" t="s">
        <v>3164</v>
      </c>
      <c r="M178" s="37">
        <v>199900</v>
      </c>
      <c r="N178" s="81" t="s">
        <v>2826</v>
      </c>
      <c r="O178" s="37" t="s">
        <v>3223</v>
      </c>
      <c r="P178" s="28" t="s">
        <v>2826</v>
      </c>
    </row>
    <row r="179" spans="1:16" x14ac:dyDescent="0.3">
      <c r="A179" s="25" t="s">
        <v>3222</v>
      </c>
      <c r="B179" s="26">
        <v>46093</v>
      </c>
      <c r="C179" s="26">
        <v>46098</v>
      </c>
      <c r="D179" s="82">
        <v>3319</v>
      </c>
      <c r="E179" s="82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59171850</v>
      </c>
      <c r="K179" t="s">
        <v>2605</v>
      </c>
      <c r="L179" t="s">
        <v>3165</v>
      </c>
      <c r="M179" s="37">
        <v>199900</v>
      </c>
      <c r="N179" s="81" t="s">
        <v>2826</v>
      </c>
      <c r="O179" s="37" t="s">
        <v>3223</v>
      </c>
      <c r="P179" s="28" t="s">
        <v>2826</v>
      </c>
    </row>
    <row r="180" spans="1:16" x14ac:dyDescent="0.3">
      <c r="A180" s="25" t="s">
        <v>3222</v>
      </c>
      <c r="B180" s="26">
        <v>46093</v>
      </c>
      <c r="C180" s="26">
        <v>46098</v>
      </c>
      <c r="D180" s="82">
        <v>3319</v>
      </c>
      <c r="E180" s="82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59171869</v>
      </c>
      <c r="K180" t="s">
        <v>2605</v>
      </c>
      <c r="L180" t="s">
        <v>3166</v>
      </c>
      <c r="M180" s="37">
        <v>199900</v>
      </c>
      <c r="N180" s="81" t="s">
        <v>2826</v>
      </c>
      <c r="O180" s="37" t="s">
        <v>3223</v>
      </c>
      <c r="P180" s="28" t="s">
        <v>2826</v>
      </c>
    </row>
    <row r="181" spans="1:16" x14ac:dyDescent="0.3">
      <c r="A181" s="25" t="s">
        <v>3222</v>
      </c>
      <c r="B181" s="26">
        <v>46093</v>
      </c>
      <c r="C181" s="26">
        <v>46098</v>
      </c>
      <c r="D181" s="82">
        <v>3319</v>
      </c>
      <c r="E181" s="82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59171878</v>
      </c>
      <c r="K181" t="s">
        <v>2605</v>
      </c>
      <c r="L181" t="s">
        <v>3167</v>
      </c>
      <c r="M181" s="37">
        <v>199900</v>
      </c>
      <c r="N181" s="81" t="s">
        <v>2826</v>
      </c>
      <c r="O181" s="37" t="s">
        <v>3223</v>
      </c>
      <c r="P181" s="28" t="s">
        <v>2826</v>
      </c>
    </row>
    <row r="182" spans="1:16" x14ac:dyDescent="0.3">
      <c r="A182" s="25" t="s">
        <v>3222</v>
      </c>
      <c r="B182" s="26">
        <v>46093</v>
      </c>
      <c r="C182" s="26">
        <v>46098</v>
      </c>
      <c r="D182" s="82">
        <v>3319</v>
      </c>
      <c r="E182" s="82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59171887</v>
      </c>
      <c r="K182" t="s">
        <v>2605</v>
      </c>
      <c r="L182" t="s">
        <v>3168</v>
      </c>
      <c r="M182" s="37">
        <v>199900</v>
      </c>
      <c r="N182" s="81" t="s">
        <v>2826</v>
      </c>
      <c r="O182" s="37" t="s">
        <v>3223</v>
      </c>
      <c r="P182" s="28" t="s">
        <v>2826</v>
      </c>
    </row>
    <row r="183" spans="1:16" x14ac:dyDescent="0.3">
      <c r="A183" s="25" t="s">
        <v>3222</v>
      </c>
      <c r="B183" s="26">
        <v>46093</v>
      </c>
      <c r="C183" s="26">
        <v>46098</v>
      </c>
      <c r="D183" s="82">
        <v>3319</v>
      </c>
      <c r="E183" s="82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13838332</v>
      </c>
      <c r="K183" s="43" t="s">
        <v>1816</v>
      </c>
      <c r="L183" t="s">
        <v>1817</v>
      </c>
      <c r="M183" s="39">
        <v>199900</v>
      </c>
      <c r="N183" s="81" t="s">
        <v>2826</v>
      </c>
      <c r="O183" s="37" t="s">
        <v>3223</v>
      </c>
      <c r="P183" s="28" t="s">
        <v>2826</v>
      </c>
    </row>
    <row r="184" spans="1:16" x14ac:dyDescent="0.3">
      <c r="A184" s="25" t="s">
        <v>3222</v>
      </c>
      <c r="B184" s="26">
        <v>46093</v>
      </c>
      <c r="C184" s="26">
        <v>46098</v>
      </c>
      <c r="D184" s="82">
        <v>3319</v>
      </c>
      <c r="E184" s="82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13838341</v>
      </c>
      <c r="K184" s="43" t="s">
        <v>1816</v>
      </c>
      <c r="L184" t="s">
        <v>1818</v>
      </c>
      <c r="M184" s="39">
        <v>199900</v>
      </c>
      <c r="N184" s="81" t="s">
        <v>2826</v>
      </c>
      <c r="O184" s="37" t="s">
        <v>3223</v>
      </c>
      <c r="P184" s="28" t="s">
        <v>2826</v>
      </c>
    </row>
    <row r="185" spans="1:16" x14ac:dyDescent="0.3">
      <c r="A185" s="25" t="s">
        <v>3222</v>
      </c>
      <c r="B185" s="26">
        <v>46093</v>
      </c>
      <c r="C185" s="26">
        <v>46098</v>
      </c>
      <c r="D185" s="82">
        <v>3319</v>
      </c>
      <c r="E185" s="82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13838350</v>
      </c>
      <c r="K185" s="43" t="s">
        <v>1816</v>
      </c>
      <c r="L185" t="s">
        <v>1819</v>
      </c>
      <c r="M185" s="39">
        <v>199900</v>
      </c>
      <c r="N185" s="81" t="s">
        <v>2826</v>
      </c>
      <c r="O185" s="37" t="s">
        <v>3223</v>
      </c>
      <c r="P185" s="28" t="s">
        <v>2826</v>
      </c>
    </row>
    <row r="186" spans="1:16" x14ac:dyDescent="0.3">
      <c r="A186" s="25" t="s">
        <v>3222</v>
      </c>
      <c r="B186" s="26">
        <v>46093</v>
      </c>
      <c r="C186" s="26">
        <v>46098</v>
      </c>
      <c r="D186" s="82">
        <v>3319</v>
      </c>
      <c r="E186" s="82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13838369</v>
      </c>
      <c r="K186" s="43" t="s">
        <v>1816</v>
      </c>
      <c r="L186" t="s">
        <v>1820</v>
      </c>
      <c r="M186" s="39">
        <v>199900</v>
      </c>
      <c r="N186" s="81" t="s">
        <v>2826</v>
      </c>
      <c r="O186" s="37" t="s">
        <v>3223</v>
      </c>
      <c r="P186" s="28" t="s">
        <v>2826</v>
      </c>
    </row>
    <row r="187" spans="1:16" x14ac:dyDescent="0.3">
      <c r="A187" s="25" t="s">
        <v>3222</v>
      </c>
      <c r="B187" s="26">
        <v>46093</v>
      </c>
      <c r="C187" s="26">
        <v>46098</v>
      </c>
      <c r="D187" s="82">
        <v>3319</v>
      </c>
      <c r="E187" s="82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13838378</v>
      </c>
      <c r="K187" s="43" t="s">
        <v>1816</v>
      </c>
      <c r="L187" t="s">
        <v>1821</v>
      </c>
      <c r="M187" s="39">
        <v>199900</v>
      </c>
      <c r="N187" s="81" t="s">
        <v>2826</v>
      </c>
      <c r="O187" s="37" t="s">
        <v>3223</v>
      </c>
      <c r="P187" s="28" t="s">
        <v>2826</v>
      </c>
    </row>
    <row r="188" spans="1:16" x14ac:dyDescent="0.3">
      <c r="A188" s="25" t="s">
        <v>3222</v>
      </c>
      <c r="B188" s="26">
        <v>46093</v>
      </c>
      <c r="C188" s="26">
        <v>46098</v>
      </c>
      <c r="D188" s="82">
        <v>3319</v>
      </c>
      <c r="E188" s="82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22153402</v>
      </c>
      <c r="K188" s="43" t="s">
        <v>2252</v>
      </c>
      <c r="L188" t="s">
        <v>2253</v>
      </c>
      <c r="M188" s="39">
        <v>199900</v>
      </c>
      <c r="N188" s="81" t="s">
        <v>2826</v>
      </c>
      <c r="O188" s="37" t="s">
        <v>3223</v>
      </c>
      <c r="P188" s="28" t="s">
        <v>2826</v>
      </c>
    </row>
    <row r="189" spans="1:16" x14ac:dyDescent="0.3">
      <c r="A189" s="25" t="s">
        <v>3222</v>
      </c>
      <c r="B189" s="26">
        <v>46093</v>
      </c>
      <c r="C189" s="26">
        <v>46098</v>
      </c>
      <c r="D189" s="82">
        <v>3319</v>
      </c>
      <c r="E189" s="82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22153411</v>
      </c>
      <c r="K189" s="43" t="s">
        <v>2252</v>
      </c>
      <c r="L189" t="s">
        <v>2254</v>
      </c>
      <c r="M189" s="39">
        <v>199900</v>
      </c>
      <c r="N189" s="81" t="s">
        <v>2826</v>
      </c>
      <c r="O189" s="37" t="s">
        <v>3223</v>
      </c>
      <c r="P189" s="28" t="s">
        <v>2826</v>
      </c>
    </row>
    <row r="190" spans="1:16" x14ac:dyDescent="0.3">
      <c r="A190" s="25" t="s">
        <v>3222</v>
      </c>
      <c r="B190" s="26">
        <v>46093</v>
      </c>
      <c r="C190" s="26">
        <v>46098</v>
      </c>
      <c r="D190" s="82">
        <v>3319</v>
      </c>
      <c r="E190" s="82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22153420</v>
      </c>
      <c r="K190" s="43" t="s">
        <v>2252</v>
      </c>
      <c r="L190" t="s">
        <v>2255</v>
      </c>
      <c r="M190" s="39">
        <v>199900</v>
      </c>
      <c r="N190" s="81" t="s">
        <v>2826</v>
      </c>
      <c r="O190" s="37" t="s">
        <v>3223</v>
      </c>
      <c r="P190" s="28" t="s">
        <v>2826</v>
      </c>
    </row>
    <row r="191" spans="1:16" x14ac:dyDescent="0.3">
      <c r="A191" s="25" t="s">
        <v>3222</v>
      </c>
      <c r="B191" s="26">
        <v>46093</v>
      </c>
      <c r="C191" s="26">
        <v>46098</v>
      </c>
      <c r="D191" s="82">
        <v>3319</v>
      </c>
      <c r="E191" s="82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22153439</v>
      </c>
      <c r="K191" s="43" t="s">
        <v>2252</v>
      </c>
      <c r="L191" t="s">
        <v>2256</v>
      </c>
      <c r="M191" s="39">
        <v>199900</v>
      </c>
      <c r="N191" s="81" t="s">
        <v>2826</v>
      </c>
      <c r="O191" s="37" t="s">
        <v>3223</v>
      </c>
      <c r="P191" s="28" t="s">
        <v>2826</v>
      </c>
    </row>
    <row r="192" spans="1:16" x14ac:dyDescent="0.3">
      <c r="A192" s="25" t="s">
        <v>3222</v>
      </c>
      <c r="B192" s="26">
        <v>46093</v>
      </c>
      <c r="C192" s="26">
        <v>46098</v>
      </c>
      <c r="D192" s="82">
        <v>3319</v>
      </c>
      <c r="E192" s="82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22167862</v>
      </c>
      <c r="K192" s="43" t="s">
        <v>2252</v>
      </c>
      <c r="L192" t="s">
        <v>2262</v>
      </c>
      <c r="M192" s="39">
        <v>199900</v>
      </c>
      <c r="N192" s="81" t="s">
        <v>2826</v>
      </c>
      <c r="O192" s="37" t="s">
        <v>3223</v>
      </c>
      <c r="P192" s="28" t="s">
        <v>2826</v>
      </c>
    </row>
    <row r="193" spans="1:16" x14ac:dyDescent="0.3">
      <c r="A193" s="25" t="s">
        <v>3222</v>
      </c>
      <c r="B193" s="26">
        <v>46093</v>
      </c>
      <c r="C193" s="26">
        <v>46098</v>
      </c>
      <c r="D193" s="82">
        <v>3319</v>
      </c>
      <c r="E193" s="82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59171798</v>
      </c>
      <c r="K193" t="s">
        <v>2252</v>
      </c>
      <c r="L193" t="s">
        <v>3169</v>
      </c>
      <c r="M193" s="37">
        <v>199900</v>
      </c>
      <c r="N193" s="81" t="s">
        <v>2826</v>
      </c>
      <c r="O193" s="37" t="s">
        <v>3223</v>
      </c>
      <c r="P193" s="28" t="s">
        <v>2826</v>
      </c>
    </row>
    <row r="194" spans="1:16" x14ac:dyDescent="0.3">
      <c r="A194" s="25" t="s">
        <v>3222</v>
      </c>
      <c r="B194" s="26">
        <v>46093</v>
      </c>
      <c r="C194" s="26">
        <v>46098</v>
      </c>
      <c r="D194" s="82">
        <v>3319</v>
      </c>
      <c r="E194" s="82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59171805</v>
      </c>
      <c r="K194" t="s">
        <v>2252</v>
      </c>
      <c r="L194" t="s">
        <v>3170</v>
      </c>
      <c r="M194" s="37">
        <v>199900</v>
      </c>
      <c r="N194" s="81" t="s">
        <v>2826</v>
      </c>
      <c r="O194" s="37" t="s">
        <v>3223</v>
      </c>
      <c r="P194" s="28" t="s">
        <v>2826</v>
      </c>
    </row>
    <row r="195" spans="1:16" x14ac:dyDescent="0.3">
      <c r="A195" s="25" t="s">
        <v>3222</v>
      </c>
      <c r="B195" s="26">
        <v>46093</v>
      </c>
      <c r="C195" s="26">
        <v>46098</v>
      </c>
      <c r="D195" s="82">
        <v>3319</v>
      </c>
      <c r="E195" s="82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59171814</v>
      </c>
      <c r="K195" t="s">
        <v>2252</v>
      </c>
      <c r="L195" t="s">
        <v>3171</v>
      </c>
      <c r="M195" s="37">
        <v>199900</v>
      </c>
      <c r="N195" s="81" t="s">
        <v>2826</v>
      </c>
      <c r="O195" s="37" t="s">
        <v>3223</v>
      </c>
      <c r="P195" s="28" t="s">
        <v>2826</v>
      </c>
    </row>
    <row r="196" spans="1:16" x14ac:dyDescent="0.3">
      <c r="A196" s="25" t="s">
        <v>3222</v>
      </c>
      <c r="B196" s="26">
        <v>46093</v>
      </c>
      <c r="C196" s="26">
        <v>46098</v>
      </c>
      <c r="D196" s="82">
        <v>3319</v>
      </c>
      <c r="E196" s="82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59171823</v>
      </c>
      <c r="K196" t="s">
        <v>2252</v>
      </c>
      <c r="L196" t="s">
        <v>3172</v>
      </c>
      <c r="M196" s="37">
        <v>199900</v>
      </c>
      <c r="N196" s="81" t="s">
        <v>2826</v>
      </c>
      <c r="O196" s="37" t="s">
        <v>3223</v>
      </c>
      <c r="P196" s="28" t="s">
        <v>2826</v>
      </c>
    </row>
    <row r="197" spans="1:16" x14ac:dyDescent="0.3">
      <c r="A197" s="25" t="s">
        <v>3222</v>
      </c>
      <c r="B197" s="26">
        <v>46093</v>
      </c>
      <c r="C197" s="26">
        <v>46098</v>
      </c>
      <c r="D197" s="82">
        <v>3319</v>
      </c>
      <c r="E197" s="82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59171832</v>
      </c>
      <c r="K197" t="s">
        <v>2252</v>
      </c>
      <c r="L197" t="s">
        <v>3173</v>
      </c>
      <c r="M197" s="37">
        <v>199900</v>
      </c>
      <c r="N197" s="81" t="s">
        <v>2826</v>
      </c>
      <c r="O197" s="37" t="s">
        <v>3223</v>
      </c>
      <c r="P197" s="28" t="s">
        <v>2826</v>
      </c>
    </row>
    <row r="198" spans="1:16" x14ac:dyDescent="0.3">
      <c r="A198" s="25" t="s">
        <v>3222</v>
      </c>
      <c r="B198" s="26">
        <v>46093</v>
      </c>
      <c r="C198" s="26">
        <v>46098</v>
      </c>
      <c r="D198" s="82">
        <v>3319</v>
      </c>
      <c r="E198" s="82">
        <v>327</v>
      </c>
      <c r="F198" s="25">
        <v>2</v>
      </c>
      <c r="G198" s="28">
        <v>1</v>
      </c>
      <c r="H198" s="28">
        <v>81778</v>
      </c>
      <c r="I198" s="28" t="s">
        <v>17</v>
      </c>
      <c r="J198" s="28">
        <v>22407030</v>
      </c>
      <c r="K198" s="43" t="s">
        <v>2285</v>
      </c>
      <c r="L198" t="s">
        <v>2286</v>
      </c>
      <c r="M198" s="37">
        <v>229900</v>
      </c>
      <c r="N198" s="81" t="s">
        <v>2826</v>
      </c>
      <c r="O198" s="37" t="s">
        <v>3223</v>
      </c>
      <c r="P198" s="28" t="s">
        <v>2826</v>
      </c>
    </row>
    <row r="199" spans="1:16" x14ac:dyDescent="0.3">
      <c r="A199" s="25" t="s">
        <v>3222</v>
      </c>
      <c r="B199" s="26">
        <v>46093</v>
      </c>
      <c r="C199" s="26">
        <v>46098</v>
      </c>
      <c r="D199" s="82">
        <v>3319</v>
      </c>
      <c r="E199" s="82">
        <v>327</v>
      </c>
      <c r="F199" s="25">
        <v>2</v>
      </c>
      <c r="G199" s="28">
        <v>1</v>
      </c>
      <c r="H199" s="28">
        <v>81778</v>
      </c>
      <c r="I199" s="28" t="s">
        <v>17</v>
      </c>
      <c r="J199" s="28">
        <v>22407049</v>
      </c>
      <c r="K199" s="43" t="s">
        <v>2285</v>
      </c>
      <c r="L199" t="s">
        <v>2287</v>
      </c>
      <c r="M199" s="37">
        <v>229900</v>
      </c>
      <c r="N199" s="81" t="s">
        <v>2826</v>
      </c>
      <c r="O199" s="37" t="s">
        <v>3223</v>
      </c>
      <c r="P199" s="28" t="s">
        <v>2826</v>
      </c>
    </row>
    <row r="200" spans="1:16" x14ac:dyDescent="0.3">
      <c r="A200" s="25" t="s">
        <v>3222</v>
      </c>
      <c r="B200" s="26">
        <v>46093</v>
      </c>
      <c r="C200" s="26">
        <v>46098</v>
      </c>
      <c r="D200" s="82">
        <v>3319</v>
      </c>
      <c r="E200" s="82">
        <v>327</v>
      </c>
      <c r="F200" s="25">
        <v>2</v>
      </c>
      <c r="G200" s="28">
        <v>1</v>
      </c>
      <c r="H200" s="28">
        <v>81778</v>
      </c>
      <c r="I200" s="28" t="s">
        <v>17</v>
      </c>
      <c r="J200" s="28">
        <v>22407058</v>
      </c>
      <c r="K200" s="43" t="s">
        <v>2285</v>
      </c>
      <c r="L200" t="s">
        <v>2288</v>
      </c>
      <c r="M200" s="37">
        <v>229900</v>
      </c>
      <c r="N200" s="81" t="s">
        <v>2826</v>
      </c>
      <c r="O200" s="37" t="s">
        <v>3223</v>
      </c>
      <c r="P200" s="28" t="s">
        <v>2826</v>
      </c>
    </row>
    <row r="201" spans="1:16" x14ac:dyDescent="0.3">
      <c r="A201" s="25" t="s">
        <v>3222</v>
      </c>
      <c r="B201" s="26">
        <v>46093</v>
      </c>
      <c r="C201" s="26">
        <v>46098</v>
      </c>
      <c r="D201" s="82">
        <v>3319</v>
      </c>
      <c r="E201" s="82">
        <v>327</v>
      </c>
      <c r="F201" s="25">
        <v>2</v>
      </c>
      <c r="G201" s="28">
        <v>1</v>
      </c>
      <c r="H201" s="28">
        <v>81778</v>
      </c>
      <c r="I201" s="28" t="s">
        <v>17</v>
      </c>
      <c r="J201" s="28">
        <v>22407067</v>
      </c>
      <c r="K201" s="43" t="s">
        <v>2285</v>
      </c>
      <c r="L201" t="s">
        <v>2289</v>
      </c>
      <c r="M201" s="37">
        <v>229900</v>
      </c>
      <c r="N201" s="81" t="s">
        <v>2826</v>
      </c>
      <c r="O201" s="37" t="s">
        <v>3223</v>
      </c>
      <c r="P201" s="28" t="s">
        <v>2826</v>
      </c>
    </row>
    <row r="202" spans="1:16" x14ac:dyDescent="0.3">
      <c r="A202" s="25" t="s">
        <v>3222</v>
      </c>
      <c r="B202" s="26">
        <v>46093</v>
      </c>
      <c r="C202" s="26">
        <v>46098</v>
      </c>
      <c r="D202" s="82">
        <v>3319</v>
      </c>
      <c r="E202" s="82">
        <v>327</v>
      </c>
      <c r="F202" s="25">
        <v>2</v>
      </c>
      <c r="G202" s="28">
        <v>1</v>
      </c>
      <c r="H202" s="28">
        <v>81778</v>
      </c>
      <c r="I202" s="28" t="s">
        <v>17</v>
      </c>
      <c r="J202" s="28">
        <v>22407281</v>
      </c>
      <c r="K202" s="43" t="s">
        <v>2285</v>
      </c>
      <c r="L202" t="s">
        <v>2290</v>
      </c>
      <c r="M202" s="37">
        <v>229900</v>
      </c>
      <c r="N202" s="81" t="s">
        <v>2826</v>
      </c>
      <c r="O202" s="37" t="s">
        <v>3223</v>
      </c>
      <c r="P202" s="28" t="s">
        <v>2826</v>
      </c>
    </row>
  </sheetData>
  <autoFilter ref="A1:Q1" xr:uid="{00000000-0001-0000-0900-000000000000}"/>
  <conditionalFormatting sqref="J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</conditionalFormatting>
  <conditionalFormatting sqref="J173">
    <cfRule type="duplicateValues" dxfId="25" priority="17"/>
  </conditionalFormatting>
  <conditionalFormatting sqref="J174">
    <cfRule type="duplicateValues" dxfId="24" priority="16"/>
  </conditionalFormatting>
  <conditionalFormatting sqref="J175">
    <cfRule type="duplicateValues" dxfId="23" priority="15"/>
  </conditionalFormatting>
  <conditionalFormatting sqref="J176">
    <cfRule type="duplicateValues" dxfId="22" priority="14"/>
  </conditionalFormatting>
  <conditionalFormatting sqref="J177">
    <cfRule type="duplicateValues" dxfId="21" priority="13"/>
  </conditionalFormatting>
  <conditionalFormatting sqref="J178:J182 J1:J172 J193:J197 J203:J1048576">
    <cfRule type="duplicateValues" dxfId="20" priority="615"/>
  </conditionalFormatting>
  <conditionalFormatting sqref="J183:J187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J188:J192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J198:J202">
    <cfRule type="duplicateValues" dxfId="8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32-F7DD-4FEA-894C-50AEAA7DE1B2}">
  <sheetPr>
    <tabColor rgb="FFFF0000"/>
  </sheetPr>
  <dimension ref="A1:P129"/>
  <sheetViews>
    <sheetView tabSelected="1" zoomScale="85" zoomScaleNormal="85" workbookViewId="0">
      <selection activeCell="B2" sqref="B2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3224</v>
      </c>
      <c r="B2" s="26">
        <v>46093</v>
      </c>
      <c r="C2" s="26">
        <v>46098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18476358</v>
      </c>
      <c r="K2" s="28" t="s">
        <v>2103</v>
      </c>
      <c r="L2" t="s">
        <v>2106</v>
      </c>
      <c r="M2" s="37">
        <v>129900</v>
      </c>
      <c r="N2" s="81" t="s">
        <v>2826</v>
      </c>
      <c r="O2" s="37" t="s">
        <v>3223</v>
      </c>
      <c r="P2" s="28" t="s">
        <v>2826</v>
      </c>
    </row>
    <row r="3" spans="1:16" x14ac:dyDescent="0.3">
      <c r="A3" s="28" t="s">
        <v>3224</v>
      </c>
      <c r="B3" s="26">
        <v>46093</v>
      </c>
      <c r="C3" s="26">
        <v>46098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18476367</v>
      </c>
      <c r="K3" s="28" t="s">
        <v>2103</v>
      </c>
      <c r="L3" t="s">
        <v>2107</v>
      </c>
      <c r="M3" s="37">
        <v>129900</v>
      </c>
      <c r="N3" s="81" t="s">
        <v>2826</v>
      </c>
      <c r="O3" s="37" t="s">
        <v>3223</v>
      </c>
      <c r="P3" s="28" t="s">
        <v>2826</v>
      </c>
    </row>
    <row r="4" spans="1:16" x14ac:dyDescent="0.3">
      <c r="A4" s="28" t="s">
        <v>3224</v>
      </c>
      <c r="B4" s="26">
        <v>46093</v>
      </c>
      <c r="C4" s="26">
        <v>46098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18476303</v>
      </c>
      <c r="K4" s="28" t="s">
        <v>2103</v>
      </c>
      <c r="L4" t="s">
        <v>2105</v>
      </c>
      <c r="M4" s="37">
        <v>129900</v>
      </c>
      <c r="N4" s="81" t="s">
        <v>2826</v>
      </c>
      <c r="O4" s="37" t="s">
        <v>3223</v>
      </c>
      <c r="P4" s="28" t="s">
        <v>2826</v>
      </c>
    </row>
    <row r="5" spans="1:16" x14ac:dyDescent="0.3">
      <c r="A5" s="28" t="s">
        <v>3224</v>
      </c>
      <c r="B5" s="26">
        <v>46093</v>
      </c>
      <c r="C5" s="26">
        <v>46098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18476349</v>
      </c>
      <c r="K5" s="28" t="s">
        <v>2103</v>
      </c>
      <c r="L5" t="s">
        <v>2104</v>
      </c>
      <c r="M5" s="37">
        <v>129900</v>
      </c>
      <c r="N5" s="81" t="s">
        <v>2826</v>
      </c>
      <c r="O5" s="37" t="s">
        <v>3223</v>
      </c>
      <c r="P5" s="28" t="s">
        <v>2826</v>
      </c>
    </row>
    <row r="6" spans="1:16" x14ac:dyDescent="0.3">
      <c r="A6" s="28" t="s">
        <v>3224</v>
      </c>
      <c r="B6" s="26">
        <v>46093</v>
      </c>
      <c r="C6" s="26">
        <v>46098</v>
      </c>
      <c r="D6" s="48">
        <v>3319</v>
      </c>
      <c r="E6" s="4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53825182</v>
      </c>
      <c r="K6" s="28" t="s">
        <v>2651</v>
      </c>
      <c r="L6" t="s">
        <v>2652</v>
      </c>
      <c r="M6" s="37">
        <v>149900</v>
      </c>
      <c r="N6" s="81" t="s">
        <v>2826</v>
      </c>
      <c r="O6" s="37" t="s">
        <v>3223</v>
      </c>
      <c r="P6" s="28" t="s">
        <v>2826</v>
      </c>
    </row>
    <row r="7" spans="1:16" x14ac:dyDescent="0.3">
      <c r="A7" s="28" t="s">
        <v>3224</v>
      </c>
      <c r="B7" s="26">
        <v>46093</v>
      </c>
      <c r="C7" s="26">
        <v>46098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53825191</v>
      </c>
      <c r="K7" s="28" t="s">
        <v>2651</v>
      </c>
      <c r="L7" t="s">
        <v>2653</v>
      </c>
      <c r="M7" s="37">
        <v>149900</v>
      </c>
      <c r="N7" s="81" t="s">
        <v>2826</v>
      </c>
      <c r="O7" s="37" t="s">
        <v>3223</v>
      </c>
      <c r="P7" s="28" t="s">
        <v>2826</v>
      </c>
    </row>
    <row r="8" spans="1:16" x14ac:dyDescent="0.3">
      <c r="A8" s="28" t="s">
        <v>3224</v>
      </c>
      <c r="B8" s="26">
        <v>46093</v>
      </c>
      <c r="C8" s="26">
        <v>46098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53825208</v>
      </c>
      <c r="K8" s="28" t="s">
        <v>2651</v>
      </c>
      <c r="L8" t="s">
        <v>2654</v>
      </c>
      <c r="M8" s="37">
        <v>149900</v>
      </c>
      <c r="N8" s="81" t="s">
        <v>2826</v>
      </c>
      <c r="O8" s="37" t="s">
        <v>3223</v>
      </c>
      <c r="P8" s="28" t="s">
        <v>2826</v>
      </c>
    </row>
    <row r="9" spans="1:16" x14ac:dyDescent="0.3">
      <c r="A9" s="28" t="s">
        <v>3224</v>
      </c>
      <c r="B9" s="26">
        <v>46093</v>
      </c>
      <c r="C9" s="26">
        <v>46098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53825164</v>
      </c>
      <c r="K9" s="28" t="s">
        <v>2651</v>
      </c>
      <c r="L9" t="s">
        <v>2655</v>
      </c>
      <c r="M9" s="37">
        <v>149900</v>
      </c>
      <c r="N9" s="81" t="s">
        <v>2826</v>
      </c>
      <c r="O9" s="37" t="s">
        <v>3223</v>
      </c>
      <c r="P9" s="28" t="s">
        <v>2826</v>
      </c>
    </row>
    <row r="10" spans="1:16" x14ac:dyDescent="0.3">
      <c r="A10" s="28" t="s">
        <v>3224</v>
      </c>
      <c r="B10" s="26">
        <v>46093</v>
      </c>
      <c r="C10" s="26">
        <v>46098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53825173</v>
      </c>
      <c r="K10" s="28" t="s">
        <v>2651</v>
      </c>
      <c r="L10" t="s">
        <v>2656</v>
      </c>
      <c r="M10" s="37">
        <v>149900</v>
      </c>
      <c r="N10" s="81" t="s">
        <v>2826</v>
      </c>
      <c r="O10" s="37" t="s">
        <v>3223</v>
      </c>
      <c r="P10" s="28" t="s">
        <v>2826</v>
      </c>
    </row>
    <row r="11" spans="1:16" x14ac:dyDescent="0.3">
      <c r="A11" s="28" t="s">
        <v>3224</v>
      </c>
      <c r="B11" s="26">
        <v>46093</v>
      </c>
      <c r="C11" s="26">
        <v>46098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59171403</v>
      </c>
      <c r="K11" s="28" t="s">
        <v>3174</v>
      </c>
      <c r="L11" t="s">
        <v>3175</v>
      </c>
      <c r="M11" s="37">
        <v>149900</v>
      </c>
      <c r="N11" s="81" t="s">
        <v>2826</v>
      </c>
      <c r="O11" s="37" t="s">
        <v>3223</v>
      </c>
      <c r="P11" s="28" t="s">
        <v>2826</v>
      </c>
    </row>
    <row r="12" spans="1:16" x14ac:dyDescent="0.3">
      <c r="A12" s="28" t="s">
        <v>3224</v>
      </c>
      <c r="B12" s="26">
        <v>46093</v>
      </c>
      <c r="C12" s="26">
        <v>46098</v>
      </c>
      <c r="D12" s="48">
        <v>3319</v>
      </c>
      <c r="E12" s="48">
        <v>327</v>
      </c>
      <c r="F12" s="28">
        <v>2</v>
      </c>
      <c r="G12" s="28">
        <v>1</v>
      </c>
      <c r="H12" s="28">
        <v>81778</v>
      </c>
      <c r="I12" s="28" t="s">
        <v>17</v>
      </c>
      <c r="J12" s="28">
        <v>59171412</v>
      </c>
      <c r="K12" s="28" t="s">
        <v>3174</v>
      </c>
      <c r="L12" t="s">
        <v>3176</v>
      </c>
      <c r="M12" s="37">
        <v>149900</v>
      </c>
      <c r="N12" s="81" t="s">
        <v>2826</v>
      </c>
      <c r="O12" s="37" t="s">
        <v>3223</v>
      </c>
      <c r="P12" s="28" t="s">
        <v>2826</v>
      </c>
    </row>
    <row r="13" spans="1:16" x14ac:dyDescent="0.3">
      <c r="A13" s="28" t="s">
        <v>3224</v>
      </c>
      <c r="B13" s="26">
        <v>46093</v>
      </c>
      <c r="C13" s="26">
        <v>46098</v>
      </c>
      <c r="D13" s="48">
        <v>3319</v>
      </c>
      <c r="E13" s="48">
        <v>327</v>
      </c>
      <c r="F13" s="28">
        <v>2</v>
      </c>
      <c r="G13" s="28">
        <v>1</v>
      </c>
      <c r="H13" s="28">
        <v>81778</v>
      </c>
      <c r="I13" s="28" t="s">
        <v>17</v>
      </c>
      <c r="J13" s="28">
        <v>59171421</v>
      </c>
      <c r="K13" s="28" t="s">
        <v>3174</v>
      </c>
      <c r="L13" t="s">
        <v>3177</v>
      </c>
      <c r="M13" s="37">
        <v>149900</v>
      </c>
      <c r="N13" s="81" t="s">
        <v>2826</v>
      </c>
      <c r="O13" s="37" t="s">
        <v>3223</v>
      </c>
      <c r="P13" s="28" t="s">
        <v>2826</v>
      </c>
    </row>
    <row r="14" spans="1:16" x14ac:dyDescent="0.3">
      <c r="A14" s="28" t="s">
        <v>3224</v>
      </c>
      <c r="B14" s="26">
        <v>46093</v>
      </c>
      <c r="C14" s="26">
        <v>46098</v>
      </c>
      <c r="D14" s="48">
        <v>3319</v>
      </c>
      <c r="E14" s="48">
        <v>327</v>
      </c>
      <c r="F14" s="28">
        <v>2</v>
      </c>
      <c r="G14" s="28">
        <v>1</v>
      </c>
      <c r="H14" s="28">
        <v>81778</v>
      </c>
      <c r="I14" s="28" t="s">
        <v>17</v>
      </c>
      <c r="J14" s="28">
        <v>59171430</v>
      </c>
      <c r="K14" s="28" t="s">
        <v>3174</v>
      </c>
      <c r="L14" t="s">
        <v>3178</v>
      </c>
      <c r="M14" s="37">
        <v>149900</v>
      </c>
      <c r="N14" s="81" t="s">
        <v>2826</v>
      </c>
      <c r="O14" s="37" t="s">
        <v>3223</v>
      </c>
      <c r="P14" s="28" t="s">
        <v>2826</v>
      </c>
    </row>
    <row r="15" spans="1:16" x14ac:dyDescent="0.3">
      <c r="A15" s="28" t="s">
        <v>3224</v>
      </c>
      <c r="B15" s="26">
        <v>46093</v>
      </c>
      <c r="C15" s="26">
        <v>46098</v>
      </c>
      <c r="D15" s="48">
        <v>3319</v>
      </c>
      <c r="E15" s="48">
        <v>327</v>
      </c>
      <c r="F15" s="28">
        <v>2</v>
      </c>
      <c r="G15" s="28">
        <v>1</v>
      </c>
      <c r="H15" s="28">
        <v>81778</v>
      </c>
      <c r="I15" s="28" t="s">
        <v>17</v>
      </c>
      <c r="J15" s="28">
        <v>59171449</v>
      </c>
      <c r="K15" s="28" t="s">
        <v>3174</v>
      </c>
      <c r="L15" t="s">
        <v>3179</v>
      </c>
      <c r="M15" s="37">
        <v>149900</v>
      </c>
      <c r="N15" s="81" t="s">
        <v>2826</v>
      </c>
      <c r="O15" s="37" t="s">
        <v>3223</v>
      </c>
      <c r="P15" s="28" t="s">
        <v>2826</v>
      </c>
    </row>
    <row r="16" spans="1:16" x14ac:dyDescent="0.3">
      <c r="A16" s="28" t="s">
        <v>3224</v>
      </c>
      <c r="B16" s="26">
        <v>46093</v>
      </c>
      <c r="C16" s="26">
        <v>46098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59171985</v>
      </c>
      <c r="K16" s="28" t="s">
        <v>3180</v>
      </c>
      <c r="L16" t="s">
        <v>3181</v>
      </c>
      <c r="M16" s="37">
        <v>129900</v>
      </c>
      <c r="N16" s="81" t="s">
        <v>2826</v>
      </c>
      <c r="O16" s="37" t="s">
        <v>3223</v>
      </c>
      <c r="P16" s="28" t="s">
        <v>2826</v>
      </c>
    </row>
    <row r="17" spans="1:16" x14ac:dyDescent="0.3">
      <c r="A17" s="28" t="s">
        <v>3224</v>
      </c>
      <c r="B17" s="26">
        <v>46093</v>
      </c>
      <c r="C17" s="26">
        <v>46098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59171994</v>
      </c>
      <c r="K17" s="28" t="s">
        <v>3180</v>
      </c>
      <c r="L17" t="s">
        <v>3182</v>
      </c>
      <c r="M17" s="37">
        <v>129900</v>
      </c>
      <c r="N17" s="81" t="s">
        <v>2826</v>
      </c>
      <c r="O17" s="37" t="s">
        <v>3223</v>
      </c>
      <c r="P17" s="28" t="s">
        <v>2826</v>
      </c>
    </row>
    <row r="18" spans="1:16" x14ac:dyDescent="0.3">
      <c r="A18" s="28" t="s">
        <v>3224</v>
      </c>
      <c r="B18" s="26">
        <v>46093</v>
      </c>
      <c r="C18" s="26">
        <v>46098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59172000</v>
      </c>
      <c r="K18" s="28" t="s">
        <v>3180</v>
      </c>
      <c r="L18" t="s">
        <v>3183</v>
      </c>
      <c r="M18" s="37">
        <v>129900</v>
      </c>
      <c r="N18" s="81" t="s">
        <v>2826</v>
      </c>
      <c r="O18" s="37" t="s">
        <v>3223</v>
      </c>
      <c r="P18" s="28" t="s">
        <v>2826</v>
      </c>
    </row>
    <row r="19" spans="1:16" x14ac:dyDescent="0.3">
      <c r="A19" s="28" t="s">
        <v>3224</v>
      </c>
      <c r="B19" s="26">
        <v>46093</v>
      </c>
      <c r="C19" s="26">
        <v>46098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59172019</v>
      </c>
      <c r="K19" s="28" t="s">
        <v>3180</v>
      </c>
      <c r="L19" t="s">
        <v>3184</v>
      </c>
      <c r="M19" s="37">
        <v>129900</v>
      </c>
      <c r="N19" s="81" t="s">
        <v>2826</v>
      </c>
      <c r="O19" s="37" t="s">
        <v>3223</v>
      </c>
      <c r="P19" s="28" t="s">
        <v>2826</v>
      </c>
    </row>
    <row r="20" spans="1:16" x14ac:dyDescent="0.3">
      <c r="A20" s="28" t="s">
        <v>3224</v>
      </c>
      <c r="B20" s="26">
        <v>46093</v>
      </c>
      <c r="C20" s="26">
        <v>46098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27023294</v>
      </c>
      <c r="K20" s="28" t="s">
        <v>2081</v>
      </c>
      <c r="L20" t="s">
        <v>2083</v>
      </c>
      <c r="M20" s="37">
        <v>129900</v>
      </c>
      <c r="N20" s="81" t="s">
        <v>2826</v>
      </c>
      <c r="O20" s="37" t="s">
        <v>3223</v>
      </c>
      <c r="P20" s="28" t="s">
        <v>2826</v>
      </c>
    </row>
    <row r="21" spans="1:16" x14ac:dyDescent="0.3">
      <c r="A21" s="28" t="s">
        <v>3224</v>
      </c>
      <c r="B21" s="26">
        <v>46093</v>
      </c>
      <c r="C21" s="26">
        <v>46098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27023301</v>
      </c>
      <c r="K21" s="28" t="s">
        <v>2081</v>
      </c>
      <c r="L21" t="s">
        <v>2091</v>
      </c>
      <c r="M21" s="37">
        <v>129900</v>
      </c>
      <c r="N21" s="81" t="s">
        <v>2826</v>
      </c>
      <c r="O21" s="37" t="s">
        <v>3223</v>
      </c>
      <c r="P21" s="28" t="s">
        <v>2826</v>
      </c>
    </row>
    <row r="22" spans="1:16" x14ac:dyDescent="0.3">
      <c r="A22" s="28" t="s">
        <v>3224</v>
      </c>
      <c r="B22" s="26">
        <v>46093</v>
      </c>
      <c r="C22" s="26">
        <v>46098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27023310</v>
      </c>
      <c r="K22" s="28" t="s">
        <v>2081</v>
      </c>
      <c r="L22" t="s">
        <v>2085</v>
      </c>
      <c r="M22" s="37">
        <v>129900</v>
      </c>
      <c r="N22" s="81" t="s">
        <v>2826</v>
      </c>
      <c r="O22" s="37" t="s">
        <v>3223</v>
      </c>
      <c r="P22" s="28" t="s">
        <v>2826</v>
      </c>
    </row>
    <row r="23" spans="1:16" x14ac:dyDescent="0.3">
      <c r="A23" s="28" t="s">
        <v>3224</v>
      </c>
      <c r="B23" s="26">
        <v>46093</v>
      </c>
      <c r="C23" s="26">
        <v>46098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27023329</v>
      </c>
      <c r="K23" s="28" t="s">
        <v>2081</v>
      </c>
      <c r="L23" t="s">
        <v>2097</v>
      </c>
      <c r="M23" s="37">
        <v>129900</v>
      </c>
      <c r="N23" s="81" t="s">
        <v>2826</v>
      </c>
      <c r="O23" s="37" t="s">
        <v>3223</v>
      </c>
      <c r="P23" s="28" t="s">
        <v>2826</v>
      </c>
    </row>
    <row r="24" spans="1:16" x14ac:dyDescent="0.3">
      <c r="A24" s="28" t="s">
        <v>3224</v>
      </c>
      <c r="B24" s="26">
        <v>46093</v>
      </c>
      <c r="C24" s="26">
        <v>46098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27023338</v>
      </c>
      <c r="K24" s="28" t="s">
        <v>2081</v>
      </c>
      <c r="L24" t="s">
        <v>2082</v>
      </c>
      <c r="M24" s="37">
        <v>129900</v>
      </c>
      <c r="N24" s="81" t="s">
        <v>2826</v>
      </c>
      <c r="O24" s="37" t="s">
        <v>3223</v>
      </c>
      <c r="P24" s="28" t="s">
        <v>2826</v>
      </c>
    </row>
    <row r="25" spans="1:16" x14ac:dyDescent="0.3">
      <c r="A25" s="28" t="s">
        <v>3224</v>
      </c>
      <c r="B25" s="26">
        <v>46093</v>
      </c>
      <c r="C25" s="26">
        <v>46098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27023347</v>
      </c>
      <c r="K25" s="28" t="s">
        <v>2081</v>
      </c>
      <c r="L25" t="s">
        <v>2092</v>
      </c>
      <c r="M25" s="37">
        <v>129900</v>
      </c>
      <c r="N25" s="81" t="s">
        <v>2826</v>
      </c>
      <c r="O25" s="37" t="s">
        <v>3223</v>
      </c>
      <c r="P25" s="28" t="s">
        <v>2826</v>
      </c>
    </row>
    <row r="26" spans="1:16" x14ac:dyDescent="0.3">
      <c r="A26" s="28" t="s">
        <v>3224</v>
      </c>
      <c r="B26" s="26">
        <v>46093</v>
      </c>
      <c r="C26" s="26">
        <v>46098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27023356</v>
      </c>
      <c r="K26" s="28" t="s">
        <v>2081</v>
      </c>
      <c r="L26" t="s">
        <v>2087</v>
      </c>
      <c r="M26" s="37">
        <v>129900</v>
      </c>
      <c r="N26" s="81" t="s">
        <v>2826</v>
      </c>
      <c r="O26" s="37" t="s">
        <v>3223</v>
      </c>
      <c r="P26" s="28" t="s">
        <v>2826</v>
      </c>
    </row>
    <row r="27" spans="1:16" x14ac:dyDescent="0.3">
      <c r="A27" s="28" t="s">
        <v>3224</v>
      </c>
      <c r="B27" s="26">
        <v>46093</v>
      </c>
      <c r="C27" s="26">
        <v>46098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27023365</v>
      </c>
      <c r="K27" s="28" t="s">
        <v>2081</v>
      </c>
      <c r="L27" t="s">
        <v>2088</v>
      </c>
      <c r="M27" s="37">
        <v>129900</v>
      </c>
      <c r="N27" s="81" t="s">
        <v>2826</v>
      </c>
      <c r="O27" s="37" t="s">
        <v>3223</v>
      </c>
      <c r="P27" s="28" t="s">
        <v>2826</v>
      </c>
    </row>
    <row r="28" spans="1:16" x14ac:dyDescent="0.3">
      <c r="A28" s="28" t="s">
        <v>3224</v>
      </c>
      <c r="B28" s="26">
        <v>46093</v>
      </c>
      <c r="C28" s="26">
        <v>46098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27023374</v>
      </c>
      <c r="K28" s="28" t="s">
        <v>2081</v>
      </c>
      <c r="L28" t="s">
        <v>2093</v>
      </c>
      <c r="M28" s="37">
        <v>129900</v>
      </c>
      <c r="N28" s="81" t="s">
        <v>2826</v>
      </c>
      <c r="O28" s="37" t="s">
        <v>3223</v>
      </c>
      <c r="P28" s="28" t="s">
        <v>2826</v>
      </c>
    </row>
    <row r="29" spans="1:16" x14ac:dyDescent="0.3">
      <c r="A29" s="28" t="s">
        <v>3224</v>
      </c>
      <c r="B29" s="26">
        <v>46093</v>
      </c>
      <c r="C29" s="26">
        <v>46098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27023383</v>
      </c>
      <c r="K29" s="28" t="s">
        <v>2081</v>
      </c>
      <c r="L29" t="s">
        <v>2086</v>
      </c>
      <c r="M29" s="37">
        <v>129900</v>
      </c>
      <c r="N29" s="81" t="s">
        <v>2826</v>
      </c>
      <c r="O29" s="37" t="s">
        <v>3223</v>
      </c>
      <c r="P29" s="28" t="s">
        <v>2826</v>
      </c>
    </row>
    <row r="30" spans="1:16" x14ac:dyDescent="0.3">
      <c r="A30" s="28" t="s">
        <v>3224</v>
      </c>
      <c r="B30" s="26">
        <v>46093</v>
      </c>
      <c r="C30" s="26">
        <v>46098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27023392</v>
      </c>
      <c r="K30" s="28" t="s">
        <v>2081</v>
      </c>
      <c r="L30" t="s">
        <v>2094</v>
      </c>
      <c r="M30" s="37">
        <v>129900</v>
      </c>
      <c r="N30" s="81" t="s">
        <v>2826</v>
      </c>
      <c r="O30" s="37" t="s">
        <v>3223</v>
      </c>
      <c r="P30" s="28" t="s">
        <v>2826</v>
      </c>
    </row>
    <row r="31" spans="1:16" x14ac:dyDescent="0.3">
      <c r="A31" s="28" t="s">
        <v>3224</v>
      </c>
      <c r="B31" s="26">
        <v>46093</v>
      </c>
      <c r="C31" s="26">
        <v>46098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27023409</v>
      </c>
      <c r="K31" s="28" t="s">
        <v>2081</v>
      </c>
      <c r="L31" t="s">
        <v>2096</v>
      </c>
      <c r="M31" s="37">
        <v>129900</v>
      </c>
      <c r="N31" s="81" t="s">
        <v>2826</v>
      </c>
      <c r="O31" s="37" t="s">
        <v>3223</v>
      </c>
      <c r="P31" s="28" t="s">
        <v>2826</v>
      </c>
    </row>
    <row r="32" spans="1:16" x14ac:dyDescent="0.3">
      <c r="A32" s="28" t="s">
        <v>3224</v>
      </c>
      <c r="B32" s="26">
        <v>46093</v>
      </c>
      <c r="C32" s="26">
        <v>46098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59171752</v>
      </c>
      <c r="K32" s="28" t="s">
        <v>1268</v>
      </c>
      <c r="L32" t="s">
        <v>3185</v>
      </c>
      <c r="M32" s="37">
        <v>129900</v>
      </c>
      <c r="N32" s="81" t="s">
        <v>2826</v>
      </c>
      <c r="O32" s="37" t="s">
        <v>3223</v>
      </c>
      <c r="P32" s="28" t="s">
        <v>2826</v>
      </c>
    </row>
    <row r="33" spans="1:16" x14ac:dyDescent="0.3">
      <c r="A33" s="28" t="s">
        <v>3224</v>
      </c>
      <c r="B33" s="26">
        <v>46093</v>
      </c>
      <c r="C33" s="26">
        <v>46098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59171761</v>
      </c>
      <c r="K33" s="28" t="s">
        <v>1268</v>
      </c>
      <c r="L33" t="s">
        <v>3186</v>
      </c>
      <c r="M33" s="37">
        <v>129900</v>
      </c>
      <c r="N33" s="81" t="s">
        <v>2826</v>
      </c>
      <c r="O33" s="37" t="s">
        <v>3223</v>
      </c>
      <c r="P33" s="28" t="s">
        <v>2826</v>
      </c>
    </row>
    <row r="34" spans="1:16" x14ac:dyDescent="0.3">
      <c r="A34" s="28" t="s">
        <v>3224</v>
      </c>
      <c r="B34" s="26">
        <v>46093</v>
      </c>
      <c r="C34" s="26">
        <v>46098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59171770</v>
      </c>
      <c r="K34" s="28" t="s">
        <v>1268</v>
      </c>
      <c r="L34" t="s">
        <v>3187</v>
      </c>
      <c r="M34" s="37">
        <v>129900</v>
      </c>
      <c r="N34" s="81" t="s">
        <v>2826</v>
      </c>
      <c r="O34" s="37" t="s">
        <v>3223</v>
      </c>
      <c r="P34" s="28" t="s">
        <v>2826</v>
      </c>
    </row>
    <row r="35" spans="1:16" x14ac:dyDescent="0.3">
      <c r="A35" s="28" t="s">
        <v>3224</v>
      </c>
      <c r="B35" s="26">
        <v>46093</v>
      </c>
      <c r="C35" s="26">
        <v>46098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59171789</v>
      </c>
      <c r="K35" s="28" t="s">
        <v>1268</v>
      </c>
      <c r="L35" t="s">
        <v>3188</v>
      </c>
      <c r="M35" s="37">
        <v>129900</v>
      </c>
      <c r="N35" s="81" t="s">
        <v>2826</v>
      </c>
      <c r="O35" s="37" t="s">
        <v>3223</v>
      </c>
      <c r="P35" s="28" t="s">
        <v>2826</v>
      </c>
    </row>
    <row r="36" spans="1:16" x14ac:dyDescent="0.3">
      <c r="A36" s="28" t="s">
        <v>3224</v>
      </c>
      <c r="B36" s="26">
        <v>46093</v>
      </c>
      <c r="C36" s="26">
        <v>46098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79628374</v>
      </c>
      <c r="K36" s="28" t="s">
        <v>1268</v>
      </c>
      <c r="L36" t="s">
        <v>2144</v>
      </c>
      <c r="M36" s="37">
        <v>129900</v>
      </c>
      <c r="N36" s="81" t="s">
        <v>2826</v>
      </c>
      <c r="O36" s="37" t="s">
        <v>3223</v>
      </c>
      <c r="P36" s="28" t="s">
        <v>2826</v>
      </c>
    </row>
    <row r="37" spans="1:16" x14ac:dyDescent="0.3">
      <c r="A37" s="28" t="s">
        <v>3224</v>
      </c>
      <c r="B37" s="26">
        <v>46093</v>
      </c>
      <c r="C37" s="26">
        <v>46098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79628383</v>
      </c>
      <c r="K37" s="28" t="s">
        <v>1268</v>
      </c>
      <c r="L37" t="s">
        <v>2147</v>
      </c>
      <c r="M37" s="37">
        <v>129900</v>
      </c>
      <c r="N37" s="81" t="s">
        <v>2826</v>
      </c>
      <c r="O37" s="37" t="s">
        <v>3223</v>
      </c>
      <c r="P37" s="28" t="s">
        <v>2826</v>
      </c>
    </row>
    <row r="38" spans="1:16" x14ac:dyDescent="0.3">
      <c r="A38" s="28" t="s">
        <v>3224</v>
      </c>
      <c r="B38" s="26">
        <v>46093</v>
      </c>
      <c r="C38" s="26">
        <v>46098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79628392</v>
      </c>
      <c r="K38" s="28" t="s">
        <v>1268</v>
      </c>
      <c r="L38" t="s">
        <v>2145</v>
      </c>
      <c r="M38" s="37">
        <v>129900</v>
      </c>
      <c r="N38" s="81" t="s">
        <v>2826</v>
      </c>
      <c r="O38" s="37" t="s">
        <v>3223</v>
      </c>
      <c r="P38" s="28" t="s">
        <v>2826</v>
      </c>
    </row>
    <row r="39" spans="1:16" x14ac:dyDescent="0.3">
      <c r="A39" s="28" t="s">
        <v>3224</v>
      </c>
      <c r="B39" s="26">
        <v>46093</v>
      </c>
      <c r="C39" s="26">
        <v>46098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79628409</v>
      </c>
      <c r="K39" s="28" t="s">
        <v>1268</v>
      </c>
      <c r="L39" t="s">
        <v>2146</v>
      </c>
      <c r="M39" s="37">
        <v>129900</v>
      </c>
      <c r="N39" s="81" t="s">
        <v>2826</v>
      </c>
      <c r="O39" s="37" t="s">
        <v>3223</v>
      </c>
      <c r="P39" s="28" t="s">
        <v>2826</v>
      </c>
    </row>
    <row r="40" spans="1:16" x14ac:dyDescent="0.3">
      <c r="A40" s="28" t="s">
        <v>3224</v>
      </c>
      <c r="B40" s="26">
        <v>46093</v>
      </c>
      <c r="C40" s="26">
        <v>46098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53692763</v>
      </c>
      <c r="K40" s="28" t="s">
        <v>2657</v>
      </c>
      <c r="L40" t="s">
        <v>2664</v>
      </c>
      <c r="M40" s="37">
        <v>149900</v>
      </c>
      <c r="N40" s="81" t="s">
        <v>2826</v>
      </c>
      <c r="O40" s="37" t="s">
        <v>3223</v>
      </c>
      <c r="P40" s="28" t="s">
        <v>2826</v>
      </c>
    </row>
    <row r="41" spans="1:16" x14ac:dyDescent="0.3">
      <c r="A41" s="28" t="s">
        <v>3224</v>
      </c>
      <c r="B41" s="26">
        <v>46093</v>
      </c>
      <c r="C41" s="26">
        <v>46098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53692772</v>
      </c>
      <c r="K41" s="28" t="s">
        <v>2657</v>
      </c>
      <c r="L41" t="s">
        <v>2665</v>
      </c>
      <c r="M41" s="37">
        <v>149900</v>
      </c>
      <c r="N41" s="81" t="s">
        <v>2826</v>
      </c>
      <c r="O41" s="37" t="s">
        <v>3223</v>
      </c>
      <c r="P41" s="28" t="s">
        <v>2826</v>
      </c>
    </row>
    <row r="42" spans="1:16" x14ac:dyDescent="0.3">
      <c r="A42" s="28" t="s">
        <v>3224</v>
      </c>
      <c r="B42" s="26">
        <v>46093</v>
      </c>
      <c r="C42" s="26">
        <v>46098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53692781</v>
      </c>
      <c r="K42" s="28" t="s">
        <v>2657</v>
      </c>
      <c r="L42" t="s">
        <v>2663</v>
      </c>
      <c r="M42" s="37">
        <v>149900</v>
      </c>
      <c r="N42" s="81" t="s">
        <v>2826</v>
      </c>
      <c r="O42" s="37" t="s">
        <v>3223</v>
      </c>
      <c r="P42" s="28" t="s">
        <v>2826</v>
      </c>
    </row>
    <row r="43" spans="1:16" x14ac:dyDescent="0.3">
      <c r="A43" s="28" t="s">
        <v>3224</v>
      </c>
      <c r="B43" s="26">
        <v>46093</v>
      </c>
      <c r="C43" s="26">
        <v>46098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53692790</v>
      </c>
      <c r="K43" s="28" t="s">
        <v>2657</v>
      </c>
      <c r="L43" t="s">
        <v>2666</v>
      </c>
      <c r="M43" s="37">
        <v>149900</v>
      </c>
      <c r="N43" s="81" t="s">
        <v>2826</v>
      </c>
      <c r="O43" s="37" t="s">
        <v>3223</v>
      </c>
      <c r="P43" s="28" t="s">
        <v>2826</v>
      </c>
    </row>
    <row r="44" spans="1:16" x14ac:dyDescent="0.3">
      <c r="A44" s="28" t="s">
        <v>3224</v>
      </c>
      <c r="B44" s="26">
        <v>46093</v>
      </c>
      <c r="C44" s="26">
        <v>46098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53692807</v>
      </c>
      <c r="K44" s="28" t="s">
        <v>2657</v>
      </c>
      <c r="L44" t="s">
        <v>2658</v>
      </c>
      <c r="M44" s="37">
        <v>149900</v>
      </c>
      <c r="N44" s="81" t="s">
        <v>2826</v>
      </c>
      <c r="O44" s="37" t="s">
        <v>3223</v>
      </c>
      <c r="P44" s="28" t="s">
        <v>2826</v>
      </c>
    </row>
    <row r="45" spans="1:16" x14ac:dyDescent="0.3">
      <c r="A45" s="28" t="s">
        <v>3224</v>
      </c>
      <c r="B45" s="26">
        <v>46093</v>
      </c>
      <c r="C45" s="26">
        <v>46098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53692816</v>
      </c>
      <c r="K45" s="28" t="s">
        <v>2657</v>
      </c>
      <c r="L45" t="s">
        <v>2659</v>
      </c>
      <c r="M45" s="37">
        <v>149900</v>
      </c>
      <c r="N45" s="81" t="s">
        <v>2826</v>
      </c>
      <c r="O45" s="37" t="s">
        <v>3223</v>
      </c>
      <c r="P45" s="28" t="s">
        <v>2826</v>
      </c>
    </row>
    <row r="46" spans="1:16" x14ac:dyDescent="0.3">
      <c r="A46" s="28" t="s">
        <v>3224</v>
      </c>
      <c r="B46" s="26">
        <v>46093</v>
      </c>
      <c r="C46" s="26">
        <v>46098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53692825</v>
      </c>
      <c r="K46" s="28" t="s">
        <v>2657</v>
      </c>
      <c r="L46" t="s">
        <v>2660</v>
      </c>
      <c r="M46" s="37">
        <v>149900</v>
      </c>
      <c r="N46" s="81" t="s">
        <v>2826</v>
      </c>
      <c r="O46" s="37" t="s">
        <v>3223</v>
      </c>
      <c r="P46" s="28" t="s">
        <v>2826</v>
      </c>
    </row>
    <row r="47" spans="1:16" x14ac:dyDescent="0.3">
      <c r="A47" s="28" t="s">
        <v>3224</v>
      </c>
      <c r="B47" s="26">
        <v>46093</v>
      </c>
      <c r="C47" s="26">
        <v>46098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53692834</v>
      </c>
      <c r="K47" s="28" t="s">
        <v>2657</v>
      </c>
      <c r="L47" t="s">
        <v>2661</v>
      </c>
      <c r="M47" s="37">
        <v>149900</v>
      </c>
      <c r="N47" s="81" t="s">
        <v>2826</v>
      </c>
      <c r="O47" s="37" t="s">
        <v>3223</v>
      </c>
      <c r="P47" s="28" t="s">
        <v>2826</v>
      </c>
    </row>
    <row r="48" spans="1:16" x14ac:dyDescent="0.3">
      <c r="A48" s="28" t="s">
        <v>3224</v>
      </c>
      <c r="B48" s="26">
        <v>46093</v>
      </c>
      <c r="C48" s="26">
        <v>46098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53692843</v>
      </c>
      <c r="K48" s="28" t="s">
        <v>2657</v>
      </c>
      <c r="L48" t="s">
        <v>2667</v>
      </c>
      <c r="M48" s="37">
        <v>149900</v>
      </c>
      <c r="N48" s="81" t="s">
        <v>2826</v>
      </c>
      <c r="O48" s="37" t="s">
        <v>3223</v>
      </c>
      <c r="P48" s="28" t="s">
        <v>2826</v>
      </c>
    </row>
    <row r="49" spans="1:16" x14ac:dyDescent="0.3">
      <c r="A49" s="28" t="s">
        <v>3224</v>
      </c>
      <c r="B49" s="26">
        <v>46093</v>
      </c>
      <c r="C49" s="26">
        <v>46098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53692852</v>
      </c>
      <c r="K49" s="28" t="s">
        <v>2657</v>
      </c>
      <c r="L49" t="s">
        <v>2662</v>
      </c>
      <c r="M49" s="37">
        <v>149900</v>
      </c>
      <c r="N49" s="81" t="s">
        <v>2826</v>
      </c>
      <c r="O49" s="37" t="s">
        <v>3223</v>
      </c>
      <c r="P49" s="28" t="s">
        <v>2826</v>
      </c>
    </row>
    <row r="50" spans="1:16" x14ac:dyDescent="0.3">
      <c r="A50" s="28" t="s">
        <v>3224</v>
      </c>
      <c r="B50" s="26">
        <v>46093</v>
      </c>
      <c r="C50" s="26">
        <v>46098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59171458</v>
      </c>
      <c r="K50" s="28" t="s">
        <v>2657</v>
      </c>
      <c r="L50" t="s">
        <v>3189</v>
      </c>
      <c r="M50" s="37">
        <v>149900</v>
      </c>
      <c r="N50" s="81" t="s">
        <v>2826</v>
      </c>
      <c r="O50" s="37" t="s">
        <v>3223</v>
      </c>
      <c r="P50" s="28" t="s">
        <v>2826</v>
      </c>
    </row>
    <row r="51" spans="1:16" x14ac:dyDescent="0.3">
      <c r="A51" s="28" t="s">
        <v>3224</v>
      </c>
      <c r="B51" s="26">
        <v>46093</v>
      </c>
      <c r="C51" s="26">
        <v>46098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59171467</v>
      </c>
      <c r="K51" s="28" t="s">
        <v>2657</v>
      </c>
      <c r="L51" t="s">
        <v>3190</v>
      </c>
      <c r="M51" s="37">
        <v>149900</v>
      </c>
      <c r="N51" s="81" t="s">
        <v>2826</v>
      </c>
      <c r="O51" s="37" t="s">
        <v>3223</v>
      </c>
      <c r="P51" s="28" t="s">
        <v>2826</v>
      </c>
    </row>
    <row r="52" spans="1:16" x14ac:dyDescent="0.3">
      <c r="A52" s="28" t="s">
        <v>3224</v>
      </c>
      <c r="B52" s="26">
        <v>46093</v>
      </c>
      <c r="C52" s="26">
        <v>46098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59171476</v>
      </c>
      <c r="K52" s="28" t="s">
        <v>2657</v>
      </c>
      <c r="L52" t="s">
        <v>3191</v>
      </c>
      <c r="M52" s="37">
        <v>149900</v>
      </c>
      <c r="N52" s="81" t="s">
        <v>2826</v>
      </c>
      <c r="O52" s="37" t="s">
        <v>3223</v>
      </c>
      <c r="P52" s="28" t="s">
        <v>2826</v>
      </c>
    </row>
    <row r="53" spans="1:16" x14ac:dyDescent="0.3">
      <c r="A53" s="28" t="s">
        <v>3224</v>
      </c>
      <c r="B53" s="26">
        <v>46093</v>
      </c>
      <c r="C53" s="26">
        <v>46098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59171485</v>
      </c>
      <c r="K53" s="28" t="s">
        <v>2657</v>
      </c>
      <c r="L53" t="s">
        <v>3192</v>
      </c>
      <c r="M53" s="37">
        <v>149900</v>
      </c>
      <c r="N53" s="81" t="s">
        <v>2826</v>
      </c>
      <c r="O53" s="37" t="s">
        <v>3223</v>
      </c>
      <c r="P53" s="28" t="s">
        <v>2826</v>
      </c>
    </row>
    <row r="54" spans="1:16" x14ac:dyDescent="0.3">
      <c r="A54" s="28" t="s">
        <v>3224</v>
      </c>
      <c r="B54" s="26">
        <v>46093</v>
      </c>
      <c r="C54" s="26">
        <v>46098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59171494</v>
      </c>
      <c r="K54" s="28" t="s">
        <v>2657</v>
      </c>
      <c r="L54" t="s">
        <v>3193</v>
      </c>
      <c r="M54" s="37">
        <v>149900</v>
      </c>
      <c r="N54" s="81" t="s">
        <v>2826</v>
      </c>
      <c r="O54" s="37" t="s">
        <v>3223</v>
      </c>
      <c r="P54" s="28" t="s">
        <v>2826</v>
      </c>
    </row>
    <row r="55" spans="1:16" x14ac:dyDescent="0.3">
      <c r="A55" s="28" t="s">
        <v>3224</v>
      </c>
      <c r="B55" s="26">
        <v>46093</v>
      </c>
      <c r="C55" s="26">
        <v>46098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51673233</v>
      </c>
      <c r="K55" s="28" t="s">
        <v>1906</v>
      </c>
      <c r="L55" t="s">
        <v>2600</v>
      </c>
      <c r="M55" s="37">
        <v>149900</v>
      </c>
      <c r="N55" s="81" t="s">
        <v>2826</v>
      </c>
      <c r="O55" s="37" t="s">
        <v>3223</v>
      </c>
      <c r="P55" s="28" t="s">
        <v>2826</v>
      </c>
    </row>
    <row r="56" spans="1:16" x14ac:dyDescent="0.3">
      <c r="A56" s="28" t="s">
        <v>3224</v>
      </c>
      <c r="B56" s="26">
        <v>46093</v>
      </c>
      <c r="C56" s="26">
        <v>46098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51673242</v>
      </c>
      <c r="K56" s="28" t="s">
        <v>1906</v>
      </c>
      <c r="L56" t="s">
        <v>2601</v>
      </c>
      <c r="M56" s="37">
        <v>149900</v>
      </c>
      <c r="N56" s="81" t="s">
        <v>2826</v>
      </c>
      <c r="O56" s="37" t="s">
        <v>3223</v>
      </c>
      <c r="P56" s="28" t="s">
        <v>2826</v>
      </c>
    </row>
    <row r="57" spans="1:16" x14ac:dyDescent="0.3">
      <c r="A57" s="28" t="s">
        <v>3224</v>
      </c>
      <c r="B57" s="26">
        <v>46093</v>
      </c>
      <c r="C57" s="26">
        <v>46098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51673251</v>
      </c>
      <c r="K57" s="28" t="s">
        <v>1906</v>
      </c>
      <c r="L57" t="s">
        <v>2602</v>
      </c>
      <c r="M57" s="37">
        <v>149900</v>
      </c>
      <c r="N57" s="81" t="s">
        <v>2826</v>
      </c>
      <c r="O57" s="37" t="s">
        <v>3223</v>
      </c>
      <c r="P57" s="28" t="s">
        <v>2826</v>
      </c>
    </row>
    <row r="58" spans="1:16" x14ac:dyDescent="0.3">
      <c r="A58" s="28" t="s">
        <v>3224</v>
      </c>
      <c r="B58" s="26">
        <v>46093</v>
      </c>
      <c r="C58" s="26">
        <v>46098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51673260</v>
      </c>
      <c r="K58" s="28" t="s">
        <v>1906</v>
      </c>
      <c r="L58" t="s">
        <v>2598</v>
      </c>
      <c r="M58" s="37">
        <v>149900</v>
      </c>
      <c r="N58" s="81" t="s">
        <v>2826</v>
      </c>
      <c r="O58" s="37" t="s">
        <v>3223</v>
      </c>
      <c r="P58" s="28" t="s">
        <v>2826</v>
      </c>
    </row>
    <row r="59" spans="1:16" x14ac:dyDescent="0.3">
      <c r="A59" s="28" t="s">
        <v>3224</v>
      </c>
      <c r="B59" s="26">
        <v>46093</v>
      </c>
      <c r="C59" s="26">
        <v>46098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51673279</v>
      </c>
      <c r="K59" s="28" t="s">
        <v>1906</v>
      </c>
      <c r="L59" t="s">
        <v>2599</v>
      </c>
      <c r="M59" s="37">
        <v>149900</v>
      </c>
      <c r="N59" s="81" t="s">
        <v>2826</v>
      </c>
      <c r="O59" s="37" t="s">
        <v>3223</v>
      </c>
      <c r="P59" s="28" t="s">
        <v>2826</v>
      </c>
    </row>
    <row r="60" spans="1:16" x14ac:dyDescent="0.3">
      <c r="A60" s="28" t="s">
        <v>3224</v>
      </c>
      <c r="B60" s="26">
        <v>46093</v>
      </c>
      <c r="C60" s="26">
        <v>46098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81268393</v>
      </c>
      <c r="K60" s="28" t="s">
        <v>1906</v>
      </c>
      <c r="L60" t="s">
        <v>1907</v>
      </c>
      <c r="M60" s="37">
        <v>149900</v>
      </c>
      <c r="N60" s="81" t="s">
        <v>2826</v>
      </c>
      <c r="O60" s="37" t="s">
        <v>3223</v>
      </c>
      <c r="P60" s="28" t="s">
        <v>2826</v>
      </c>
    </row>
    <row r="61" spans="1:16" x14ac:dyDescent="0.3">
      <c r="A61" s="28" t="s">
        <v>3224</v>
      </c>
      <c r="B61" s="26">
        <v>46093</v>
      </c>
      <c r="C61" s="26">
        <v>46098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81268400</v>
      </c>
      <c r="K61" s="28" t="s">
        <v>1906</v>
      </c>
      <c r="L61" t="s">
        <v>1908</v>
      </c>
      <c r="M61" s="37">
        <v>149900</v>
      </c>
      <c r="N61" s="81" t="s">
        <v>2826</v>
      </c>
      <c r="O61" s="37" t="s">
        <v>3223</v>
      </c>
      <c r="P61" s="28" t="s">
        <v>2826</v>
      </c>
    </row>
    <row r="62" spans="1:16" x14ac:dyDescent="0.3">
      <c r="A62" s="28" t="s">
        <v>3224</v>
      </c>
      <c r="B62" s="26">
        <v>46093</v>
      </c>
      <c r="C62" s="26">
        <v>46098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81268419</v>
      </c>
      <c r="K62" s="28" t="s">
        <v>1906</v>
      </c>
      <c r="L62" t="s">
        <v>1909</v>
      </c>
      <c r="M62" s="37">
        <v>149900</v>
      </c>
      <c r="N62" s="81" t="s">
        <v>2826</v>
      </c>
      <c r="O62" s="37" t="s">
        <v>3223</v>
      </c>
      <c r="P62" s="28" t="s">
        <v>2826</v>
      </c>
    </row>
    <row r="63" spans="1:16" x14ac:dyDescent="0.3">
      <c r="A63" s="28" t="s">
        <v>3224</v>
      </c>
      <c r="B63" s="26">
        <v>46093</v>
      </c>
      <c r="C63" s="26">
        <v>46098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81268428</v>
      </c>
      <c r="K63" s="28" t="s">
        <v>1906</v>
      </c>
      <c r="L63" t="s">
        <v>1910</v>
      </c>
      <c r="M63" s="37">
        <v>149900</v>
      </c>
      <c r="N63" s="81" t="s">
        <v>2826</v>
      </c>
      <c r="O63" s="37" t="s">
        <v>3223</v>
      </c>
      <c r="P63" s="28" t="s">
        <v>2826</v>
      </c>
    </row>
    <row r="64" spans="1:16" x14ac:dyDescent="0.3">
      <c r="A64" s="28" t="s">
        <v>3224</v>
      </c>
      <c r="B64" s="26">
        <v>46093</v>
      </c>
      <c r="C64" s="26">
        <v>46098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81268437</v>
      </c>
      <c r="K64" s="28" t="s">
        <v>1906</v>
      </c>
      <c r="L64" t="s">
        <v>1911</v>
      </c>
      <c r="M64" s="37">
        <v>149900</v>
      </c>
      <c r="N64" s="81" t="s">
        <v>2826</v>
      </c>
      <c r="O64" s="37" t="s">
        <v>3223</v>
      </c>
      <c r="P64" s="28" t="s">
        <v>2826</v>
      </c>
    </row>
    <row r="65" spans="1:16" x14ac:dyDescent="0.3">
      <c r="A65" s="28" t="s">
        <v>3224</v>
      </c>
      <c r="B65" s="26">
        <v>46093</v>
      </c>
      <c r="C65" s="26">
        <v>46098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81268446</v>
      </c>
      <c r="K65" s="28" t="s">
        <v>1906</v>
      </c>
      <c r="L65" t="s">
        <v>1912</v>
      </c>
      <c r="M65" s="37">
        <v>149900</v>
      </c>
      <c r="N65" s="81" t="s">
        <v>2826</v>
      </c>
      <c r="O65" s="37" t="s">
        <v>3223</v>
      </c>
      <c r="P65" s="28" t="s">
        <v>2826</v>
      </c>
    </row>
    <row r="66" spans="1:16" x14ac:dyDescent="0.3">
      <c r="A66" s="28" t="s">
        <v>3224</v>
      </c>
      <c r="B66" s="26">
        <v>46093</v>
      </c>
      <c r="C66" s="26">
        <v>46098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81268455</v>
      </c>
      <c r="K66" s="28" t="s">
        <v>1906</v>
      </c>
      <c r="L66" t="s">
        <v>1913</v>
      </c>
      <c r="M66" s="37">
        <v>149900</v>
      </c>
      <c r="N66" s="81" t="s">
        <v>2826</v>
      </c>
      <c r="O66" s="37" t="s">
        <v>3223</v>
      </c>
      <c r="P66" s="28" t="s">
        <v>2826</v>
      </c>
    </row>
    <row r="67" spans="1:16" x14ac:dyDescent="0.3">
      <c r="A67" s="28" t="s">
        <v>3224</v>
      </c>
      <c r="B67" s="26">
        <v>46093</v>
      </c>
      <c r="C67" s="26">
        <v>46098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81268464</v>
      </c>
      <c r="K67" s="28" t="s">
        <v>1906</v>
      </c>
      <c r="L67" t="s">
        <v>1914</v>
      </c>
      <c r="M67" s="37">
        <v>149900</v>
      </c>
      <c r="N67" s="81" t="s">
        <v>2826</v>
      </c>
      <c r="O67" s="37" t="s">
        <v>3223</v>
      </c>
      <c r="P67" s="28" t="s">
        <v>2826</v>
      </c>
    </row>
    <row r="68" spans="1:16" x14ac:dyDescent="0.3">
      <c r="A68" s="28" t="s">
        <v>3224</v>
      </c>
      <c r="B68" s="26">
        <v>46093</v>
      </c>
      <c r="C68" s="26">
        <v>46098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81268473</v>
      </c>
      <c r="K68" s="28" t="s">
        <v>1906</v>
      </c>
      <c r="L68" t="s">
        <v>1915</v>
      </c>
      <c r="M68" s="37">
        <v>149900</v>
      </c>
      <c r="N68" s="81" t="s">
        <v>2826</v>
      </c>
      <c r="O68" s="37" t="s">
        <v>3223</v>
      </c>
      <c r="P68" s="28" t="s">
        <v>2826</v>
      </c>
    </row>
    <row r="69" spans="1:16" x14ac:dyDescent="0.3">
      <c r="A69" s="28" t="s">
        <v>3224</v>
      </c>
      <c r="B69" s="26">
        <v>46093</v>
      </c>
      <c r="C69" s="26">
        <v>46098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81268482</v>
      </c>
      <c r="K69" s="28" t="s">
        <v>1906</v>
      </c>
      <c r="L69" t="s">
        <v>1916</v>
      </c>
      <c r="M69" s="37">
        <v>149900</v>
      </c>
      <c r="N69" s="81" t="s">
        <v>2826</v>
      </c>
      <c r="O69" s="37" t="s">
        <v>3223</v>
      </c>
      <c r="P69" s="28" t="s">
        <v>2826</v>
      </c>
    </row>
    <row r="70" spans="1:16" x14ac:dyDescent="0.3">
      <c r="A70" s="28" t="s">
        <v>3224</v>
      </c>
      <c r="B70" s="26">
        <v>46093</v>
      </c>
      <c r="C70" s="26">
        <v>46098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59171501</v>
      </c>
      <c r="K70" s="28" t="s">
        <v>3194</v>
      </c>
      <c r="L70" t="s">
        <v>3195</v>
      </c>
      <c r="M70" s="37">
        <v>149900</v>
      </c>
      <c r="N70" s="81" t="s">
        <v>2826</v>
      </c>
      <c r="O70" s="37" t="s">
        <v>3223</v>
      </c>
      <c r="P70" s="28" t="s">
        <v>2826</v>
      </c>
    </row>
    <row r="71" spans="1:16" x14ac:dyDescent="0.3">
      <c r="A71" s="28" t="s">
        <v>3224</v>
      </c>
      <c r="B71" s="26">
        <v>46093</v>
      </c>
      <c r="C71" s="26">
        <v>46098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59171510</v>
      </c>
      <c r="K71" s="28" t="s">
        <v>3194</v>
      </c>
      <c r="L71" t="s">
        <v>3196</v>
      </c>
      <c r="M71" s="37">
        <v>149900</v>
      </c>
      <c r="N71" s="81" t="s">
        <v>2826</v>
      </c>
      <c r="O71" s="37" t="s">
        <v>3223</v>
      </c>
      <c r="P71" s="28" t="s">
        <v>2826</v>
      </c>
    </row>
    <row r="72" spans="1:16" x14ac:dyDescent="0.3">
      <c r="A72" s="28" t="s">
        <v>3224</v>
      </c>
      <c r="B72" s="26">
        <v>46093</v>
      </c>
      <c r="C72" s="26">
        <v>46098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59171529</v>
      </c>
      <c r="K72" s="28" t="s">
        <v>3194</v>
      </c>
      <c r="L72" t="s">
        <v>3197</v>
      </c>
      <c r="M72" s="37">
        <v>149900</v>
      </c>
      <c r="N72" s="81" t="s">
        <v>2826</v>
      </c>
      <c r="O72" s="37" t="s">
        <v>3223</v>
      </c>
      <c r="P72" s="28" t="s">
        <v>2826</v>
      </c>
    </row>
    <row r="73" spans="1:16" x14ac:dyDescent="0.3">
      <c r="A73" s="28" t="s">
        <v>3224</v>
      </c>
      <c r="B73" s="26">
        <v>46093</v>
      </c>
      <c r="C73" s="26">
        <v>46098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59171538</v>
      </c>
      <c r="K73" s="28" t="s">
        <v>3194</v>
      </c>
      <c r="L73" t="s">
        <v>3198</v>
      </c>
      <c r="M73" s="37">
        <v>149900</v>
      </c>
      <c r="N73" s="81" t="s">
        <v>2826</v>
      </c>
      <c r="O73" s="37" t="s">
        <v>3223</v>
      </c>
      <c r="P73" s="28" t="s">
        <v>2826</v>
      </c>
    </row>
    <row r="74" spans="1:16" x14ac:dyDescent="0.3">
      <c r="A74" s="28" t="s">
        <v>3224</v>
      </c>
      <c r="B74" s="26">
        <v>46093</v>
      </c>
      <c r="C74" s="26">
        <v>46098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59171547</v>
      </c>
      <c r="K74" s="28" t="s">
        <v>3194</v>
      </c>
      <c r="L74" t="s">
        <v>3199</v>
      </c>
      <c r="M74" s="37">
        <v>149900</v>
      </c>
      <c r="N74" s="81" t="s">
        <v>2826</v>
      </c>
      <c r="O74" s="37" t="s">
        <v>3223</v>
      </c>
      <c r="P74" s="28" t="s">
        <v>2826</v>
      </c>
    </row>
    <row r="75" spans="1:16" x14ac:dyDescent="0.3">
      <c r="A75" s="28" t="s">
        <v>3224</v>
      </c>
      <c r="B75" s="26">
        <v>46093</v>
      </c>
      <c r="C75" s="26">
        <v>46098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15806069</v>
      </c>
      <c r="K75" s="28" t="s">
        <v>2279</v>
      </c>
      <c r="L75" t="s">
        <v>2284</v>
      </c>
      <c r="M75" s="37">
        <v>149900</v>
      </c>
      <c r="N75" s="81" t="s">
        <v>2826</v>
      </c>
      <c r="O75" s="37" t="s">
        <v>3223</v>
      </c>
      <c r="P75" s="28" t="s">
        <v>2826</v>
      </c>
    </row>
    <row r="76" spans="1:16" x14ac:dyDescent="0.3">
      <c r="A76" s="28" t="s">
        <v>3224</v>
      </c>
      <c r="B76" s="26">
        <v>46093</v>
      </c>
      <c r="C76" s="26">
        <v>46098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15806078</v>
      </c>
      <c r="K76" s="28" t="s">
        <v>2279</v>
      </c>
      <c r="L76" t="s">
        <v>2280</v>
      </c>
      <c r="M76" s="37">
        <v>149900</v>
      </c>
      <c r="N76" s="81" t="s">
        <v>2826</v>
      </c>
      <c r="O76" s="37" t="s">
        <v>3223</v>
      </c>
      <c r="P76" s="28" t="s">
        <v>2826</v>
      </c>
    </row>
    <row r="77" spans="1:16" x14ac:dyDescent="0.3">
      <c r="A77" s="28" t="s">
        <v>3224</v>
      </c>
      <c r="B77" s="26">
        <v>46093</v>
      </c>
      <c r="C77" s="26">
        <v>46098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15806087</v>
      </c>
      <c r="K77" s="28" t="s">
        <v>2279</v>
      </c>
      <c r="L77" t="s">
        <v>2281</v>
      </c>
      <c r="M77" s="37">
        <v>149900</v>
      </c>
      <c r="N77" s="81" t="s">
        <v>2826</v>
      </c>
      <c r="O77" s="37" t="s">
        <v>3223</v>
      </c>
      <c r="P77" s="28" t="s">
        <v>2826</v>
      </c>
    </row>
    <row r="78" spans="1:16" x14ac:dyDescent="0.3">
      <c r="A78" s="28" t="s">
        <v>3224</v>
      </c>
      <c r="B78" s="26">
        <v>46093</v>
      </c>
      <c r="C78" s="26">
        <v>46098</v>
      </c>
      <c r="D78" s="48">
        <v>3319</v>
      </c>
      <c r="E78" s="48">
        <v>327</v>
      </c>
      <c r="F78" s="28">
        <v>2</v>
      </c>
      <c r="G78" s="28">
        <v>1</v>
      </c>
      <c r="H78" s="28">
        <v>81778</v>
      </c>
      <c r="I78" s="28" t="s">
        <v>17</v>
      </c>
      <c r="J78" s="28">
        <v>15806096</v>
      </c>
      <c r="K78" s="28" t="s">
        <v>2279</v>
      </c>
      <c r="L78" t="s">
        <v>2282</v>
      </c>
      <c r="M78" s="37">
        <v>149900</v>
      </c>
      <c r="N78" s="81" t="s">
        <v>2826</v>
      </c>
      <c r="O78" s="37" t="s">
        <v>3223</v>
      </c>
      <c r="P78" s="28" t="s">
        <v>2826</v>
      </c>
    </row>
    <row r="79" spans="1:16" x14ac:dyDescent="0.3">
      <c r="A79" s="28" t="s">
        <v>3224</v>
      </c>
      <c r="B79" s="26">
        <v>46093</v>
      </c>
      <c r="C79" s="26">
        <v>46098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15806103</v>
      </c>
      <c r="K79" s="28" t="s">
        <v>2279</v>
      </c>
      <c r="L79" t="s">
        <v>2283</v>
      </c>
      <c r="M79" s="37">
        <v>149900</v>
      </c>
      <c r="N79" s="81" t="s">
        <v>2826</v>
      </c>
      <c r="O79" s="37" t="s">
        <v>3223</v>
      </c>
      <c r="P79" s="28" t="s">
        <v>2826</v>
      </c>
    </row>
    <row r="80" spans="1:16" x14ac:dyDescent="0.3">
      <c r="A80" s="28" t="s">
        <v>3224</v>
      </c>
      <c r="B80" s="26">
        <v>46093</v>
      </c>
      <c r="C80" s="26">
        <v>46098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59171896</v>
      </c>
      <c r="K80" s="28" t="s">
        <v>3200</v>
      </c>
      <c r="L80" t="s">
        <v>3201</v>
      </c>
      <c r="M80" s="37">
        <v>149900</v>
      </c>
      <c r="N80" s="81" t="s">
        <v>2826</v>
      </c>
      <c r="O80" s="37" t="s">
        <v>3223</v>
      </c>
      <c r="P80" s="28" t="s">
        <v>2826</v>
      </c>
    </row>
    <row r="81" spans="1:16" x14ac:dyDescent="0.3">
      <c r="A81" s="28" t="s">
        <v>3224</v>
      </c>
      <c r="B81" s="26">
        <v>46093</v>
      </c>
      <c r="C81" s="26">
        <v>46098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59171903</v>
      </c>
      <c r="K81" s="28" t="s">
        <v>3200</v>
      </c>
      <c r="L81" t="s">
        <v>3202</v>
      </c>
      <c r="M81" s="37">
        <v>149900</v>
      </c>
      <c r="N81" s="81" t="s">
        <v>2826</v>
      </c>
      <c r="O81" s="37" t="s">
        <v>3223</v>
      </c>
      <c r="P81" s="28" t="s">
        <v>2826</v>
      </c>
    </row>
    <row r="82" spans="1:16" x14ac:dyDescent="0.3">
      <c r="A82" s="28" t="s">
        <v>3224</v>
      </c>
      <c r="B82" s="26">
        <v>46093</v>
      </c>
      <c r="C82" s="26">
        <v>46098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59171912</v>
      </c>
      <c r="K82" s="28" t="s">
        <v>3200</v>
      </c>
      <c r="L82" t="s">
        <v>3203</v>
      </c>
      <c r="M82" s="37">
        <v>149900</v>
      </c>
      <c r="N82" s="81" t="s">
        <v>2826</v>
      </c>
      <c r="O82" s="37" t="s">
        <v>3223</v>
      </c>
      <c r="P82" s="28" t="s">
        <v>2826</v>
      </c>
    </row>
    <row r="83" spans="1:16" x14ac:dyDescent="0.3">
      <c r="A83" s="28" t="s">
        <v>3224</v>
      </c>
      <c r="B83" s="26">
        <v>46093</v>
      </c>
      <c r="C83" s="26">
        <v>46098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59171921</v>
      </c>
      <c r="K83" s="28" t="s">
        <v>3200</v>
      </c>
      <c r="L83" t="s">
        <v>3204</v>
      </c>
      <c r="M83" s="37">
        <v>149900</v>
      </c>
      <c r="N83" s="81" t="s">
        <v>2826</v>
      </c>
      <c r="O83" s="37" t="s">
        <v>3223</v>
      </c>
      <c r="P83" s="28" t="s">
        <v>2826</v>
      </c>
    </row>
    <row r="84" spans="1:16" x14ac:dyDescent="0.3">
      <c r="A84" s="28" t="s">
        <v>3224</v>
      </c>
      <c r="B84" s="26">
        <v>46093</v>
      </c>
      <c r="C84" s="26">
        <v>46098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59171930</v>
      </c>
      <c r="K84" s="28" t="s">
        <v>3200</v>
      </c>
      <c r="L84" t="s">
        <v>3205</v>
      </c>
      <c r="M84" s="37">
        <v>149900</v>
      </c>
      <c r="N84" s="81" t="s">
        <v>2826</v>
      </c>
      <c r="O84" s="37" t="s">
        <v>3223</v>
      </c>
      <c r="P84" s="28" t="s">
        <v>2826</v>
      </c>
    </row>
    <row r="85" spans="1:16" x14ac:dyDescent="0.3">
      <c r="A85" s="28" t="s">
        <v>3224</v>
      </c>
      <c r="B85" s="26">
        <v>46093</v>
      </c>
      <c r="C85" s="26">
        <v>46098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59171949</v>
      </c>
      <c r="K85" s="28" t="s">
        <v>3206</v>
      </c>
      <c r="L85" t="s">
        <v>3207</v>
      </c>
      <c r="M85" s="37">
        <v>129900</v>
      </c>
      <c r="N85" s="81" t="s">
        <v>2826</v>
      </c>
      <c r="O85" s="37" t="s">
        <v>3223</v>
      </c>
      <c r="P85" s="28" t="s">
        <v>2826</v>
      </c>
    </row>
    <row r="86" spans="1:16" x14ac:dyDescent="0.3">
      <c r="A86" s="28" t="s">
        <v>3224</v>
      </c>
      <c r="B86" s="26">
        <v>46093</v>
      </c>
      <c r="C86" s="26">
        <v>46098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59171958</v>
      </c>
      <c r="K86" s="28" t="s">
        <v>3206</v>
      </c>
      <c r="L86" t="s">
        <v>3208</v>
      </c>
      <c r="M86" s="37">
        <v>129900</v>
      </c>
      <c r="N86" s="81" t="s">
        <v>2826</v>
      </c>
      <c r="O86" s="37" t="s">
        <v>3223</v>
      </c>
      <c r="P86" s="28" t="s">
        <v>2826</v>
      </c>
    </row>
    <row r="87" spans="1:16" x14ac:dyDescent="0.3">
      <c r="A87" s="28" t="s">
        <v>3224</v>
      </c>
      <c r="B87" s="26">
        <v>46093</v>
      </c>
      <c r="C87" s="26">
        <v>46098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59171967</v>
      </c>
      <c r="K87" s="28" t="s">
        <v>3206</v>
      </c>
      <c r="L87" t="s">
        <v>3209</v>
      </c>
      <c r="M87" s="37">
        <v>129900</v>
      </c>
      <c r="N87" s="81" t="s">
        <v>2826</v>
      </c>
      <c r="O87" s="37" t="s">
        <v>3223</v>
      </c>
      <c r="P87" s="28" t="s">
        <v>2826</v>
      </c>
    </row>
    <row r="88" spans="1:16" x14ac:dyDescent="0.3">
      <c r="A88" s="28" t="s">
        <v>3224</v>
      </c>
      <c r="B88" s="26">
        <v>46093</v>
      </c>
      <c r="C88" s="26">
        <v>46098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59171976</v>
      </c>
      <c r="K88" s="28" t="s">
        <v>3206</v>
      </c>
      <c r="L88" t="s">
        <v>3210</v>
      </c>
      <c r="M88" s="37">
        <v>129900</v>
      </c>
      <c r="N88" s="81" t="s">
        <v>2826</v>
      </c>
      <c r="O88" s="37" t="s">
        <v>3223</v>
      </c>
      <c r="P88" s="28" t="s">
        <v>2826</v>
      </c>
    </row>
    <row r="89" spans="1:16" x14ac:dyDescent="0.3">
      <c r="A89" s="28" t="s">
        <v>3224</v>
      </c>
      <c r="B89" s="26">
        <v>46093</v>
      </c>
      <c r="C89" s="26">
        <v>46098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14187310</v>
      </c>
      <c r="K89" s="28" t="s">
        <v>1774</v>
      </c>
      <c r="L89" t="s">
        <v>1775</v>
      </c>
      <c r="M89" s="37">
        <v>149900</v>
      </c>
      <c r="N89" s="81" t="s">
        <v>2826</v>
      </c>
      <c r="O89" s="37" t="s">
        <v>3223</v>
      </c>
      <c r="P89" s="28" t="s">
        <v>2826</v>
      </c>
    </row>
    <row r="90" spans="1:16" x14ac:dyDescent="0.3">
      <c r="A90" s="28" t="s">
        <v>3224</v>
      </c>
      <c r="B90" s="26">
        <v>46093</v>
      </c>
      <c r="C90" s="26">
        <v>46098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14187329</v>
      </c>
      <c r="K90" s="28" t="s">
        <v>1774</v>
      </c>
      <c r="L90" t="s">
        <v>1776</v>
      </c>
      <c r="M90" s="37">
        <v>149900</v>
      </c>
      <c r="N90" s="81" t="s">
        <v>2826</v>
      </c>
      <c r="O90" s="37" t="s">
        <v>3223</v>
      </c>
      <c r="P90" s="28" t="s">
        <v>2826</v>
      </c>
    </row>
    <row r="91" spans="1:16" x14ac:dyDescent="0.3">
      <c r="A91" s="28" t="s">
        <v>3224</v>
      </c>
      <c r="B91" s="26">
        <v>46093</v>
      </c>
      <c r="C91" s="26">
        <v>46098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14187338</v>
      </c>
      <c r="K91" s="28" t="s">
        <v>1774</v>
      </c>
      <c r="L91" t="s">
        <v>1777</v>
      </c>
      <c r="M91" s="37">
        <v>149900</v>
      </c>
      <c r="N91" s="81" t="s">
        <v>2826</v>
      </c>
      <c r="O91" s="37" t="s">
        <v>3223</v>
      </c>
      <c r="P91" s="28" t="s">
        <v>2826</v>
      </c>
    </row>
    <row r="92" spans="1:16" x14ac:dyDescent="0.3">
      <c r="A92" s="28" t="s">
        <v>3224</v>
      </c>
      <c r="B92" s="26">
        <v>46093</v>
      </c>
      <c r="C92" s="26">
        <v>46098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14187347</v>
      </c>
      <c r="K92" s="28" t="s">
        <v>1774</v>
      </c>
      <c r="L92" t="s">
        <v>1778</v>
      </c>
      <c r="M92" s="37">
        <v>149900</v>
      </c>
      <c r="N92" s="81" t="s">
        <v>2826</v>
      </c>
      <c r="O92" s="37" t="s">
        <v>3223</v>
      </c>
      <c r="P92" s="28" t="s">
        <v>2826</v>
      </c>
    </row>
    <row r="93" spans="1:16" x14ac:dyDescent="0.3">
      <c r="A93" s="28" t="s">
        <v>3224</v>
      </c>
      <c r="B93" s="26">
        <v>46093</v>
      </c>
      <c r="C93" s="26">
        <v>46098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14187356</v>
      </c>
      <c r="K93" s="28" t="s">
        <v>1774</v>
      </c>
      <c r="L93" t="s">
        <v>1779</v>
      </c>
      <c r="M93" s="37">
        <v>149900</v>
      </c>
      <c r="N93" s="81" t="s">
        <v>2826</v>
      </c>
      <c r="O93" s="37" t="s">
        <v>3223</v>
      </c>
      <c r="P93" s="28" t="s">
        <v>2826</v>
      </c>
    </row>
    <row r="94" spans="1:16" x14ac:dyDescent="0.3">
      <c r="A94" s="28" t="s">
        <v>3224</v>
      </c>
      <c r="B94" s="26">
        <v>46093</v>
      </c>
      <c r="C94" s="26">
        <v>46098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14187365</v>
      </c>
      <c r="K94" s="28" t="s">
        <v>1774</v>
      </c>
      <c r="L94" t="s">
        <v>1780</v>
      </c>
      <c r="M94" s="37">
        <v>149900</v>
      </c>
      <c r="N94" s="81" t="s">
        <v>2826</v>
      </c>
      <c r="O94" s="37" t="s">
        <v>3223</v>
      </c>
      <c r="P94" s="28" t="s">
        <v>2826</v>
      </c>
    </row>
    <row r="95" spans="1:16" x14ac:dyDescent="0.3">
      <c r="A95" s="28" t="s">
        <v>3224</v>
      </c>
      <c r="B95" s="26">
        <v>46093</v>
      </c>
      <c r="C95" s="26">
        <v>46098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14187374</v>
      </c>
      <c r="K95" s="28" t="s">
        <v>1774</v>
      </c>
      <c r="L95" t="s">
        <v>1781</v>
      </c>
      <c r="M95" s="37">
        <v>149900</v>
      </c>
      <c r="N95" s="81" t="s">
        <v>2826</v>
      </c>
      <c r="O95" s="37" t="s">
        <v>3223</v>
      </c>
      <c r="P95" s="28" t="s">
        <v>2826</v>
      </c>
    </row>
    <row r="96" spans="1:16" x14ac:dyDescent="0.3">
      <c r="A96" s="28" t="s">
        <v>3224</v>
      </c>
      <c r="B96" s="26">
        <v>46093</v>
      </c>
      <c r="C96" s="26">
        <v>46098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14187383</v>
      </c>
      <c r="K96" s="28" t="s">
        <v>1774</v>
      </c>
      <c r="L96" t="s">
        <v>1782</v>
      </c>
      <c r="M96" s="37">
        <v>149900</v>
      </c>
      <c r="N96" s="81" t="s">
        <v>2826</v>
      </c>
      <c r="O96" s="37" t="s">
        <v>3223</v>
      </c>
      <c r="P96" s="28" t="s">
        <v>2826</v>
      </c>
    </row>
    <row r="97" spans="1:16" x14ac:dyDescent="0.3">
      <c r="A97" s="28" t="s">
        <v>3224</v>
      </c>
      <c r="B97" s="26">
        <v>46093</v>
      </c>
      <c r="C97" s="26">
        <v>46098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14187392</v>
      </c>
      <c r="K97" s="28" t="s">
        <v>1774</v>
      </c>
      <c r="L97" t="s">
        <v>1783</v>
      </c>
      <c r="M97" s="37">
        <v>149900</v>
      </c>
      <c r="N97" s="81" t="s">
        <v>2826</v>
      </c>
      <c r="O97" s="37" t="s">
        <v>3223</v>
      </c>
      <c r="P97" s="28" t="s">
        <v>2826</v>
      </c>
    </row>
    <row r="98" spans="1:16" x14ac:dyDescent="0.3">
      <c r="A98" s="28" t="s">
        <v>3224</v>
      </c>
      <c r="B98" s="26">
        <v>46093</v>
      </c>
      <c r="C98" s="26">
        <v>46098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14187409</v>
      </c>
      <c r="K98" s="28" t="s">
        <v>1774</v>
      </c>
      <c r="L98" t="s">
        <v>1784</v>
      </c>
      <c r="M98" s="37">
        <v>149900</v>
      </c>
      <c r="N98" s="81" t="s">
        <v>2826</v>
      </c>
      <c r="O98" s="37" t="s">
        <v>3223</v>
      </c>
      <c r="P98" s="28" t="s">
        <v>2826</v>
      </c>
    </row>
    <row r="99" spans="1:16" x14ac:dyDescent="0.3">
      <c r="A99" s="28" t="s">
        <v>3224</v>
      </c>
      <c r="B99" s="26">
        <v>46093</v>
      </c>
      <c r="C99" s="26">
        <v>46098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22704101</v>
      </c>
      <c r="K99" s="28" t="s">
        <v>2510</v>
      </c>
      <c r="L99" t="s">
        <v>2511</v>
      </c>
      <c r="M99" s="37">
        <v>149900</v>
      </c>
      <c r="N99" s="81" t="s">
        <v>2826</v>
      </c>
      <c r="O99" s="37" t="s">
        <v>3223</v>
      </c>
      <c r="P99" s="28" t="s">
        <v>2826</v>
      </c>
    </row>
    <row r="100" spans="1:16" x14ac:dyDescent="0.3">
      <c r="A100" s="28" t="s">
        <v>3224</v>
      </c>
      <c r="B100" s="26">
        <v>46093</v>
      </c>
      <c r="C100" s="26">
        <v>46098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22704110</v>
      </c>
      <c r="K100" s="28" t="s">
        <v>2510</v>
      </c>
      <c r="L100" t="s">
        <v>2512</v>
      </c>
      <c r="M100" s="37">
        <v>149900</v>
      </c>
      <c r="N100" s="81" t="s">
        <v>2826</v>
      </c>
      <c r="O100" s="37" t="s">
        <v>3223</v>
      </c>
      <c r="P100" s="28" t="s">
        <v>2826</v>
      </c>
    </row>
    <row r="101" spans="1:16" x14ac:dyDescent="0.3">
      <c r="A101" s="28" t="s">
        <v>3224</v>
      </c>
      <c r="B101" s="26">
        <v>46093</v>
      </c>
      <c r="C101" s="26">
        <v>46098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22704129</v>
      </c>
      <c r="K101" s="28" t="s">
        <v>2510</v>
      </c>
      <c r="L101" t="s">
        <v>2513</v>
      </c>
      <c r="M101" s="37">
        <v>149900</v>
      </c>
      <c r="N101" s="81" t="s">
        <v>2826</v>
      </c>
      <c r="O101" s="37" t="s">
        <v>3223</v>
      </c>
      <c r="P101" s="28" t="s">
        <v>2826</v>
      </c>
    </row>
    <row r="102" spans="1:16" x14ac:dyDescent="0.3">
      <c r="A102" s="28" t="s">
        <v>3224</v>
      </c>
      <c r="B102" s="26">
        <v>46093</v>
      </c>
      <c r="C102" s="26">
        <v>46098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22704138</v>
      </c>
      <c r="K102" s="28" t="s">
        <v>2510</v>
      </c>
      <c r="L102" t="s">
        <v>2514</v>
      </c>
      <c r="M102" s="37">
        <v>149900</v>
      </c>
      <c r="N102" s="81" t="s">
        <v>2826</v>
      </c>
      <c r="O102" s="37" t="s">
        <v>3223</v>
      </c>
      <c r="P102" s="28" t="s">
        <v>2826</v>
      </c>
    </row>
    <row r="103" spans="1:16" x14ac:dyDescent="0.3">
      <c r="A103" s="28" t="s">
        <v>3224</v>
      </c>
      <c r="B103" s="26">
        <v>46093</v>
      </c>
      <c r="C103" s="26">
        <v>46098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22704147</v>
      </c>
      <c r="K103" s="28" t="s">
        <v>2510</v>
      </c>
      <c r="L103" t="s">
        <v>2515</v>
      </c>
      <c r="M103" s="37">
        <v>149900</v>
      </c>
      <c r="N103" s="81" t="s">
        <v>2826</v>
      </c>
      <c r="O103" s="37" t="s">
        <v>3223</v>
      </c>
      <c r="P103" s="28" t="s">
        <v>2826</v>
      </c>
    </row>
    <row r="104" spans="1:16" x14ac:dyDescent="0.3">
      <c r="A104" s="28" t="s">
        <v>3224</v>
      </c>
      <c r="B104" s="26">
        <v>46093</v>
      </c>
      <c r="C104" s="26">
        <v>46098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19296630</v>
      </c>
      <c r="K104" s="28" t="s">
        <v>1692</v>
      </c>
      <c r="L104" t="s">
        <v>2098</v>
      </c>
      <c r="M104" s="37">
        <v>149900</v>
      </c>
      <c r="N104" s="81" t="s">
        <v>2826</v>
      </c>
      <c r="O104" s="37" t="s">
        <v>3223</v>
      </c>
      <c r="P104" s="28" t="s">
        <v>2826</v>
      </c>
    </row>
    <row r="105" spans="1:16" x14ac:dyDescent="0.3">
      <c r="A105" s="28" t="s">
        <v>3224</v>
      </c>
      <c r="B105" s="26">
        <v>46093</v>
      </c>
      <c r="C105" s="26">
        <v>46098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19296649</v>
      </c>
      <c r="K105" s="28" t="s">
        <v>1692</v>
      </c>
      <c r="L105" t="s">
        <v>2099</v>
      </c>
      <c r="M105" s="37">
        <v>149900</v>
      </c>
      <c r="N105" s="81" t="s">
        <v>2826</v>
      </c>
      <c r="O105" s="37" t="s">
        <v>3223</v>
      </c>
      <c r="P105" s="28" t="s">
        <v>2826</v>
      </c>
    </row>
    <row r="106" spans="1:16" x14ac:dyDescent="0.3">
      <c r="A106" s="28" t="s">
        <v>3224</v>
      </c>
      <c r="B106" s="26">
        <v>46093</v>
      </c>
      <c r="C106" s="26">
        <v>46098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19296658</v>
      </c>
      <c r="K106" s="28" t="s">
        <v>1692</v>
      </c>
      <c r="L106" t="s">
        <v>2100</v>
      </c>
      <c r="M106" s="37">
        <v>149900</v>
      </c>
      <c r="N106" s="81" t="s">
        <v>2826</v>
      </c>
      <c r="O106" s="37" t="s">
        <v>3223</v>
      </c>
      <c r="P106" s="28" t="s">
        <v>2826</v>
      </c>
    </row>
    <row r="107" spans="1:16" x14ac:dyDescent="0.3">
      <c r="A107" s="28" t="s">
        <v>3224</v>
      </c>
      <c r="B107" s="26">
        <v>46093</v>
      </c>
      <c r="C107" s="26">
        <v>46098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19296667</v>
      </c>
      <c r="K107" s="28" t="s">
        <v>1692</v>
      </c>
      <c r="L107" t="s">
        <v>2101</v>
      </c>
      <c r="M107" s="37">
        <v>149900</v>
      </c>
      <c r="N107" s="81" t="s">
        <v>2826</v>
      </c>
      <c r="O107" s="37" t="s">
        <v>3223</v>
      </c>
      <c r="P107" s="28" t="s">
        <v>2826</v>
      </c>
    </row>
    <row r="108" spans="1:16" x14ac:dyDescent="0.3">
      <c r="A108" s="28" t="s">
        <v>3224</v>
      </c>
      <c r="B108" s="26">
        <v>46093</v>
      </c>
      <c r="C108" s="26">
        <v>46098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19296676</v>
      </c>
      <c r="K108" s="28" t="s">
        <v>1692</v>
      </c>
      <c r="L108" t="s">
        <v>2102</v>
      </c>
      <c r="M108" s="37">
        <v>149900</v>
      </c>
      <c r="N108" s="81" t="s">
        <v>2826</v>
      </c>
      <c r="O108" s="37" t="s">
        <v>3223</v>
      </c>
      <c r="P108" s="28" t="s">
        <v>2826</v>
      </c>
    </row>
    <row r="109" spans="1:16" x14ac:dyDescent="0.3">
      <c r="A109" s="28" t="s">
        <v>3224</v>
      </c>
      <c r="B109" s="26">
        <v>46093</v>
      </c>
      <c r="C109" s="26">
        <v>46098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82228433</v>
      </c>
      <c r="K109" s="28" t="s">
        <v>1692</v>
      </c>
      <c r="L109" t="s">
        <v>1701</v>
      </c>
      <c r="M109" s="37">
        <v>149900</v>
      </c>
      <c r="N109" s="81" t="s">
        <v>2826</v>
      </c>
      <c r="O109" s="37" t="s">
        <v>3223</v>
      </c>
      <c r="P109" s="28" t="s">
        <v>2826</v>
      </c>
    </row>
    <row r="110" spans="1:16" x14ac:dyDescent="0.3">
      <c r="A110" s="28" t="s">
        <v>3224</v>
      </c>
      <c r="B110" s="26">
        <v>46093</v>
      </c>
      <c r="C110" s="26">
        <v>46098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82228442</v>
      </c>
      <c r="K110" s="28" t="s">
        <v>1692</v>
      </c>
      <c r="L110" t="s">
        <v>1702</v>
      </c>
      <c r="M110" s="37">
        <v>149900</v>
      </c>
      <c r="N110" s="81" t="s">
        <v>2826</v>
      </c>
      <c r="O110" s="37" t="s">
        <v>3223</v>
      </c>
      <c r="P110" s="28" t="s">
        <v>2826</v>
      </c>
    </row>
    <row r="111" spans="1:16" x14ac:dyDescent="0.3">
      <c r="A111" s="28" t="s">
        <v>3224</v>
      </c>
      <c r="B111" s="26">
        <v>46093</v>
      </c>
      <c r="C111" s="26">
        <v>46098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82228451</v>
      </c>
      <c r="K111" s="28" t="s">
        <v>1692</v>
      </c>
      <c r="L111" t="s">
        <v>1695</v>
      </c>
      <c r="M111" s="37">
        <v>149900</v>
      </c>
      <c r="N111" s="81" t="s">
        <v>2826</v>
      </c>
      <c r="O111" s="37" t="s">
        <v>3223</v>
      </c>
      <c r="P111" s="28" t="s">
        <v>2826</v>
      </c>
    </row>
    <row r="112" spans="1:16" x14ac:dyDescent="0.3">
      <c r="A112" s="28" t="s">
        <v>3224</v>
      </c>
      <c r="B112" s="26">
        <v>46093</v>
      </c>
      <c r="C112" s="26">
        <v>46098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82228460</v>
      </c>
      <c r="K112" s="28" t="s">
        <v>1692</v>
      </c>
      <c r="L112" t="s">
        <v>1694</v>
      </c>
      <c r="M112" s="37">
        <v>149900</v>
      </c>
      <c r="N112" s="81" t="s">
        <v>2826</v>
      </c>
      <c r="O112" s="37" t="s">
        <v>3223</v>
      </c>
      <c r="P112" s="28" t="s">
        <v>2826</v>
      </c>
    </row>
    <row r="113" spans="1:16" x14ac:dyDescent="0.3">
      <c r="A113" s="28" t="s">
        <v>3224</v>
      </c>
      <c r="B113" s="26">
        <v>46093</v>
      </c>
      <c r="C113" s="26">
        <v>46098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82228479</v>
      </c>
      <c r="K113" s="28" t="s">
        <v>1692</v>
      </c>
      <c r="L113" t="s">
        <v>1693</v>
      </c>
      <c r="M113" s="37">
        <v>149900</v>
      </c>
      <c r="N113" s="81" t="s">
        <v>2826</v>
      </c>
      <c r="O113" s="37" t="s">
        <v>3223</v>
      </c>
      <c r="P113" s="28" t="s">
        <v>2826</v>
      </c>
    </row>
    <row r="114" spans="1:16" x14ac:dyDescent="0.3">
      <c r="A114" s="28" t="s">
        <v>3224</v>
      </c>
      <c r="B114" s="26">
        <v>46093</v>
      </c>
      <c r="C114" s="26">
        <v>46098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45921379</v>
      </c>
      <c r="K114" s="28" t="s">
        <v>2538</v>
      </c>
      <c r="L114" t="s">
        <v>2539</v>
      </c>
      <c r="M114" s="37">
        <v>129900</v>
      </c>
      <c r="N114" s="81" t="s">
        <v>2826</v>
      </c>
      <c r="O114" s="37" t="s">
        <v>3223</v>
      </c>
      <c r="P114" s="28" t="s">
        <v>2826</v>
      </c>
    </row>
    <row r="115" spans="1:16" x14ac:dyDescent="0.3">
      <c r="A115" s="28" t="s">
        <v>3224</v>
      </c>
      <c r="B115" s="26">
        <v>46093</v>
      </c>
      <c r="C115" s="26">
        <v>46098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45921388</v>
      </c>
      <c r="K115" s="28" t="s">
        <v>2538</v>
      </c>
      <c r="L115" t="s">
        <v>2540</v>
      </c>
      <c r="M115" s="37">
        <v>129900</v>
      </c>
      <c r="N115" s="81" t="s">
        <v>2826</v>
      </c>
      <c r="O115" s="37" t="s">
        <v>3223</v>
      </c>
      <c r="P115" s="28" t="s">
        <v>2826</v>
      </c>
    </row>
    <row r="116" spans="1:16" x14ac:dyDescent="0.3">
      <c r="A116" s="28" t="s">
        <v>3224</v>
      </c>
      <c r="B116" s="26">
        <v>46093</v>
      </c>
      <c r="C116" s="26">
        <v>46098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45921397</v>
      </c>
      <c r="K116" s="28" t="s">
        <v>2538</v>
      </c>
      <c r="L116" t="s">
        <v>2541</v>
      </c>
      <c r="M116" s="37">
        <v>129900</v>
      </c>
      <c r="N116" s="81" t="s">
        <v>2826</v>
      </c>
      <c r="O116" s="37" t="s">
        <v>3223</v>
      </c>
      <c r="P116" s="28" t="s">
        <v>2826</v>
      </c>
    </row>
    <row r="117" spans="1:16" x14ac:dyDescent="0.3">
      <c r="A117" s="28" t="s">
        <v>3224</v>
      </c>
      <c r="B117" s="26">
        <v>46093</v>
      </c>
      <c r="C117" s="26">
        <v>46098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45921404</v>
      </c>
      <c r="K117" s="28" t="s">
        <v>2538</v>
      </c>
      <c r="L117" t="s">
        <v>2542</v>
      </c>
      <c r="M117" s="37">
        <v>129900</v>
      </c>
      <c r="N117" s="81" t="s">
        <v>2826</v>
      </c>
      <c r="O117" s="37" t="s">
        <v>3223</v>
      </c>
      <c r="P117" s="28" t="s">
        <v>2826</v>
      </c>
    </row>
    <row r="118" spans="1:16" x14ac:dyDescent="0.3">
      <c r="A118" s="28" t="s">
        <v>3224</v>
      </c>
      <c r="B118" s="26">
        <v>46093</v>
      </c>
      <c r="C118" s="26">
        <v>46098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45921413</v>
      </c>
      <c r="K118" s="28" t="s">
        <v>2538</v>
      </c>
      <c r="L118" t="s">
        <v>2543</v>
      </c>
      <c r="M118" s="37">
        <v>129900</v>
      </c>
      <c r="N118" s="81" t="s">
        <v>2826</v>
      </c>
      <c r="O118" s="37" t="s">
        <v>3223</v>
      </c>
      <c r="P118" s="28" t="s">
        <v>2826</v>
      </c>
    </row>
    <row r="119" spans="1:16" x14ac:dyDescent="0.3">
      <c r="A119" s="28" t="s">
        <v>3224</v>
      </c>
      <c r="B119" s="26">
        <v>46093</v>
      </c>
      <c r="C119" s="26">
        <v>46098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45921422</v>
      </c>
      <c r="K119" s="28" t="s">
        <v>2538</v>
      </c>
      <c r="L119" t="s">
        <v>2544</v>
      </c>
      <c r="M119" s="37">
        <v>129900</v>
      </c>
      <c r="N119" s="81" t="s">
        <v>2826</v>
      </c>
      <c r="O119" s="37" t="s">
        <v>3223</v>
      </c>
      <c r="P119" s="28" t="s">
        <v>2826</v>
      </c>
    </row>
    <row r="120" spans="1:16" x14ac:dyDescent="0.3">
      <c r="A120" s="28" t="s">
        <v>3224</v>
      </c>
      <c r="B120" s="26">
        <v>46093</v>
      </c>
      <c r="C120" s="26">
        <v>46098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45921431</v>
      </c>
      <c r="K120" s="28" t="s">
        <v>2538</v>
      </c>
      <c r="L120" t="s">
        <v>2545</v>
      </c>
      <c r="M120" s="37">
        <v>129900</v>
      </c>
      <c r="N120" s="81" t="s">
        <v>2826</v>
      </c>
      <c r="O120" s="37" t="s">
        <v>3223</v>
      </c>
      <c r="P120" s="28" t="s">
        <v>2826</v>
      </c>
    </row>
    <row r="121" spans="1:16" x14ac:dyDescent="0.3">
      <c r="A121" s="28" t="s">
        <v>3224</v>
      </c>
      <c r="B121" s="26">
        <v>46093</v>
      </c>
      <c r="C121" s="26">
        <v>46098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45921440</v>
      </c>
      <c r="K121" s="28" t="s">
        <v>2538</v>
      </c>
      <c r="L121" t="s">
        <v>2546</v>
      </c>
      <c r="M121" s="37">
        <v>129900</v>
      </c>
      <c r="N121" s="81" t="s">
        <v>2826</v>
      </c>
      <c r="O121" s="37" t="s">
        <v>3223</v>
      </c>
      <c r="P121" s="28" t="s">
        <v>2826</v>
      </c>
    </row>
    <row r="122" spans="1:16" x14ac:dyDescent="0.3">
      <c r="A122" s="28" t="s">
        <v>3224</v>
      </c>
      <c r="B122" s="26">
        <v>46093</v>
      </c>
      <c r="C122" s="26">
        <v>46098</v>
      </c>
      <c r="D122" s="48">
        <v>3319</v>
      </c>
      <c r="E122" s="48">
        <v>327</v>
      </c>
      <c r="F122" s="28">
        <v>2</v>
      </c>
      <c r="G122" s="28">
        <v>1</v>
      </c>
      <c r="H122" s="28">
        <v>81778</v>
      </c>
      <c r="I122" s="28" t="s">
        <v>17</v>
      </c>
      <c r="J122" s="28">
        <v>22153699</v>
      </c>
      <c r="K122" s="28" t="s">
        <v>2311</v>
      </c>
      <c r="L122" t="s">
        <v>2312</v>
      </c>
      <c r="M122" s="37">
        <v>149900</v>
      </c>
      <c r="N122" s="81" t="s">
        <v>2826</v>
      </c>
      <c r="O122" s="37" t="s">
        <v>3223</v>
      </c>
      <c r="P122" s="28" t="s">
        <v>2826</v>
      </c>
    </row>
    <row r="123" spans="1:16" x14ac:dyDescent="0.3">
      <c r="A123" s="28" t="s">
        <v>3224</v>
      </c>
      <c r="B123" s="26">
        <v>46093</v>
      </c>
      <c r="C123" s="26">
        <v>46098</v>
      </c>
      <c r="D123" s="48">
        <v>3319</v>
      </c>
      <c r="E123" s="48">
        <v>327</v>
      </c>
      <c r="F123" s="28">
        <v>2</v>
      </c>
      <c r="G123" s="28">
        <v>1</v>
      </c>
      <c r="H123" s="28">
        <v>81778</v>
      </c>
      <c r="I123" s="28" t="s">
        <v>17</v>
      </c>
      <c r="J123" s="28">
        <v>22153797</v>
      </c>
      <c r="K123" s="28" t="s">
        <v>2311</v>
      </c>
      <c r="L123" t="s">
        <v>2313</v>
      </c>
      <c r="M123" s="37">
        <v>149900</v>
      </c>
      <c r="N123" s="81" t="s">
        <v>2826</v>
      </c>
      <c r="O123" s="37" t="s">
        <v>3223</v>
      </c>
      <c r="P123" s="28" t="s">
        <v>2826</v>
      </c>
    </row>
    <row r="124" spans="1:16" x14ac:dyDescent="0.3">
      <c r="A124" s="28" t="s">
        <v>3224</v>
      </c>
      <c r="B124" s="26">
        <v>46093</v>
      </c>
      <c r="C124" s="26">
        <v>46098</v>
      </c>
      <c r="D124" s="48">
        <v>3319</v>
      </c>
      <c r="E124" s="48">
        <v>327</v>
      </c>
      <c r="F124" s="28">
        <v>2</v>
      </c>
      <c r="G124" s="28">
        <v>1</v>
      </c>
      <c r="H124" s="28">
        <v>81778</v>
      </c>
      <c r="I124" s="28" t="s">
        <v>17</v>
      </c>
      <c r="J124" s="28">
        <v>22153804</v>
      </c>
      <c r="K124" s="28" t="s">
        <v>2311</v>
      </c>
      <c r="L124" t="s">
        <v>2314</v>
      </c>
      <c r="M124" s="37">
        <v>149900</v>
      </c>
      <c r="N124" s="81" t="s">
        <v>2826</v>
      </c>
      <c r="O124" s="37" t="s">
        <v>3223</v>
      </c>
      <c r="P124" s="28" t="s">
        <v>2826</v>
      </c>
    </row>
    <row r="125" spans="1:16" x14ac:dyDescent="0.3">
      <c r="A125" s="28" t="s">
        <v>3224</v>
      </c>
      <c r="B125" s="26">
        <v>46093</v>
      </c>
      <c r="C125" s="26">
        <v>46098</v>
      </c>
      <c r="D125" s="48">
        <v>3319</v>
      </c>
      <c r="E125" s="48">
        <v>327</v>
      </c>
      <c r="F125" s="28">
        <v>2</v>
      </c>
      <c r="G125" s="28">
        <v>1</v>
      </c>
      <c r="H125" s="28">
        <v>81778</v>
      </c>
      <c r="I125" s="28" t="s">
        <v>17</v>
      </c>
      <c r="J125" s="28">
        <v>22153813</v>
      </c>
      <c r="K125" s="28" t="s">
        <v>2311</v>
      </c>
      <c r="L125" t="s">
        <v>2315</v>
      </c>
      <c r="M125" s="37">
        <v>149900</v>
      </c>
      <c r="N125" s="81" t="s">
        <v>2826</v>
      </c>
      <c r="O125" s="37" t="s">
        <v>3223</v>
      </c>
      <c r="P125" s="28" t="s">
        <v>2826</v>
      </c>
    </row>
    <row r="126" spans="1:16" x14ac:dyDescent="0.3">
      <c r="A126" s="28" t="s">
        <v>3224</v>
      </c>
      <c r="B126" s="26">
        <v>46093</v>
      </c>
      <c r="C126" s="26">
        <v>46098</v>
      </c>
      <c r="D126" s="48">
        <v>3319</v>
      </c>
      <c r="E126" s="48">
        <v>327</v>
      </c>
      <c r="F126" s="28">
        <v>2</v>
      </c>
      <c r="G126" s="28">
        <v>1</v>
      </c>
      <c r="H126" s="28">
        <v>81778</v>
      </c>
      <c r="I126" s="28" t="s">
        <v>17</v>
      </c>
      <c r="J126" s="28">
        <v>22154189</v>
      </c>
      <c r="K126" s="28" t="s">
        <v>2311</v>
      </c>
      <c r="L126" t="s">
        <v>2320</v>
      </c>
      <c r="M126" s="37">
        <v>149900</v>
      </c>
      <c r="N126" s="81" t="s">
        <v>2826</v>
      </c>
      <c r="O126" s="37" t="s">
        <v>3223</v>
      </c>
      <c r="P126" s="28" t="s">
        <v>2826</v>
      </c>
    </row>
    <row r="127" spans="1:16" x14ac:dyDescent="0.3">
      <c r="A127" s="28" t="s">
        <v>3224</v>
      </c>
      <c r="B127" s="26">
        <v>46093</v>
      </c>
      <c r="C127" s="26">
        <v>46098</v>
      </c>
      <c r="D127" s="48">
        <v>3319</v>
      </c>
      <c r="E127" s="48">
        <v>327</v>
      </c>
      <c r="F127" s="28">
        <v>2</v>
      </c>
      <c r="G127" s="28">
        <v>1</v>
      </c>
      <c r="H127" s="28">
        <v>81778</v>
      </c>
      <c r="I127" s="28" t="s">
        <v>17</v>
      </c>
      <c r="J127" s="28">
        <v>22154198</v>
      </c>
      <c r="K127" s="28" t="s">
        <v>2311</v>
      </c>
      <c r="L127" t="s">
        <v>2321</v>
      </c>
      <c r="M127" s="37">
        <v>149900</v>
      </c>
      <c r="N127" s="81" t="s">
        <v>2826</v>
      </c>
      <c r="O127" s="37" t="s">
        <v>3223</v>
      </c>
      <c r="P127" s="28" t="s">
        <v>2826</v>
      </c>
    </row>
    <row r="128" spans="1:16" x14ac:dyDescent="0.3">
      <c r="A128" s="28" t="s">
        <v>3224</v>
      </c>
      <c r="B128" s="26">
        <v>46093</v>
      </c>
      <c r="C128" s="26">
        <v>46098</v>
      </c>
      <c r="D128" s="48">
        <v>3319</v>
      </c>
      <c r="E128" s="48">
        <v>327</v>
      </c>
      <c r="F128" s="28">
        <v>2</v>
      </c>
      <c r="G128" s="28">
        <v>1</v>
      </c>
      <c r="H128" s="28">
        <v>81778</v>
      </c>
      <c r="I128" s="28" t="s">
        <v>17</v>
      </c>
      <c r="J128" s="28">
        <v>22154205</v>
      </c>
      <c r="K128" s="28" t="s">
        <v>2311</v>
      </c>
      <c r="L128" t="s">
        <v>2322</v>
      </c>
      <c r="M128" s="37">
        <v>149900</v>
      </c>
      <c r="N128" s="81" t="s">
        <v>2826</v>
      </c>
      <c r="O128" s="37" t="s">
        <v>3223</v>
      </c>
      <c r="P128" s="28" t="s">
        <v>2826</v>
      </c>
    </row>
    <row r="129" spans="1:16" x14ac:dyDescent="0.3">
      <c r="A129" s="28" t="s">
        <v>3224</v>
      </c>
      <c r="B129" s="26">
        <v>46093</v>
      </c>
      <c r="C129" s="26">
        <v>46098</v>
      </c>
      <c r="D129" s="48">
        <v>3319</v>
      </c>
      <c r="E129" s="48">
        <v>327</v>
      </c>
      <c r="F129" s="28">
        <v>2</v>
      </c>
      <c r="G129" s="28">
        <v>1</v>
      </c>
      <c r="H129" s="28">
        <v>81778</v>
      </c>
      <c r="I129" s="28" t="s">
        <v>17</v>
      </c>
      <c r="J129" s="28">
        <v>22154214</v>
      </c>
      <c r="K129" s="28" t="s">
        <v>2311</v>
      </c>
      <c r="L129" t="s">
        <v>2323</v>
      </c>
      <c r="M129" s="37">
        <v>149900</v>
      </c>
      <c r="N129" s="81" t="s">
        <v>2826</v>
      </c>
      <c r="O129" s="37" t="s">
        <v>3223</v>
      </c>
      <c r="P129" s="28" t="s">
        <v>2826</v>
      </c>
    </row>
  </sheetData>
  <autoFilter ref="A1:Q1" xr:uid="{00000000-0001-0000-0900-000000000000}"/>
  <conditionalFormatting sqref="J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J1:J5 J11:J1048576">
    <cfRule type="duplicateValues" dxfId="1" priority="617"/>
  </conditionalFormatting>
  <conditionalFormatting sqref="J6:J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CROCS SANDALS SP20K</vt:lpstr>
      <vt:lpstr>2019 OLDER D95</vt:lpstr>
      <vt:lpstr>2020 D90</vt:lpstr>
      <vt:lpstr>2021 D90</vt:lpstr>
      <vt:lpstr>2022 D90</vt:lpstr>
      <vt:lpstr>2023 D90</vt:lpstr>
      <vt:lpstr>2024 HANGING B1 NORMAL, B2 100K</vt:lpstr>
      <vt:lpstr>2024 B1 NORMAL, B2 100K</vt:lpstr>
      <vt:lpstr>2025 H1 B1 NORMAL, B2 150K</vt:lpstr>
      <vt:lpstr>2025 Q3 SP 199K</vt:lpstr>
      <vt:lpstr>2025 Q4 BUY 3 D10</vt:lpstr>
      <vt:lpstr>2025 HANGING B1 NORMAL, B2 150K</vt:lpstr>
      <vt:lpstr>2026 Q1 BUY 3 D10</vt:lpstr>
      <vt:lpstr>2026 HANGING BUY 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Dewinta Citra Sugandha</cp:lastModifiedBy>
  <dcterms:created xsi:type="dcterms:W3CDTF">2024-04-05T08:18:32Z</dcterms:created>
  <dcterms:modified xsi:type="dcterms:W3CDTF">2026-03-10T06:51:09Z</dcterms:modified>
</cp:coreProperties>
</file>